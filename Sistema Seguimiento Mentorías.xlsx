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1" activeTab="1" autoFilterDateGrouping="1"/>
  </bookViews>
  <sheets>
    <sheet xmlns:r="http://schemas.openxmlformats.org/officeDocument/2006/relationships" name="INICIO" sheetId="1" state="visible" r:id="rId1"/>
    <sheet xmlns:r="http://schemas.openxmlformats.org/officeDocument/2006/relationships" name="PKA" sheetId="2" state="visible" r:id="rId2"/>
    <sheet xmlns:r="http://schemas.openxmlformats.org/officeDocument/2006/relationships" name="PKB" sheetId="3" state="visible" r:id="rId3"/>
    <sheet xmlns:r="http://schemas.openxmlformats.org/officeDocument/2006/relationships" name="PKC" sheetId="4" state="visible" r:id="rId4"/>
    <sheet xmlns:r="http://schemas.openxmlformats.org/officeDocument/2006/relationships" name="KA" sheetId="5" state="visible" r:id="rId5"/>
    <sheet xmlns:r="http://schemas.openxmlformats.org/officeDocument/2006/relationships" name="KB" sheetId="6" state="visible" r:id="rId6"/>
    <sheet xmlns:r="http://schemas.openxmlformats.org/officeDocument/2006/relationships" name="KC" sheetId="7" state="visible" r:id="rId7"/>
    <sheet xmlns:r="http://schemas.openxmlformats.org/officeDocument/2006/relationships" name="1A" sheetId="8" state="visible" r:id="rId8"/>
    <sheet xmlns:r="http://schemas.openxmlformats.org/officeDocument/2006/relationships" name="1B" sheetId="9" state="visible" r:id="rId9"/>
    <sheet xmlns:r="http://schemas.openxmlformats.org/officeDocument/2006/relationships" name="1C" sheetId="10" state="visible" r:id="rId10"/>
    <sheet xmlns:r="http://schemas.openxmlformats.org/officeDocument/2006/relationships" name="2A" sheetId="11" state="visible" r:id="rId11"/>
    <sheet xmlns:r="http://schemas.openxmlformats.org/officeDocument/2006/relationships" name="2B" sheetId="12" state="visible" r:id="rId12"/>
    <sheet xmlns:r="http://schemas.openxmlformats.org/officeDocument/2006/relationships" name="2C" sheetId="13" state="visible" r:id="rId13"/>
    <sheet xmlns:r="http://schemas.openxmlformats.org/officeDocument/2006/relationships" name="3A" sheetId="14" state="visible" r:id="rId14"/>
    <sheet xmlns:r="http://schemas.openxmlformats.org/officeDocument/2006/relationships" name="3B" sheetId="15" state="visible" r:id="rId15"/>
    <sheet xmlns:r="http://schemas.openxmlformats.org/officeDocument/2006/relationships" name="3C" sheetId="16" state="visible" r:id="rId16"/>
    <sheet xmlns:r="http://schemas.openxmlformats.org/officeDocument/2006/relationships" name="4A" sheetId="17" state="visible" r:id="rId17"/>
    <sheet xmlns:r="http://schemas.openxmlformats.org/officeDocument/2006/relationships" name="4B" sheetId="18" state="visible" r:id="rId18"/>
    <sheet xmlns:r="http://schemas.openxmlformats.org/officeDocument/2006/relationships" name="4C" sheetId="19" state="visible" r:id="rId19"/>
    <sheet xmlns:r="http://schemas.openxmlformats.org/officeDocument/2006/relationships" name="5A" sheetId="20" state="visible" r:id="rId20"/>
    <sheet xmlns:r="http://schemas.openxmlformats.org/officeDocument/2006/relationships" name="5B" sheetId="21" state="visible" r:id="rId21"/>
    <sheet xmlns:r="http://schemas.openxmlformats.org/officeDocument/2006/relationships" name="5C" sheetId="22" state="visible" r:id="rId22"/>
    <sheet xmlns:r="http://schemas.openxmlformats.org/officeDocument/2006/relationships" name="6A" sheetId="23" state="visible" r:id="rId23"/>
    <sheet xmlns:r="http://schemas.openxmlformats.org/officeDocument/2006/relationships" name="6B" sheetId="24" state="visible" r:id="rId24"/>
    <sheet xmlns:r="http://schemas.openxmlformats.org/officeDocument/2006/relationships" name="6C" sheetId="25" state="visible" r:id="rId25"/>
    <sheet xmlns:r="http://schemas.openxmlformats.org/officeDocument/2006/relationships" name="7A" sheetId="26" state="visible" r:id="rId26"/>
    <sheet xmlns:r="http://schemas.openxmlformats.org/officeDocument/2006/relationships" name="7B" sheetId="27" state="visible" r:id="rId27"/>
    <sheet xmlns:r="http://schemas.openxmlformats.org/officeDocument/2006/relationships" name="7C" sheetId="28" state="visible" r:id="rId28"/>
    <sheet xmlns:r="http://schemas.openxmlformats.org/officeDocument/2006/relationships" name="8A" sheetId="29" state="visible" r:id="rId29"/>
    <sheet xmlns:r="http://schemas.openxmlformats.org/officeDocument/2006/relationships" name="8B" sheetId="30" state="visible" r:id="rId30"/>
    <sheet xmlns:r="http://schemas.openxmlformats.org/officeDocument/2006/relationships" name="8C" sheetId="31" state="visible" r:id="rId31"/>
    <sheet xmlns:r="http://schemas.openxmlformats.org/officeDocument/2006/relationships" name="1mA" sheetId="32" state="visible" r:id="rId32"/>
    <sheet xmlns:r="http://schemas.openxmlformats.org/officeDocument/2006/relationships" name="1mB" sheetId="33" state="visible" r:id="rId33"/>
    <sheet xmlns:r="http://schemas.openxmlformats.org/officeDocument/2006/relationships" name="1mC" sheetId="34" state="visible" r:id="rId34"/>
    <sheet xmlns:r="http://schemas.openxmlformats.org/officeDocument/2006/relationships" name="2mA" sheetId="35" state="visible" r:id="rId35"/>
    <sheet xmlns:r="http://schemas.openxmlformats.org/officeDocument/2006/relationships" name="2mB" sheetId="36" state="visible" r:id="rId36"/>
    <sheet xmlns:r="http://schemas.openxmlformats.org/officeDocument/2006/relationships" name="2mC" sheetId="37" state="visible" r:id="rId37"/>
    <sheet xmlns:r="http://schemas.openxmlformats.org/officeDocument/2006/relationships" name="2mD" sheetId="38" state="visible" r:id="rId38"/>
    <sheet xmlns:r="http://schemas.openxmlformats.org/officeDocument/2006/relationships" name="3mA" sheetId="39" state="visible" r:id="rId39"/>
    <sheet xmlns:r="http://schemas.openxmlformats.org/officeDocument/2006/relationships" name="3mB" sheetId="40" state="visible" r:id="rId40"/>
    <sheet xmlns:r="http://schemas.openxmlformats.org/officeDocument/2006/relationships" name="3mC" sheetId="41" state="visible" r:id="rId41"/>
    <sheet xmlns:r="http://schemas.openxmlformats.org/officeDocument/2006/relationships" name="3mD" sheetId="42" state="visible" r:id="rId42"/>
    <sheet xmlns:r="http://schemas.openxmlformats.org/officeDocument/2006/relationships" name="4mA" sheetId="43" state="visible" r:id="rId43"/>
    <sheet xmlns:r="http://schemas.openxmlformats.org/officeDocument/2006/relationships" name="4mB" sheetId="44" state="visible" r:id="rId44"/>
    <sheet xmlns:r="http://schemas.openxmlformats.org/officeDocument/2006/relationships" name="4mC" sheetId="45" state="visible" r:id="rId45"/>
    <sheet xmlns:r="http://schemas.openxmlformats.org/officeDocument/2006/relationships" name="4mD" sheetId="46" state="visible" r:id="rId46"/>
    <sheet xmlns:r="http://schemas.openxmlformats.org/officeDocument/2006/relationships" name="RESUMEN" sheetId="47" state="visible" r:id="rId47"/>
    <sheet xmlns:r="http://schemas.openxmlformats.org/officeDocument/2006/relationships" name="BÚSQUEDA" sheetId="48" state="visible" r:id="rId48"/>
    <sheet xmlns:r="http://schemas.openxmlformats.org/officeDocument/2006/relationships" name="REFERENCIA" sheetId="49" state="visible" r:id="rId49"/>
    <sheet xmlns:r="http://schemas.openxmlformats.org/officeDocument/2006/relationships" name="LISTAS" sheetId="50" state="hidden" r:id="rId50"/>
  </sheets>
  <definedNames>
    <definedName name="ListaAcademico" hidden="0" function="0" vbProcedure="0">LISTAS!$B$1:$B$4</definedName>
    <definedName name="ListaConductual" hidden="0" function="0" vbProcedure="0">LISTAS!$C$1:$C$4</definedName>
    <definedName name="ListaSocioemocional" hidden="0" function="0" vbProcedure="0">LISTAS!$D$1:$D$4</definedName>
    <definedName name="ListaTrayectoria" hidden="0" function="0" vbProcedure="0">LISTAS!$A$1:$A$4</definedName>
    <definedName name="_xlnm._FilterDatabase" localSheetId="47" hidden="1">'BÚSQUEDA'!$A$4:$J$2254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3"/>
    </font>
    <font>
      <name val="Calibri"/>
      <charset val="1"/>
      <family val="0"/>
      <i val="1"/>
      <color rgb="FF1F3864"/>
      <sz val="8"/>
    </font>
    <font>
      <name val="Calibri"/>
      <charset val="1"/>
      <family val="0"/>
      <b val="1"/>
      <color rgb="FFFFFFFF"/>
      <sz val="9"/>
    </font>
    <font>
      <name val="Calibri"/>
      <charset val="1"/>
      <family val="0"/>
      <color rgb="FF888888"/>
      <sz val="9"/>
    </font>
    <font>
      <name val="Calibri"/>
      <charset val="1"/>
      <family val="0"/>
      <color rgb="FF000000"/>
      <sz val="9"/>
    </font>
    <font>
      <name val="Calibri"/>
      <charset val="1"/>
      <family val="0"/>
      <b val="1"/>
      <sz val="10"/>
    </font>
    <font>
      <name val="Calibri"/>
      <charset val="1"/>
      <family val="0"/>
      <b val="1"/>
      <sz val="9"/>
    </font>
    <font>
      <name val="Calibri"/>
      <charset val="1"/>
      <family val="0"/>
      <b val="1"/>
      <color rgb="FFFFFFFF"/>
      <sz val="10"/>
    </font>
    <font>
      <name val="Calibri"/>
      <charset val="1"/>
      <family val="0"/>
      <i val="1"/>
      <color rgb="FF666666"/>
      <sz val="8"/>
    </font>
    <font>
      <name val="Calibri"/>
      <charset val="1"/>
      <family val="0"/>
      <b val="1"/>
      <color rgb="FFFFFFFF"/>
      <sz val="18"/>
    </font>
    <font>
      <name val="Calibri"/>
      <charset val="1"/>
      <family val="0"/>
      <b val="1"/>
      <color rgb="FFFFFFFF"/>
      <sz val="11"/>
    </font>
    <font>
      <name val="Calibri"/>
      <charset val="1"/>
      <family val="0"/>
      <b val="1"/>
      <color rgb="FF000000"/>
      <sz val="10"/>
    </font>
    <font>
      <name val="Calibri"/>
      <charset val="1"/>
      <family val="0"/>
      <color rgb="FF000000"/>
      <sz val="8"/>
    </font>
    <font>
      <name val="Calibri"/>
      <charset val="1"/>
      <family val="0"/>
      <b val="1"/>
      <color rgb="FFFFFFFF"/>
      <sz val="14"/>
    </font>
    <font>
      <name val="Calibri"/>
      <charset val="1"/>
      <family val="0"/>
      <i val="1"/>
      <color rgb="FF2E5FA3"/>
      <sz val="8"/>
    </font>
    <font>
      <name val="Calibri"/>
      <charset val="1"/>
      <family val="0"/>
      <b val="1"/>
      <color rgb="FF000000"/>
      <sz val="9"/>
    </font>
    <font>
      <name val="Calibri"/>
      <charset val="1"/>
      <family val="0"/>
      <b val="1"/>
      <color rgb="FF1F3864"/>
      <sz val="9"/>
    </font>
  </fonts>
  <fills count="16">
    <fill>
      <patternFill/>
    </fill>
    <fill>
      <patternFill patternType="gray125"/>
    </fill>
    <fill>
      <patternFill patternType="solid">
        <fgColor rgb="FF1F3864"/>
        <bgColor rgb="FF333399"/>
      </patternFill>
    </fill>
    <fill>
      <patternFill patternType="solid">
        <fgColor rgb="FFDEEAF1"/>
        <bgColor rgb="FFE2EFDA"/>
      </patternFill>
    </fill>
    <fill>
      <patternFill patternType="solid">
        <fgColor rgb="FF2E5FA3"/>
        <bgColor rgb="FF3366FF"/>
      </patternFill>
    </fill>
    <fill>
      <patternFill patternType="solid">
        <fgColor rgb="FFFFFFFF"/>
        <bgColor rgb="FFF2F2F2"/>
      </patternFill>
    </fill>
    <fill>
      <patternFill patternType="solid">
        <fgColor rgb="FFF2F2F2"/>
        <bgColor rgb="FFE2EFDA"/>
      </patternFill>
    </fill>
    <fill>
      <patternFill patternType="solid">
        <fgColor rgb="FF70AD47"/>
        <bgColor rgb="FF888888"/>
      </patternFill>
    </fill>
    <fill>
      <patternFill patternType="solid">
        <fgColor rgb="FFE2EFDA"/>
        <bgColor rgb="FFDEEAF1"/>
      </patternFill>
    </fill>
    <fill>
      <patternFill patternType="solid">
        <fgColor rgb="FFFFD966"/>
        <bgColor rgb="FFFFCC00"/>
      </patternFill>
    </fill>
    <fill>
      <patternFill patternType="solid">
        <fgColor rgb="FFFFF2CC"/>
        <bgColor rgb="FFFCE4D6"/>
      </patternFill>
    </fill>
    <fill>
      <patternFill patternType="solid">
        <fgColor rgb="FFFF4444"/>
        <bgColor rgb="FFFF6600"/>
      </patternFill>
    </fill>
    <fill>
      <patternFill patternType="solid">
        <fgColor rgb="FFFCE4D6"/>
        <bgColor rgb="FFFFF2CC"/>
      </patternFill>
    </fill>
    <fill>
      <patternFill patternType="solid">
        <fgColor rgb="FF375623"/>
        <bgColor rgb="FF333300"/>
      </patternFill>
    </fill>
    <fill>
      <patternFill patternType="solid">
        <fgColor rgb="FF7F6000"/>
        <bgColor rgb="FF666666"/>
      </patternFill>
    </fill>
    <fill>
      <patternFill patternType="solid">
        <fgColor rgb="FF9C0006"/>
        <bgColor rgb="FF800000"/>
      </patternFill>
    </fill>
  </fills>
  <borders count="8">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medium">
        <color rgb="FF1F3864"/>
      </left>
      <right/>
      <top style="medium">
        <color rgb="FF1F3864"/>
      </top>
      <bottom/>
      <diagonal/>
    </border>
    <border>
      <left/>
      <right/>
      <top style="thin">
        <color rgb="FFAAAAAA"/>
      </top>
      <bottom/>
      <diagonal/>
    </border>
    <border>
      <left/>
      <right/>
      <top style="thin">
        <color rgb="FFAAAAAA"/>
      </top>
      <bottom style="thin">
        <color rgb="FFAAAAAA"/>
      </bottom>
      <diagonal/>
    </border>
    <border>
      <left/>
      <right/>
      <top style="medium">
        <color rgb="FF1F3864"/>
      </top>
      <bottom/>
      <diagonal/>
    </border>
    <border>
      <left style="medium">
        <color rgb="FF1F3864"/>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6">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2" borderId="2" applyAlignment="1" pivotButton="0" quotePrefix="0" xfId="0">
      <alignment horizontal="center" vertical="center" wrapText="1"/>
    </xf>
    <xf numFmtId="0" fontId="6"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9" fillId="5" borderId="2" applyAlignment="1" pivotButton="0" quotePrefix="0" xfId="0">
      <alignment horizontal="center" vertical="center" wrapText="1"/>
    </xf>
    <xf numFmtId="0" fontId="10"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8" fillId="6" borderId="2" applyAlignment="1" pivotButton="0" quotePrefix="0" xfId="0">
      <alignment horizontal="left" vertical="center" wrapText="1"/>
    </xf>
    <xf numFmtId="0" fontId="9" fillId="6" borderId="2" applyAlignment="1" pivotButton="0" quotePrefix="0" xfId="0">
      <alignment horizontal="center" vertical="center" wrapText="1"/>
    </xf>
    <xf numFmtId="0" fontId="10" fillId="6" borderId="2" applyAlignment="1" pivotButton="0" quotePrefix="0" xfId="0">
      <alignment horizontal="center" vertical="center" wrapText="1"/>
    </xf>
    <xf numFmtId="0" fontId="6" fillId="2" borderId="1" applyAlignment="1" pivotButton="0" quotePrefix="0" xfId="0">
      <alignment horizontal="left" vertical="center" wrapText="1"/>
    </xf>
    <xf numFmtId="0" fontId="11"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2" fillId="3" borderId="2" applyAlignment="1" pivotButton="0" quotePrefix="0" xfId="0">
      <alignment horizontal="left" vertical="center" wrapText="1"/>
    </xf>
    <xf numFmtId="0" fontId="0" fillId="3" borderId="0" applyAlignment="1" pivotButton="0" quotePrefix="0" xfId="0">
      <alignment horizontal="general" vertical="bottom"/>
    </xf>
    <xf numFmtId="0" fontId="13" fillId="2" borderId="3" applyAlignment="1" pivotButton="0" quotePrefix="0" xfId="0">
      <alignment horizontal="center" vertical="center" wrapText="1"/>
    </xf>
    <xf numFmtId="0" fontId="14" fillId="4" borderId="0" applyAlignment="1" pivotButton="0" quotePrefix="0" xfId="0">
      <alignment horizontal="center" vertical="center" wrapText="1"/>
    </xf>
    <xf numFmtId="0" fontId="11" fillId="4" borderId="1" applyAlignment="1" pivotButton="0" quotePrefix="0" xfId="0">
      <alignment horizontal="center" vertical="center" wrapText="1"/>
    </xf>
    <xf numFmtId="0" fontId="15" fillId="7" borderId="2" applyAlignment="1" pivotButton="0" quotePrefix="0" xfId="0">
      <alignment horizontal="center" vertical="center" wrapText="1"/>
    </xf>
    <xf numFmtId="0" fontId="16" fillId="8" borderId="1" applyAlignment="1" pivotButton="0" quotePrefix="0" xfId="0">
      <alignment horizontal="left" vertical="center" wrapText="1"/>
    </xf>
    <xf numFmtId="0" fontId="15" fillId="9" borderId="2" applyAlignment="1" pivotButton="0" quotePrefix="0" xfId="0">
      <alignment horizontal="center" vertical="center" wrapText="1"/>
    </xf>
    <xf numFmtId="0" fontId="16" fillId="10" borderId="1" applyAlignment="1" pivotButton="0" quotePrefix="0" xfId="0">
      <alignment horizontal="left" vertical="center" wrapText="1"/>
    </xf>
    <xf numFmtId="0" fontId="15" fillId="11" borderId="2" applyAlignment="1" pivotButton="0" quotePrefix="0" xfId="0">
      <alignment horizontal="center" vertical="center" wrapText="1"/>
    </xf>
    <xf numFmtId="0" fontId="16" fillId="12" borderId="1" applyAlignment="1" pivotButton="0" quotePrefix="0" xfId="0">
      <alignment horizontal="left" vertical="center" wrapText="1"/>
    </xf>
    <xf numFmtId="0" fontId="8" fillId="3" borderId="2" applyAlignment="1" pivotButton="0" quotePrefix="0" xfId="0">
      <alignment horizontal="left" vertical="center" wrapText="1"/>
    </xf>
    <xf numFmtId="0" fontId="8" fillId="8" borderId="2" applyAlignment="1" pivotButton="0" quotePrefix="0" xfId="0">
      <alignment horizontal="left" vertical="center" wrapText="1"/>
    </xf>
    <xf numFmtId="0" fontId="8" fillId="10" borderId="2" applyAlignment="1" pivotButton="0" quotePrefix="0" xfId="0">
      <alignment horizontal="left" vertical="center" wrapText="1"/>
    </xf>
    <xf numFmtId="0" fontId="8" fillId="12" borderId="2" applyAlignment="1" pivotButton="0" quotePrefix="0" xfId="0">
      <alignment horizontal="left" vertical="center" wrapText="1"/>
    </xf>
    <xf numFmtId="0" fontId="8" fillId="3" borderId="1" applyAlignment="1" pivotButton="0" quotePrefix="0" xfId="0">
      <alignment horizontal="left" vertical="center" wrapText="1"/>
    </xf>
    <xf numFmtId="0" fontId="17" fillId="2" borderId="0" applyAlignment="1" pivotButton="0" quotePrefix="0" xfId="0">
      <alignment horizontal="center" vertical="center" wrapText="1"/>
    </xf>
    <xf numFmtId="0" fontId="8"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18" fillId="3" borderId="0" applyAlignment="1" pivotButton="0" quotePrefix="0" xfId="0">
      <alignment horizontal="left" vertical="center" wrapText="1"/>
    </xf>
    <xf numFmtId="0" fontId="19" fillId="3" borderId="2" applyAlignment="1" pivotButton="0" quotePrefix="0" xfId="0">
      <alignment horizontal="center" vertical="center" wrapText="1"/>
    </xf>
    <xf numFmtId="0" fontId="8" fillId="8" borderId="2" applyAlignment="1" pivotButton="0" quotePrefix="0" xfId="0">
      <alignment horizontal="center" vertical="center" wrapText="1"/>
    </xf>
    <xf numFmtId="0" fontId="8" fillId="10" borderId="2" applyAlignment="1" pivotButton="0" quotePrefix="0" xfId="0">
      <alignment horizontal="center" vertical="center" wrapText="1"/>
    </xf>
    <xf numFmtId="0" fontId="8" fillId="12" borderId="2" applyAlignment="1" pivotButton="0" quotePrefix="0" xfId="0">
      <alignment horizontal="center" vertical="center" wrapText="1"/>
    </xf>
    <xf numFmtId="164" fontId="8" fillId="6" borderId="2" applyAlignment="1" pivotButton="0" quotePrefix="0" xfId="0">
      <alignment horizontal="center" vertical="center" wrapText="1"/>
    </xf>
    <xf numFmtId="164" fontId="8" fillId="5"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4" borderId="2" applyAlignment="1" pivotButton="0" quotePrefix="0" xfId="0">
      <alignment horizontal="center" vertical="center" wrapText="1"/>
    </xf>
    <xf numFmtId="0" fontId="6" fillId="15" borderId="2" applyAlignment="1" pivotButton="0" quotePrefix="0" xfId="0">
      <alignment horizontal="center" vertical="center" wrapText="1"/>
    </xf>
    <xf numFmtId="0" fontId="20" fillId="3" borderId="2" applyAlignment="1" pivotButton="0" quotePrefix="0" xfId="0">
      <alignment horizontal="left" vertical="center" wrapText="1"/>
    </xf>
    <xf numFmtId="0" fontId="20" fillId="8" borderId="2" applyAlignment="1" pivotButton="0" quotePrefix="0" xfId="0">
      <alignment horizontal="left" vertical="center" wrapText="1"/>
    </xf>
    <xf numFmtId="0" fontId="20" fillId="10" borderId="2" applyAlignment="1" pivotButton="0" quotePrefix="0" xfId="0">
      <alignment horizontal="left" vertical="center" wrapText="1"/>
    </xf>
    <xf numFmtId="0" fontId="20" fillId="12"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3" borderId="0" applyAlignment="1" pivotButton="0" quotePrefix="0" xfId="0">
      <alignment horizontal="general" vertical="bottom"/>
    </xf>
    <xf numFmtId="0" fontId="13" fillId="2" borderId="3" applyAlignment="1" pivotButton="0" quotePrefix="0" xfId="0">
      <alignment horizontal="center" vertical="center" wrapText="1"/>
    </xf>
    <xf numFmtId="0" fontId="0" fillId="0" borderId="6" pivotButton="0" quotePrefix="0" xfId="0"/>
    <xf numFmtId="0" fontId="0" fillId="0" borderId="7" pivotButton="0" quotePrefix="0" xfId="0"/>
    <xf numFmtId="0" fontId="14" fillId="4" borderId="0" applyAlignment="1" pivotButton="0" quotePrefix="0" xfId="0">
      <alignment horizontal="center" vertical="center" wrapText="1"/>
    </xf>
    <xf numFmtId="0" fontId="11" fillId="4" borderId="1" applyAlignment="1" pivotButton="0" quotePrefix="0" xfId="0">
      <alignment horizontal="center" vertical="center" wrapText="1"/>
    </xf>
    <xf numFmtId="0" fontId="0" fillId="0" borderId="5" pivotButton="0" quotePrefix="0" xfId="0"/>
    <xf numFmtId="0" fontId="15" fillId="7" borderId="2" applyAlignment="1" pivotButton="0" quotePrefix="0" xfId="0">
      <alignment horizontal="center" vertical="center" wrapText="1"/>
    </xf>
    <xf numFmtId="0" fontId="16" fillId="8" borderId="1" applyAlignment="1" pivotButton="0" quotePrefix="0" xfId="0">
      <alignment horizontal="left" vertical="center" wrapText="1"/>
    </xf>
    <xf numFmtId="0" fontId="15" fillId="9" borderId="2" applyAlignment="1" pivotButton="0" quotePrefix="0" xfId="0">
      <alignment horizontal="center" vertical="center" wrapText="1"/>
    </xf>
    <xf numFmtId="0" fontId="16" fillId="10" borderId="1" applyAlignment="1" pivotButton="0" quotePrefix="0" xfId="0">
      <alignment horizontal="left" vertical="center" wrapText="1"/>
    </xf>
    <xf numFmtId="0" fontId="15" fillId="11" borderId="2" applyAlignment="1" pivotButton="0" quotePrefix="0" xfId="0">
      <alignment horizontal="center" vertical="center" wrapText="1"/>
    </xf>
    <xf numFmtId="0" fontId="16" fillId="12" borderId="1" applyAlignment="1" pivotButton="0" quotePrefix="0" xfId="0">
      <alignment horizontal="left" vertical="center" wrapText="1"/>
    </xf>
    <xf numFmtId="0" fontId="6" fillId="4" borderId="2" applyAlignment="1" pivotButton="0" quotePrefix="0" xfId="0">
      <alignment horizontal="center" vertical="center" wrapText="1"/>
    </xf>
    <xf numFmtId="0" fontId="8" fillId="3" borderId="2" applyAlignment="1" pivotButton="0" quotePrefix="0" xfId="0">
      <alignment horizontal="left" vertical="center" wrapText="1"/>
    </xf>
    <xf numFmtId="0" fontId="8" fillId="8" borderId="2" applyAlignment="1" pivotButton="0" quotePrefix="0" xfId="0">
      <alignment horizontal="left" vertical="center" wrapText="1"/>
    </xf>
    <xf numFmtId="0" fontId="8" fillId="10" borderId="2" applyAlignment="1" pivotButton="0" quotePrefix="0" xfId="0">
      <alignment horizontal="left" vertical="center" wrapText="1"/>
    </xf>
    <xf numFmtId="0" fontId="6" fillId="4" borderId="1" applyAlignment="1" pivotButton="0" quotePrefix="0" xfId="0">
      <alignment horizontal="center" vertical="center" wrapText="1"/>
    </xf>
    <xf numFmtId="0" fontId="8" fillId="12" borderId="2" applyAlignment="1" pivotButton="0" quotePrefix="0" xfId="0">
      <alignment horizontal="left" vertical="center" wrapText="1"/>
    </xf>
    <xf numFmtId="0" fontId="8" fillId="3" borderId="1" applyAlignment="1" pivotButton="0" quotePrefix="0" xfId="0">
      <alignment horizontal="left" vertical="center" wrapText="1"/>
    </xf>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2" borderId="1" applyAlignment="1" pivotButton="0" quotePrefix="0" xfId="0">
      <alignment horizontal="center" vertical="center" wrapText="1"/>
    </xf>
    <xf numFmtId="0" fontId="6" fillId="2"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9" fillId="5" borderId="2" applyAlignment="1" pivotButton="0" quotePrefix="0" xfId="0">
      <alignment horizontal="center" vertical="center" wrapText="1"/>
    </xf>
    <xf numFmtId="0" fontId="10"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8" fillId="6" borderId="2" applyAlignment="1" pivotButton="0" quotePrefix="0" xfId="0">
      <alignment horizontal="left" vertical="center" wrapText="1"/>
    </xf>
    <xf numFmtId="0" fontId="9" fillId="6" borderId="2" applyAlignment="1" pivotButton="0" quotePrefix="0" xfId="0">
      <alignment horizontal="center" vertical="center" wrapText="1"/>
    </xf>
    <xf numFmtId="0" fontId="10" fillId="6" borderId="2" applyAlignment="1" pivotButton="0" quotePrefix="0" xfId="0">
      <alignment horizontal="center" vertical="center" wrapText="1"/>
    </xf>
    <xf numFmtId="0" fontId="6" fillId="2" borderId="1" applyAlignment="1" pivotButton="0" quotePrefix="0" xfId="0">
      <alignment horizontal="left" vertical="center" wrapText="1"/>
    </xf>
    <xf numFmtId="0" fontId="11"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2" fillId="3" borderId="2" applyAlignment="1" pivotButton="0" quotePrefix="0" xfId="0">
      <alignment horizontal="left" vertical="center" wrapText="1"/>
    </xf>
    <xf numFmtId="0" fontId="17" fillId="2" borderId="0" applyAlignment="1" pivotButton="0" quotePrefix="0" xfId="0">
      <alignment horizontal="center" vertical="center" wrapText="1"/>
    </xf>
    <xf numFmtId="0" fontId="18" fillId="3" borderId="0" applyAlignment="1" pivotButton="0" quotePrefix="0" xfId="0">
      <alignment horizontal="left" vertical="center" wrapText="1"/>
    </xf>
    <xf numFmtId="0" fontId="19" fillId="3" borderId="2" applyAlignment="1" pivotButton="0" quotePrefix="0" xfId="0">
      <alignment horizontal="center" vertical="center" wrapText="1"/>
    </xf>
    <xf numFmtId="0" fontId="8" fillId="6" borderId="2" applyAlignment="1" pivotButton="0" quotePrefix="0" xfId="0">
      <alignment horizontal="center" vertical="center" wrapText="1"/>
    </xf>
    <xf numFmtId="0" fontId="8" fillId="8" borderId="2" applyAlignment="1" pivotButton="0" quotePrefix="0" xfId="0">
      <alignment horizontal="center" vertical="center" wrapText="1"/>
    </xf>
    <xf numFmtId="0" fontId="8" fillId="10" borderId="2" applyAlignment="1" pivotButton="0" quotePrefix="0" xfId="0">
      <alignment horizontal="center" vertical="center" wrapText="1"/>
    </xf>
    <xf numFmtId="0" fontId="8" fillId="12" borderId="2" applyAlignment="1" pivotButton="0" quotePrefix="0" xfId="0">
      <alignment horizontal="center" vertical="center" wrapText="1"/>
    </xf>
    <xf numFmtId="164" fontId="8" fillId="6" borderId="2" applyAlignment="1" pivotButton="0" quotePrefix="0" xfId="0">
      <alignment horizontal="center" vertical="center" wrapText="1"/>
    </xf>
    <xf numFmtId="0" fontId="8" fillId="5" borderId="2" applyAlignment="1" pivotButton="0" quotePrefix="0" xfId="0">
      <alignment horizontal="center" vertical="center" wrapText="1"/>
    </xf>
    <xf numFmtId="164" fontId="8" fillId="5"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4" borderId="2" applyAlignment="1" pivotButton="0" quotePrefix="0" xfId="0">
      <alignment horizontal="center" vertical="center" wrapText="1"/>
    </xf>
    <xf numFmtId="0" fontId="6" fillId="15" borderId="2" applyAlignment="1" pivotButton="0" quotePrefix="0" xfId="0">
      <alignment horizontal="center" vertical="center" wrapText="1"/>
    </xf>
    <xf numFmtId="0" fontId="20" fillId="3" borderId="2" applyAlignment="1" pivotButton="0" quotePrefix="0" xfId="0">
      <alignment horizontal="left" vertical="center" wrapText="1"/>
    </xf>
    <xf numFmtId="0" fontId="20" fillId="8" borderId="2" applyAlignment="1" pivotButton="0" quotePrefix="0" xfId="0">
      <alignment horizontal="left" vertical="center" wrapText="1"/>
    </xf>
    <xf numFmtId="0" fontId="20" fillId="10" borderId="2" applyAlignment="1" pivotButton="0" quotePrefix="0" xfId="0">
      <alignment horizontal="left" vertical="center" wrapText="1"/>
    </xf>
    <xf numFmtId="0" fontId="20" fillId="12"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ont>
        <name val="Calibri"/>
        <charset val="1"/>
        <family val="0"/>
        <b val="1"/>
        <color rgb="FF375623"/>
      </font>
      <fill>
        <patternFill>
          <bgColor rgb="FFE2EFDA"/>
        </patternFill>
      </fill>
    </dxf>
    <dxf>
      <font>
        <name val="Calibri"/>
        <charset val="1"/>
        <family val="0"/>
        <b val="1"/>
        <color rgb="FF7F6000"/>
      </font>
      <fill>
        <patternFill>
          <bgColor rgb="FFFFF2CC"/>
        </patternFill>
      </fill>
    </dxf>
    <dxf>
      <font>
        <name val="Calibri"/>
        <charset val="1"/>
        <family val="0"/>
        <b val="1"/>
        <color rgb="FF9C0006"/>
      </font>
      <fill>
        <patternFill>
          <bgColor rgb="FFFCE4D6"/>
        </patternFill>
      </fill>
    </dxf>
    <dxf>
      <fill>
        <patternFill>
          <bgColor rgb="FFE2EFDA"/>
        </patternFill>
      </fill>
    </dxf>
    <dxf>
      <fill>
        <patternFill>
          <bgColor rgb="FFFFF2CC"/>
        </patternFill>
      </fill>
    </dxf>
    <dxf>
      <fill>
        <patternFill>
          <bgColor rgb="FFFCE4D6"/>
        </patternFill>
      </fill>
    </dxf>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E5FA3"/>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AAAAAA"/>
      <rgbColor rgb="FF808080"/>
      <rgbColor rgb="FF9999FF"/>
      <rgbColor rgb="FF7030A0"/>
      <rgbColor rgb="FFFFF2CC"/>
      <rgbColor rgb="FFDEEAF1"/>
      <rgbColor rgb="FF660066"/>
      <rgbColor rgb="FFFF4444"/>
      <rgbColor rgb="FF2E5FA3"/>
      <rgbColor rgb="FFCCCCFF"/>
      <rgbColor rgb="FF000080"/>
      <rgbColor rgb="FFFF00FF"/>
      <rgbColor rgb="FFFFFF00"/>
      <rgbColor rgb="FF00FFFF"/>
      <rgbColor rgb="FF800080"/>
      <rgbColor rgb="FF800000"/>
      <rgbColor rgb="FF008080"/>
      <rgbColor rgb="FF0000FF"/>
      <rgbColor rgb="FF00B0F0"/>
      <rgbColor rgb="FFF2F2F2"/>
      <rgbColor rgb="FFE2EFDA"/>
      <rgbColor rgb="FFFCE4D6"/>
      <rgbColor rgb="FF99CCFF"/>
      <rgbColor rgb="FFFF99CC"/>
      <rgbColor rgb="FFCC99FF"/>
      <rgbColor rgb="FFFFD966"/>
      <rgbColor rgb="FF3366FF"/>
      <rgbColor rgb="FF33CCCC"/>
      <rgbColor rgb="FF70AD47"/>
      <rgbColor rgb="FFFFCC00"/>
      <rgbColor rgb="FFFF9900"/>
      <rgbColor rgb="FFFF6600"/>
      <rgbColor rgb="FF666666"/>
      <rgbColor rgb="FF888888"/>
      <rgbColor rgb="FF1F3864"/>
      <rgbColor rgb="FF00B050"/>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E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2" customWidth="1" style="51" min="1" max="1"/>
    <col width="24" customWidth="1" style="51" min="2" max="2"/>
    <col width="28" customWidth="1" style="51" min="3" max="4"/>
    <col width="2" customWidth="1" style="51" min="5" max="5"/>
  </cols>
  <sheetData>
    <row r="1" ht="15" customHeight="1" s="52">
      <c r="A1" s="53" t="n"/>
      <c r="B1" s="53" t="n"/>
      <c r="C1" s="53" t="n"/>
      <c r="D1" s="53" t="n"/>
      <c r="E1" s="53" t="n"/>
    </row>
    <row r="2" ht="30" customHeight="1" s="52">
      <c r="A2" s="53" t="n"/>
      <c r="B2" s="54" t="inlineStr">
        <is>
          <t>SISTEMA DE SEGUIMIENTO DE ESTUDIANTES</t>
        </is>
      </c>
      <c r="C2" s="55" t="n"/>
      <c r="D2" s="55" t="n"/>
      <c r="E2" s="53" t="n"/>
    </row>
    <row r="3" ht="30" customHeight="1" s="52">
      <c r="A3" s="53" t="n"/>
      <c r="B3" s="56" t="n"/>
      <c r="E3" s="53" t="n"/>
    </row>
    <row r="4" ht="19.5" customHeight="1" s="52">
      <c r="A4" s="53" t="n"/>
      <c r="B4" s="57" t="inlineStr">
        <is>
          <t>Mentoría Pedagógica — Matriz de Análisis de Datos</t>
        </is>
      </c>
      <c r="E4" s="53" t="n"/>
    </row>
    <row r="5" ht="15" customHeight="1" s="52">
      <c r="A5" s="53" t="n"/>
      <c r="B5" s="53" t="n"/>
      <c r="C5" s="53" t="n"/>
      <c r="D5" s="53" t="n"/>
      <c r="E5" s="53" t="n"/>
    </row>
    <row r="6" ht="18" customHeight="1" s="52">
      <c r="A6" s="53" t="n"/>
      <c r="B6" s="58" t="inlineStr">
        <is>
          <t>INTERPRETACIÓN DEL SEMÁFORO</t>
        </is>
      </c>
      <c r="C6" s="59" t="n"/>
      <c r="D6" s="59" t="n"/>
      <c r="E6" s="53" t="n"/>
    </row>
    <row r="7" ht="36" customHeight="1" s="52">
      <c r="A7" s="53" t="n"/>
      <c r="B7" s="60" t="inlineStr">
        <is>
          <t>🟢  VERDE — 0 a 2 pts</t>
        </is>
      </c>
      <c r="C7" s="61" t="inlineStr">
        <is>
          <t>Seguimiento Universal
Conversaciones preventivas · Reconocimiento de fortalezas · Seguimiento mensual</t>
        </is>
      </c>
      <c r="D7" s="59" t="n"/>
      <c r="E7" s="53" t="n"/>
    </row>
    <row r="8" ht="36" customHeight="1" s="52">
      <c r="A8" s="53" t="n"/>
      <c r="B8" s="62" t="inlineStr">
        <is>
          <t>🟡  AMARILLO — 3 a 5 pts</t>
        </is>
      </c>
      <c r="C8" s="63" t="inlineStr">
        <is>
          <t>Seguimiento Focalizado
Reunión mentor-estudiante · Registro de evidencias · Acuerdos de mejora · Seguimiento quincenal · Contacto preventivo con familia</t>
        </is>
      </c>
      <c r="D8" s="59" t="n"/>
      <c r="E8" s="53" t="n"/>
    </row>
    <row r="9" ht="36" customHeight="1" s="52">
      <c r="A9" s="53" t="n"/>
      <c r="B9" s="64" t="inlineStr">
        <is>
          <t>🔴  ROJO — 6 a 12 pts</t>
        </is>
      </c>
      <c r="C9" s="65" t="inlineStr">
        <is>
          <t>Seguimiento Intensivo
Plan de acompañamiento · Reunión con familia · Derivación · Coordinación con convivencia/orientación/PIE · Seguimiento semanal</t>
        </is>
      </c>
      <c r="D9" s="59" t="n"/>
      <c r="E9" s="53" t="n"/>
    </row>
    <row r="10" ht="15" customHeight="1" s="52">
      <c r="A10" s="53" t="n"/>
      <c r="B10" s="53" t="n"/>
      <c r="C10" s="53" t="n"/>
      <c r="D10" s="53" t="n"/>
      <c r="E10" s="53" t="n"/>
    </row>
    <row r="11" ht="18" customHeight="1" s="52">
      <c r="A11" s="53" t="n"/>
      <c r="B11" s="58" t="inlineStr">
        <is>
          <t>CRITERIOS DE OBSERVACIÓN (0–3 por ámbito)</t>
        </is>
      </c>
      <c r="C11" s="59" t="n"/>
      <c r="D11" s="59" t="n"/>
      <c r="E11" s="53" t="n"/>
    </row>
    <row r="12" ht="15.75" customHeight="1" s="52">
      <c r="A12" s="53" t="n"/>
      <c r="B12" s="66" t="inlineStr">
        <is>
          <t>TRAYECTORIA EDUCATIVA</t>
        </is>
      </c>
      <c r="C12" s="66" t="inlineStr">
        <is>
          <t>ÁMBITO ACADÉMICO</t>
        </is>
      </c>
      <c r="D12" s="66" t="inlineStr">
        <is>
          <t>ÁMBITO CONDUCTUAL</t>
        </is>
      </c>
      <c r="E12" s="53" t="n"/>
    </row>
    <row r="13" ht="15" customHeight="1" s="52">
      <c r="A13" s="53" t="n"/>
      <c r="B13" s="67" t="inlineStr">
        <is>
          <t>0 - Trayectoria regular</t>
        </is>
      </c>
      <c r="C13" s="68" t="inlineStr">
        <is>
          <t>0 - Sin alertas académicas</t>
        </is>
      </c>
      <c r="D13" s="69" t="inlineStr">
        <is>
          <t>0 - Sin observaciones conductuales</t>
        </is>
      </c>
      <c r="E13" s="53" t="n"/>
    </row>
    <row r="14" ht="15" customHeight="1" s="52">
      <c r="A14" s="53" t="n"/>
      <c r="B14" s="67" t="inlineStr">
        <is>
          <t>1 - Alertas leves o puntuales</t>
        </is>
      </c>
      <c r="C14" s="68" t="inlineStr">
        <is>
          <t>1 - Descenso leve o puntual</t>
        </is>
      </c>
      <c r="D14" s="69" t="inlineStr">
        <is>
          <t>1 - Conductas ocasionales</t>
        </is>
      </c>
      <c r="E14" s="53" t="n"/>
    </row>
    <row r="15" ht="15" customHeight="1" s="52">
      <c r="A15" s="53" t="n"/>
      <c r="B15" s="67" t="inlineStr">
        <is>
          <t>2 - Dificultades reiteradas</t>
        </is>
      </c>
      <c r="C15" s="68" t="inlineStr">
        <is>
          <t>2 - Descenso sostenido / varias asignaturas</t>
        </is>
      </c>
      <c r="D15" s="69" t="inlineStr">
        <is>
          <t>2 - Conductas reiteradas</t>
        </is>
      </c>
      <c r="E15" s="53" t="n"/>
    </row>
    <row r="16" ht="15" customHeight="1" s="52">
      <c r="A16" s="53" t="n"/>
      <c r="B16" s="67" t="inlineStr">
        <is>
          <t>3 - Riesgo alto de deserción</t>
        </is>
      </c>
      <c r="C16" s="68" t="inlineStr">
        <is>
          <t>3 - Riesgo académico significativo</t>
        </is>
      </c>
      <c r="D16" s="69" t="inlineStr">
        <is>
          <t>3 - Conductas frecuentes / afectan convivencia</t>
        </is>
      </c>
      <c r="E16" s="53" t="n"/>
    </row>
    <row r="17" ht="15.75" customHeight="1" s="52">
      <c r="A17" s="53" t="n"/>
      <c r="B17" s="66" t="inlineStr">
        <is>
          <t>ÁMBITO SOCIOEMOCIONAL</t>
        </is>
      </c>
      <c r="C17" s="70" t="inlineStr">
        <is>
          <t>INSTRUCCIONES DE USO</t>
        </is>
      </c>
      <c r="D17" s="59" t="n"/>
      <c r="E17" s="53" t="n"/>
    </row>
    <row r="18" ht="15" customHeight="1" s="52">
      <c r="A18" s="53" t="n"/>
      <c r="B18" s="71" t="inlineStr">
        <is>
          <t>0 - Ajuste adecuado</t>
        </is>
      </c>
      <c r="C18" s="72" t="inlineStr">
        <is>
          <t>1. Ir a la hoja del curso correspondiente (ej: KB, 1A, 3mB...)</t>
        </is>
      </c>
      <c r="D18" s="59" t="n"/>
      <c r="E18" s="53" t="n"/>
    </row>
    <row r="19" ht="15" customHeight="1" s="52">
      <c r="A19" s="53" t="n"/>
      <c r="B19" s="71" t="inlineStr">
        <is>
          <t>1 - Señales leves de preocupación</t>
        </is>
      </c>
      <c r="C19" s="72" t="inlineStr">
        <is>
          <t>2. Ingresar nombre del estudiante y mentor en las columnas B y C</t>
        </is>
      </c>
      <c r="D19" s="59" t="n"/>
      <c r="E19" s="53" t="n"/>
    </row>
    <row r="20" ht="15" customHeight="1" s="52">
      <c r="A20" s="53" t="n"/>
      <c r="B20" s="71" t="inlineStr">
        <is>
          <t>2 - Dificultades persistentes</t>
        </is>
      </c>
      <c r="C20" s="72" t="inlineStr">
        <is>
          <t>3. Seleccionar el puntaje de cada ámbito con el menú desplegable</t>
        </is>
      </c>
      <c r="D20" s="59" t="n"/>
      <c r="E20" s="53" t="n"/>
    </row>
    <row r="21" ht="15" customHeight="1" s="52">
      <c r="A21" s="53" t="n"/>
      <c r="B21" s="71" t="inlineStr">
        <is>
          <t>3 - Alta vulnerabilidad o riesgo</t>
        </is>
      </c>
      <c r="C21" s="72" t="inlineStr">
        <is>
          <t>4. El Total y Semáforo se calculan automáticamente</t>
        </is>
      </c>
      <c r="D21" s="59" t="n"/>
      <c r="E21" s="53" t="n"/>
    </row>
    <row r="22" ht="15" customHeight="1" s="52">
      <c r="A22" s="53" t="n"/>
      <c r="B22" s="53" t="n"/>
      <c r="C22" s="72" t="inlineStr">
        <is>
          <t>5. Ver hoja RESUMEN para estadísticas de todos los cursos</t>
        </is>
      </c>
      <c r="D22" s="59" t="n"/>
      <c r="E22" s="53" t="n"/>
    </row>
    <row r="23" ht="15" customHeight="1" s="52">
      <c r="A23" s="53" t="n"/>
      <c r="B23" s="53" t="n"/>
      <c r="C23" s="72" t="inlineStr">
        <is>
          <t>6. Ver hoja BÚSQUEDA para filtrar estudiantes por criterios</t>
        </is>
      </c>
      <c r="D23" s="59" t="n"/>
      <c r="E23" s="53" t="n"/>
    </row>
    <row r="24" ht="15" customHeight="1" s="52">
      <c r="A24" s="53" t="n"/>
      <c r="B24" s="53" t="n"/>
      <c r="C24" s="53" t="n"/>
      <c r="D24" s="53" t="n"/>
      <c r="E24" s="53" t="n"/>
    </row>
    <row r="25" ht="15" customHeight="1" s="52">
      <c r="A25" s="53" t="n"/>
      <c r="B25" s="53" t="n"/>
      <c r="C25" s="53" t="n"/>
      <c r="D25" s="53" t="n"/>
      <c r="E25" s="53" t="n"/>
    </row>
    <row r="26" ht="15" customHeight="1" s="52">
      <c r="A26" s="53" t="n"/>
      <c r="B26" s="53" t="n"/>
      <c r="C26" s="53" t="n"/>
      <c r="D26" s="53" t="n"/>
      <c r="E26" s="53" t="n"/>
    </row>
    <row r="27" ht="15" customHeight="1" s="52">
      <c r="A27" s="53" t="n"/>
      <c r="B27" s="53" t="n"/>
      <c r="C27" s="53" t="n"/>
      <c r="D27" s="53" t="n"/>
      <c r="E27" s="53" t="n"/>
    </row>
    <row r="28" ht="15" customHeight="1" s="52">
      <c r="A28" s="53" t="n"/>
      <c r="B28" s="53" t="n"/>
      <c r="C28" s="53" t="n"/>
      <c r="D28" s="53" t="n"/>
      <c r="E28" s="53" t="n"/>
    </row>
    <row r="29" ht="15" customHeight="1" s="52">
      <c r="A29" s="53" t="n"/>
      <c r="B29" s="53" t="n"/>
      <c r="C29" s="53" t="n"/>
      <c r="D29" s="53" t="n"/>
      <c r="E29" s="53" t="n"/>
    </row>
    <row r="30" ht="15" customHeight="1" s="52">
      <c r="A30" s="53" t="n"/>
      <c r="B30" s="53" t="n"/>
      <c r="C30" s="53" t="n"/>
      <c r="D30" s="53" t="n"/>
      <c r="E30" s="53" t="n"/>
    </row>
  </sheetData>
  <mergeCells count="14">
    <mergeCell ref="B2:D3"/>
    <mergeCell ref="B11:D11"/>
    <mergeCell ref="C20:D20"/>
    <mergeCell ref="C17:D17"/>
    <mergeCell ref="C21:D21"/>
    <mergeCell ref="C7:D7"/>
    <mergeCell ref="B6:D6"/>
    <mergeCell ref="B4:D4"/>
    <mergeCell ref="C19:D19"/>
    <mergeCell ref="C22:D22"/>
    <mergeCell ref="C9:D9"/>
    <mergeCell ref="C23:D23"/>
    <mergeCell ref="C18:D18"/>
    <mergeCell ref="C8:D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030A0"/>
    <outlinePr summaryBelow="1" summaryRight="1"/>
    <pageSetUpPr fitToPage="0"/>
  </sheetPr>
  <dimension ref="A1:J55"/>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PKA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PKA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030A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PKB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PKB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030A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PKC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PKC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0B0F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KA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KA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0B0F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KB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KB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00B0F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KC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KC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5A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5A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5B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5B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5C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5C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6A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6A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6B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6B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6C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6C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7A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7A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7B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7B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7C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7C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8A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8A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8B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8B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tabColor rgb="FF00B05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8C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8C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1mA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1mA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1mB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1mB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1mC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1mC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2mA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2mA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2mB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2mB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2mC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2mC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2mD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2mD</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3mA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3mA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3mB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3mB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3mC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3mC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3mD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3mD</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4mA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4mA</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4mB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4mB</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4mC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4mC</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tabColor rgb="FFFF6600"/>
    <outlinePr summaryBelow="1" summaryRight="1"/>
    <pageSetUpPr fitToPage="0"/>
  </sheetPr>
  <dimension ref="A1:J5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4" customWidth="1" style="51" min="1" max="1"/>
    <col width="28" customWidth="1" style="51" min="2" max="2"/>
    <col width="22" customWidth="1" style="51" min="3" max="3"/>
    <col width="26" customWidth="1" style="51" min="4" max="5"/>
    <col width="28" customWidth="1" style="51" min="6" max="6"/>
    <col width="26" customWidth="1" style="51" min="7" max="7"/>
    <col width="7" customWidth="1" style="51" min="8" max="8"/>
    <col width="14" customWidth="1" style="51" min="9" max="9"/>
    <col width="32" customWidth="1" style="51" min="10" max="10"/>
  </cols>
  <sheetData>
    <row r="1" ht="25.5" customHeight="1" s="52">
      <c r="A1" s="73" t="inlineStr">
        <is>
          <t>CURSO 4mD — Registro de Seguimiento de Estudiantes</t>
        </is>
      </c>
    </row>
    <row r="2" ht="13.5" customHeight="1" s="52">
      <c r="A2" s="74" t="inlineStr">
        <is>
          <t>PUNTAJES:  0 = Sin alerta / Regular     1 = Alerta leve     2 = Alerta moderada / Reiterada     3 = Alto riesgo     │  SEMÁFORO: Verde 0-2 · Amarillo 3-5 · Rojo 6-12</t>
        </is>
      </c>
    </row>
    <row r="3" ht="15.75" customHeight="1" s="52">
      <c r="D3" s="70" t="inlineStr">
        <is>
          <t>PUNTAJES POR ÁMBITO  (seleccionar del menú desplegable)</t>
        </is>
      </c>
      <c r="E3" s="59" t="n"/>
      <c r="F3" s="59" t="n"/>
      <c r="G3" s="59" t="n"/>
      <c r="H3" s="75" t="inlineStr">
        <is>
          <t>RESULTADO</t>
        </is>
      </c>
      <c r="I3" s="59" t="n"/>
    </row>
    <row r="4" ht="30" customHeight="1" s="52">
      <c r="A4" s="76" t="inlineStr">
        <is>
          <t>N°</t>
        </is>
      </c>
      <c r="B4" s="76" t="inlineStr">
        <is>
          <t>NOMBRE ESTUDIANTE</t>
        </is>
      </c>
      <c r="C4" s="76" t="inlineStr">
        <is>
          <t>MENTOR
RESPONSABLE</t>
        </is>
      </c>
      <c r="D4" s="66" t="inlineStr">
        <is>
          <t>TRAYECTORIA
EDUCATIVA</t>
        </is>
      </c>
      <c r="E4" s="66" t="inlineStr">
        <is>
          <t>ÁMBITO
ACADÉMICO</t>
        </is>
      </c>
      <c r="F4" s="66" t="inlineStr">
        <is>
          <t>ÁMBITO
CONDUCTUAL</t>
        </is>
      </c>
      <c r="G4" s="66" t="inlineStr">
        <is>
          <t>ÁMBITO
SOCIOEMOCIONAL</t>
        </is>
      </c>
      <c r="H4" s="76" t="inlineStr">
        <is>
          <t>TOTAL</t>
        </is>
      </c>
      <c r="I4" s="76" t="inlineStr">
        <is>
          <t>SEMÁFORO</t>
        </is>
      </c>
      <c r="J4" s="76" t="inlineStr">
        <is>
          <t>OBSERVACIONES / NOTAS</t>
        </is>
      </c>
    </row>
    <row r="5" ht="18" customHeight="1" s="52">
      <c r="A5" s="77">
        <f>IF(B5&lt;&gt;"",ROW()-4,"")</f>
        <v/>
      </c>
      <c r="B5" s="78" t="n"/>
      <c r="C5" s="78" t="n"/>
      <c r="D5" s="78" t="n"/>
      <c r="E5" s="78" t="n"/>
      <c r="F5" s="78" t="n"/>
      <c r="G5" s="78" t="n"/>
      <c r="H5" s="79">
        <f>IF(B5="","",IFERROR(IF(D5="",0,VALUE(LEFT(D5,1)))+IF(E5="",0,VALUE(LEFT(E5,1)))+IF(F5="",0,VALUE(LEFT(F5,1)))+IF(G5="",0,VALUE(LEFT(G5,1))),0))</f>
        <v/>
      </c>
      <c r="I5" s="80">
        <f>IF(B5="","",IF(H5&lt;=2,"🟢 VERDE",IF(H5&lt;=5,"🟡 AMARILLO","🔴 ROJO")))</f>
        <v/>
      </c>
      <c r="J5" s="78" t="n"/>
    </row>
    <row r="6" ht="18" customHeight="1" s="52">
      <c r="A6" s="81">
        <f>IF(B6&lt;&gt;"",ROW()-4,"")</f>
        <v/>
      </c>
      <c r="B6" s="82" t="n"/>
      <c r="C6" s="82" t="n"/>
      <c r="D6" s="82" t="n"/>
      <c r="E6" s="82" t="n"/>
      <c r="F6" s="82" t="n"/>
      <c r="G6" s="82" t="n"/>
      <c r="H6" s="83">
        <f>IF(B6="","",IFERROR(IF(D6="",0,VALUE(LEFT(D6,1)))+IF(E6="",0,VALUE(LEFT(E6,1)))+IF(F6="",0,VALUE(LEFT(F6,1)))+IF(G6="",0,VALUE(LEFT(G6,1))),0))</f>
        <v/>
      </c>
      <c r="I6" s="84">
        <f>IF(B6="","",IF(H6&lt;=2,"🟢 VERDE",IF(H6&lt;=5,"🟡 AMARILLO","🔴 ROJO")))</f>
        <v/>
      </c>
      <c r="J6" s="82" t="n"/>
    </row>
    <row r="7" ht="18" customHeight="1" s="52">
      <c r="A7" s="77">
        <f>IF(B7&lt;&gt;"",ROW()-4,"")</f>
        <v/>
      </c>
      <c r="B7" s="78" t="n"/>
      <c r="C7" s="78" t="n"/>
      <c r="D7" s="78" t="n"/>
      <c r="E7" s="78" t="n"/>
      <c r="F7" s="78" t="n"/>
      <c r="G7" s="78" t="n"/>
      <c r="H7" s="79">
        <f>IF(B7="","",IFERROR(IF(D7="",0,VALUE(LEFT(D7,1)))+IF(E7="",0,VALUE(LEFT(E7,1)))+IF(F7="",0,VALUE(LEFT(F7,1)))+IF(G7="",0,VALUE(LEFT(G7,1))),0))</f>
        <v/>
      </c>
      <c r="I7" s="80">
        <f>IF(B7="","",IF(H7&lt;=2,"🟢 VERDE",IF(H7&lt;=5,"🟡 AMARILLO","🔴 ROJO")))</f>
        <v/>
      </c>
      <c r="J7" s="78" t="n"/>
    </row>
    <row r="8" ht="18" customHeight="1" s="52">
      <c r="A8" s="81">
        <f>IF(B8&lt;&gt;"",ROW()-4,"")</f>
        <v/>
      </c>
      <c r="B8" s="82" t="n"/>
      <c r="C8" s="82" t="n"/>
      <c r="D8" s="82" t="n"/>
      <c r="E8" s="82" t="n"/>
      <c r="F8" s="82" t="n"/>
      <c r="G8" s="82" t="n"/>
      <c r="H8" s="83">
        <f>IF(B8="","",IFERROR(IF(D8="",0,VALUE(LEFT(D8,1)))+IF(E8="",0,VALUE(LEFT(E8,1)))+IF(F8="",0,VALUE(LEFT(F8,1)))+IF(G8="",0,VALUE(LEFT(G8,1))),0))</f>
        <v/>
      </c>
      <c r="I8" s="84">
        <f>IF(B8="","",IF(H8&lt;=2,"🟢 VERDE",IF(H8&lt;=5,"🟡 AMARILLO","🔴 ROJO")))</f>
        <v/>
      </c>
      <c r="J8" s="82" t="n"/>
    </row>
    <row r="9" ht="18" customHeight="1" s="52">
      <c r="A9" s="77">
        <f>IF(B9&lt;&gt;"",ROW()-4,"")</f>
        <v/>
      </c>
      <c r="B9" s="78" t="n"/>
      <c r="C9" s="78" t="n"/>
      <c r="D9" s="78" t="n"/>
      <c r="E9" s="78" t="n"/>
      <c r="F9" s="78" t="n"/>
      <c r="G9" s="78" t="n"/>
      <c r="H9" s="79">
        <f>IF(B9="","",IFERROR(IF(D9="",0,VALUE(LEFT(D9,1)))+IF(E9="",0,VALUE(LEFT(E9,1)))+IF(F9="",0,VALUE(LEFT(F9,1)))+IF(G9="",0,VALUE(LEFT(G9,1))),0))</f>
        <v/>
      </c>
      <c r="I9" s="80">
        <f>IF(B9="","",IF(H9&lt;=2,"🟢 VERDE",IF(H9&lt;=5,"🟡 AMARILLO","🔴 ROJO")))</f>
        <v/>
      </c>
      <c r="J9" s="78" t="n"/>
    </row>
    <row r="10" ht="18" customHeight="1" s="52">
      <c r="A10" s="81">
        <f>IF(B10&lt;&gt;"",ROW()-4,"")</f>
        <v/>
      </c>
      <c r="B10" s="82" t="n"/>
      <c r="C10" s="82" t="n"/>
      <c r="D10" s="82" t="n"/>
      <c r="E10" s="82" t="n"/>
      <c r="F10" s="82" t="n"/>
      <c r="G10" s="82" t="n"/>
      <c r="H10" s="83">
        <f>IF(B10="","",IFERROR(IF(D10="",0,VALUE(LEFT(D10,1)))+IF(E10="",0,VALUE(LEFT(E10,1)))+IF(F10="",0,VALUE(LEFT(F10,1)))+IF(G10="",0,VALUE(LEFT(G10,1))),0))</f>
        <v/>
      </c>
      <c r="I10" s="84">
        <f>IF(B10="","",IF(H10&lt;=2,"🟢 VERDE",IF(H10&lt;=5,"🟡 AMARILLO","🔴 ROJO")))</f>
        <v/>
      </c>
      <c r="J10" s="82" t="n"/>
    </row>
    <row r="11" ht="18" customHeight="1" s="52">
      <c r="A11" s="77">
        <f>IF(B11&lt;&gt;"",ROW()-4,"")</f>
        <v/>
      </c>
      <c r="B11" s="78" t="n"/>
      <c r="C11" s="78" t="n"/>
      <c r="D11" s="78" t="n"/>
      <c r="E11" s="78" t="n"/>
      <c r="F11" s="78" t="n"/>
      <c r="G11" s="78" t="n"/>
      <c r="H11" s="79">
        <f>IF(B11="","",IFERROR(IF(D11="",0,VALUE(LEFT(D11,1)))+IF(E11="",0,VALUE(LEFT(E11,1)))+IF(F11="",0,VALUE(LEFT(F11,1)))+IF(G11="",0,VALUE(LEFT(G11,1))),0))</f>
        <v/>
      </c>
      <c r="I11" s="80">
        <f>IF(B11="","",IF(H11&lt;=2,"🟢 VERDE",IF(H11&lt;=5,"🟡 AMARILLO","🔴 ROJO")))</f>
        <v/>
      </c>
      <c r="J11" s="78" t="n"/>
    </row>
    <row r="12" ht="18" customHeight="1" s="52">
      <c r="A12" s="81">
        <f>IF(B12&lt;&gt;"",ROW()-4,"")</f>
        <v/>
      </c>
      <c r="B12" s="82" t="n"/>
      <c r="C12" s="82" t="n"/>
      <c r="D12" s="82" t="n"/>
      <c r="E12" s="82" t="n"/>
      <c r="F12" s="82" t="n"/>
      <c r="G12" s="82" t="n"/>
      <c r="H12" s="83">
        <f>IF(B12="","",IFERROR(IF(D12="",0,VALUE(LEFT(D12,1)))+IF(E12="",0,VALUE(LEFT(E12,1)))+IF(F12="",0,VALUE(LEFT(F12,1)))+IF(G12="",0,VALUE(LEFT(G12,1))),0))</f>
        <v/>
      </c>
      <c r="I12" s="84">
        <f>IF(B12="","",IF(H12&lt;=2,"🟢 VERDE",IF(H12&lt;=5,"🟡 AMARILLO","🔴 ROJO")))</f>
        <v/>
      </c>
      <c r="J12" s="82" t="n"/>
    </row>
    <row r="13" ht="18" customHeight="1" s="52">
      <c r="A13" s="77">
        <f>IF(B13&lt;&gt;"",ROW()-4,"")</f>
        <v/>
      </c>
      <c r="B13" s="78" t="n"/>
      <c r="C13" s="78" t="n"/>
      <c r="D13" s="78" t="n"/>
      <c r="E13" s="78" t="n"/>
      <c r="F13" s="78" t="n"/>
      <c r="G13" s="78" t="n"/>
      <c r="H13" s="79">
        <f>IF(B13="","",IFERROR(IF(D13="",0,VALUE(LEFT(D13,1)))+IF(E13="",0,VALUE(LEFT(E13,1)))+IF(F13="",0,VALUE(LEFT(F13,1)))+IF(G13="",0,VALUE(LEFT(G13,1))),0))</f>
        <v/>
      </c>
      <c r="I13" s="80">
        <f>IF(B13="","",IF(H13&lt;=2,"🟢 VERDE",IF(H13&lt;=5,"🟡 AMARILLO","🔴 ROJO")))</f>
        <v/>
      </c>
      <c r="J13" s="78" t="n"/>
    </row>
    <row r="14" ht="18" customHeight="1" s="52">
      <c r="A14" s="81">
        <f>IF(B14&lt;&gt;"",ROW()-4,"")</f>
        <v/>
      </c>
      <c r="B14" s="82" t="n"/>
      <c r="C14" s="82" t="n"/>
      <c r="D14" s="82" t="n"/>
      <c r="E14" s="82" t="n"/>
      <c r="F14" s="82" t="n"/>
      <c r="G14" s="82" t="n"/>
      <c r="H14" s="83">
        <f>IF(B14="","",IFERROR(IF(D14="",0,VALUE(LEFT(D14,1)))+IF(E14="",0,VALUE(LEFT(E14,1)))+IF(F14="",0,VALUE(LEFT(F14,1)))+IF(G14="",0,VALUE(LEFT(G14,1))),0))</f>
        <v/>
      </c>
      <c r="I14" s="84">
        <f>IF(B14="","",IF(H14&lt;=2,"🟢 VERDE",IF(H14&lt;=5,"🟡 AMARILLO","🔴 ROJO")))</f>
        <v/>
      </c>
      <c r="J14" s="82" t="n"/>
    </row>
    <row r="15" ht="18" customHeight="1" s="52">
      <c r="A15" s="77">
        <f>IF(B15&lt;&gt;"",ROW()-4,"")</f>
        <v/>
      </c>
      <c r="B15" s="78" t="n"/>
      <c r="C15" s="78" t="n"/>
      <c r="D15" s="78" t="n"/>
      <c r="E15" s="78" t="n"/>
      <c r="F15" s="78" t="n"/>
      <c r="G15" s="78" t="n"/>
      <c r="H15" s="79">
        <f>IF(B15="","",IFERROR(IF(D15="",0,VALUE(LEFT(D15,1)))+IF(E15="",0,VALUE(LEFT(E15,1)))+IF(F15="",0,VALUE(LEFT(F15,1)))+IF(G15="",0,VALUE(LEFT(G15,1))),0))</f>
        <v/>
      </c>
      <c r="I15" s="80">
        <f>IF(B15="","",IF(H15&lt;=2,"🟢 VERDE",IF(H15&lt;=5,"🟡 AMARILLO","🔴 ROJO")))</f>
        <v/>
      </c>
      <c r="J15" s="78" t="n"/>
    </row>
    <row r="16" ht="18" customHeight="1" s="52">
      <c r="A16" s="81">
        <f>IF(B16&lt;&gt;"",ROW()-4,"")</f>
        <v/>
      </c>
      <c r="B16" s="82" t="n"/>
      <c r="C16" s="82" t="n"/>
      <c r="D16" s="82" t="n"/>
      <c r="E16" s="82" t="n"/>
      <c r="F16" s="82" t="n"/>
      <c r="G16" s="82" t="n"/>
      <c r="H16" s="83">
        <f>IF(B16="","",IFERROR(IF(D16="",0,VALUE(LEFT(D16,1)))+IF(E16="",0,VALUE(LEFT(E16,1)))+IF(F16="",0,VALUE(LEFT(F16,1)))+IF(G16="",0,VALUE(LEFT(G16,1))),0))</f>
        <v/>
      </c>
      <c r="I16" s="84">
        <f>IF(B16="","",IF(H16&lt;=2,"🟢 VERDE",IF(H16&lt;=5,"🟡 AMARILLO","🔴 ROJO")))</f>
        <v/>
      </c>
      <c r="J16" s="82" t="n"/>
    </row>
    <row r="17" ht="18" customHeight="1" s="52">
      <c r="A17" s="77">
        <f>IF(B17&lt;&gt;"",ROW()-4,"")</f>
        <v/>
      </c>
      <c r="B17" s="78" t="n"/>
      <c r="C17" s="78" t="n"/>
      <c r="D17" s="78" t="n"/>
      <c r="E17" s="78" t="n"/>
      <c r="F17" s="78" t="n"/>
      <c r="G17" s="78" t="n"/>
      <c r="H17" s="79">
        <f>IF(B17="","",IFERROR(IF(D17="",0,VALUE(LEFT(D17,1)))+IF(E17="",0,VALUE(LEFT(E17,1)))+IF(F17="",0,VALUE(LEFT(F17,1)))+IF(G17="",0,VALUE(LEFT(G17,1))),0))</f>
        <v/>
      </c>
      <c r="I17" s="80">
        <f>IF(B17="","",IF(H17&lt;=2,"🟢 VERDE",IF(H17&lt;=5,"🟡 AMARILLO","🔴 ROJO")))</f>
        <v/>
      </c>
      <c r="J17" s="78" t="n"/>
    </row>
    <row r="18" ht="18" customHeight="1" s="52">
      <c r="A18" s="81">
        <f>IF(B18&lt;&gt;"",ROW()-4,"")</f>
        <v/>
      </c>
      <c r="B18" s="82" t="n"/>
      <c r="C18" s="82" t="n"/>
      <c r="D18" s="82" t="n"/>
      <c r="E18" s="82" t="n"/>
      <c r="F18" s="82" t="n"/>
      <c r="G18" s="82" t="n"/>
      <c r="H18" s="83">
        <f>IF(B18="","",IFERROR(IF(D18="",0,VALUE(LEFT(D18,1)))+IF(E18="",0,VALUE(LEFT(E18,1)))+IF(F18="",0,VALUE(LEFT(F18,1)))+IF(G18="",0,VALUE(LEFT(G18,1))),0))</f>
        <v/>
      </c>
      <c r="I18" s="84">
        <f>IF(B18="","",IF(H18&lt;=2,"🟢 VERDE",IF(H18&lt;=5,"🟡 AMARILLO","🔴 ROJO")))</f>
        <v/>
      </c>
      <c r="J18" s="82" t="n"/>
    </row>
    <row r="19" ht="18" customHeight="1" s="52">
      <c r="A19" s="77">
        <f>IF(B19&lt;&gt;"",ROW()-4,"")</f>
        <v/>
      </c>
      <c r="B19" s="78" t="n"/>
      <c r="C19" s="78" t="n"/>
      <c r="D19" s="78" t="n"/>
      <c r="E19" s="78" t="n"/>
      <c r="F19" s="78" t="n"/>
      <c r="G19" s="78" t="n"/>
      <c r="H19" s="79">
        <f>IF(B19="","",IFERROR(IF(D19="",0,VALUE(LEFT(D19,1)))+IF(E19="",0,VALUE(LEFT(E19,1)))+IF(F19="",0,VALUE(LEFT(F19,1)))+IF(G19="",0,VALUE(LEFT(G19,1))),0))</f>
        <v/>
      </c>
      <c r="I19" s="80">
        <f>IF(B19="","",IF(H19&lt;=2,"🟢 VERDE",IF(H19&lt;=5,"🟡 AMARILLO","🔴 ROJO")))</f>
        <v/>
      </c>
      <c r="J19" s="78" t="n"/>
    </row>
    <row r="20" ht="18" customHeight="1" s="52">
      <c r="A20" s="81">
        <f>IF(B20&lt;&gt;"",ROW()-4,"")</f>
        <v/>
      </c>
      <c r="B20" s="82" t="n"/>
      <c r="C20" s="82" t="n"/>
      <c r="D20" s="82" t="n"/>
      <c r="E20" s="82" t="n"/>
      <c r="F20" s="82" t="n"/>
      <c r="G20" s="82" t="n"/>
      <c r="H20" s="83">
        <f>IF(B20="","",IFERROR(IF(D20="",0,VALUE(LEFT(D20,1)))+IF(E20="",0,VALUE(LEFT(E20,1)))+IF(F20="",0,VALUE(LEFT(F20,1)))+IF(G20="",0,VALUE(LEFT(G20,1))),0))</f>
        <v/>
      </c>
      <c r="I20" s="84">
        <f>IF(B20="","",IF(H20&lt;=2,"🟢 VERDE",IF(H20&lt;=5,"🟡 AMARILLO","🔴 ROJO")))</f>
        <v/>
      </c>
      <c r="J20" s="82" t="n"/>
    </row>
    <row r="21" ht="18" customHeight="1" s="52">
      <c r="A21" s="77">
        <f>IF(B21&lt;&gt;"",ROW()-4,"")</f>
        <v/>
      </c>
      <c r="B21" s="78" t="n"/>
      <c r="C21" s="78" t="n"/>
      <c r="D21" s="78" t="n"/>
      <c r="E21" s="78" t="n"/>
      <c r="F21" s="78" t="n"/>
      <c r="G21" s="78" t="n"/>
      <c r="H21" s="79">
        <f>IF(B21="","",IFERROR(IF(D21="",0,VALUE(LEFT(D21,1)))+IF(E21="",0,VALUE(LEFT(E21,1)))+IF(F21="",0,VALUE(LEFT(F21,1)))+IF(G21="",0,VALUE(LEFT(G21,1))),0))</f>
        <v/>
      </c>
      <c r="I21" s="80">
        <f>IF(B21="","",IF(H21&lt;=2,"🟢 VERDE",IF(H21&lt;=5,"🟡 AMARILLO","🔴 ROJO")))</f>
        <v/>
      </c>
      <c r="J21" s="78" t="n"/>
    </row>
    <row r="22" ht="18" customHeight="1" s="52">
      <c r="A22" s="81">
        <f>IF(B22&lt;&gt;"",ROW()-4,"")</f>
        <v/>
      </c>
      <c r="B22" s="82" t="n"/>
      <c r="C22" s="82" t="n"/>
      <c r="D22" s="82" t="n"/>
      <c r="E22" s="82" t="n"/>
      <c r="F22" s="82" t="n"/>
      <c r="G22" s="82" t="n"/>
      <c r="H22" s="83">
        <f>IF(B22="","",IFERROR(IF(D22="",0,VALUE(LEFT(D22,1)))+IF(E22="",0,VALUE(LEFT(E22,1)))+IF(F22="",0,VALUE(LEFT(F22,1)))+IF(G22="",0,VALUE(LEFT(G22,1))),0))</f>
        <v/>
      </c>
      <c r="I22" s="84">
        <f>IF(B22="","",IF(H22&lt;=2,"🟢 VERDE",IF(H22&lt;=5,"🟡 AMARILLO","🔴 ROJO")))</f>
        <v/>
      </c>
      <c r="J22" s="82" t="n"/>
    </row>
    <row r="23" ht="18" customHeight="1" s="52">
      <c r="A23" s="77">
        <f>IF(B23&lt;&gt;"",ROW()-4,"")</f>
        <v/>
      </c>
      <c r="B23" s="78" t="n"/>
      <c r="C23" s="78" t="n"/>
      <c r="D23" s="78" t="n"/>
      <c r="E23" s="78" t="n"/>
      <c r="F23" s="78" t="n"/>
      <c r="G23" s="78" t="n"/>
      <c r="H23" s="79">
        <f>IF(B23="","",IFERROR(IF(D23="",0,VALUE(LEFT(D23,1)))+IF(E23="",0,VALUE(LEFT(E23,1)))+IF(F23="",0,VALUE(LEFT(F23,1)))+IF(G23="",0,VALUE(LEFT(G23,1))),0))</f>
        <v/>
      </c>
      <c r="I23" s="80">
        <f>IF(B23="","",IF(H23&lt;=2,"🟢 VERDE",IF(H23&lt;=5,"🟡 AMARILLO","🔴 ROJO")))</f>
        <v/>
      </c>
      <c r="J23" s="78" t="n"/>
    </row>
    <row r="24" ht="18" customHeight="1" s="52">
      <c r="A24" s="81">
        <f>IF(B24&lt;&gt;"",ROW()-4,"")</f>
        <v/>
      </c>
      <c r="B24" s="82" t="n"/>
      <c r="C24" s="82" t="n"/>
      <c r="D24" s="82" t="n"/>
      <c r="E24" s="82" t="n"/>
      <c r="F24" s="82" t="n"/>
      <c r="G24" s="82" t="n"/>
      <c r="H24" s="83">
        <f>IF(B24="","",IFERROR(IF(D24="",0,VALUE(LEFT(D24,1)))+IF(E24="",0,VALUE(LEFT(E24,1)))+IF(F24="",0,VALUE(LEFT(F24,1)))+IF(G24="",0,VALUE(LEFT(G24,1))),0))</f>
        <v/>
      </c>
      <c r="I24" s="84">
        <f>IF(B24="","",IF(H24&lt;=2,"🟢 VERDE",IF(H24&lt;=5,"🟡 AMARILLO","🔴 ROJO")))</f>
        <v/>
      </c>
      <c r="J24" s="82" t="n"/>
    </row>
    <row r="25" ht="18" customHeight="1" s="52">
      <c r="A25" s="77">
        <f>IF(B25&lt;&gt;"",ROW()-4,"")</f>
        <v/>
      </c>
      <c r="B25" s="78" t="n"/>
      <c r="C25" s="78" t="n"/>
      <c r="D25" s="78" t="n"/>
      <c r="E25" s="78" t="n"/>
      <c r="F25" s="78" t="n"/>
      <c r="G25" s="78" t="n"/>
      <c r="H25" s="79">
        <f>IF(B25="","",IFERROR(IF(D25="",0,VALUE(LEFT(D25,1)))+IF(E25="",0,VALUE(LEFT(E25,1)))+IF(F25="",0,VALUE(LEFT(F25,1)))+IF(G25="",0,VALUE(LEFT(G25,1))),0))</f>
        <v/>
      </c>
      <c r="I25" s="80">
        <f>IF(B25="","",IF(H25&lt;=2,"🟢 VERDE",IF(H25&lt;=5,"🟡 AMARILLO","🔴 ROJO")))</f>
        <v/>
      </c>
      <c r="J25" s="78" t="n"/>
    </row>
    <row r="26" ht="18" customHeight="1" s="52">
      <c r="A26" s="81">
        <f>IF(B26&lt;&gt;"",ROW()-4,"")</f>
        <v/>
      </c>
      <c r="B26" s="82" t="n"/>
      <c r="C26" s="82" t="n"/>
      <c r="D26" s="82" t="n"/>
      <c r="E26" s="82" t="n"/>
      <c r="F26" s="82" t="n"/>
      <c r="G26" s="82" t="n"/>
      <c r="H26" s="83">
        <f>IF(B26="","",IFERROR(IF(D26="",0,VALUE(LEFT(D26,1)))+IF(E26="",0,VALUE(LEFT(E26,1)))+IF(F26="",0,VALUE(LEFT(F26,1)))+IF(G26="",0,VALUE(LEFT(G26,1))),0))</f>
        <v/>
      </c>
      <c r="I26" s="84">
        <f>IF(B26="","",IF(H26&lt;=2,"🟢 VERDE",IF(H26&lt;=5,"🟡 AMARILLO","🔴 ROJO")))</f>
        <v/>
      </c>
      <c r="J26" s="82" t="n"/>
    </row>
    <row r="27" ht="18" customHeight="1" s="52">
      <c r="A27" s="77">
        <f>IF(B27&lt;&gt;"",ROW()-4,"")</f>
        <v/>
      </c>
      <c r="B27" s="78" t="n"/>
      <c r="C27" s="78" t="n"/>
      <c r="D27" s="78" t="n"/>
      <c r="E27" s="78" t="n"/>
      <c r="F27" s="78" t="n"/>
      <c r="G27" s="78" t="n"/>
      <c r="H27" s="79">
        <f>IF(B27="","",IFERROR(IF(D27="",0,VALUE(LEFT(D27,1)))+IF(E27="",0,VALUE(LEFT(E27,1)))+IF(F27="",0,VALUE(LEFT(F27,1)))+IF(G27="",0,VALUE(LEFT(G27,1))),0))</f>
        <v/>
      </c>
      <c r="I27" s="80">
        <f>IF(B27="","",IF(H27&lt;=2,"🟢 VERDE",IF(H27&lt;=5,"🟡 AMARILLO","🔴 ROJO")))</f>
        <v/>
      </c>
      <c r="J27" s="78" t="n"/>
    </row>
    <row r="28" ht="18" customHeight="1" s="52">
      <c r="A28" s="81">
        <f>IF(B28&lt;&gt;"",ROW()-4,"")</f>
        <v/>
      </c>
      <c r="B28" s="82" t="n"/>
      <c r="C28" s="82" t="n"/>
      <c r="D28" s="82" t="n"/>
      <c r="E28" s="82" t="n"/>
      <c r="F28" s="82" t="n"/>
      <c r="G28" s="82" t="n"/>
      <c r="H28" s="83">
        <f>IF(B28="","",IFERROR(IF(D28="",0,VALUE(LEFT(D28,1)))+IF(E28="",0,VALUE(LEFT(E28,1)))+IF(F28="",0,VALUE(LEFT(F28,1)))+IF(G28="",0,VALUE(LEFT(G28,1))),0))</f>
        <v/>
      </c>
      <c r="I28" s="84">
        <f>IF(B28="","",IF(H28&lt;=2,"🟢 VERDE",IF(H28&lt;=5,"🟡 AMARILLO","🔴 ROJO")))</f>
        <v/>
      </c>
      <c r="J28" s="82" t="n"/>
    </row>
    <row r="29" ht="18" customHeight="1" s="52">
      <c r="A29" s="77">
        <f>IF(B29&lt;&gt;"",ROW()-4,"")</f>
        <v/>
      </c>
      <c r="B29" s="78" t="n"/>
      <c r="C29" s="78" t="n"/>
      <c r="D29" s="78" t="n"/>
      <c r="E29" s="78" t="n"/>
      <c r="F29" s="78" t="n"/>
      <c r="G29" s="78" t="n"/>
      <c r="H29" s="79">
        <f>IF(B29="","",IFERROR(IF(D29="",0,VALUE(LEFT(D29,1)))+IF(E29="",0,VALUE(LEFT(E29,1)))+IF(F29="",0,VALUE(LEFT(F29,1)))+IF(G29="",0,VALUE(LEFT(G29,1))),0))</f>
        <v/>
      </c>
      <c r="I29" s="80">
        <f>IF(B29="","",IF(H29&lt;=2,"🟢 VERDE",IF(H29&lt;=5,"🟡 AMARILLO","🔴 ROJO")))</f>
        <v/>
      </c>
      <c r="J29" s="78" t="n"/>
    </row>
    <row r="30" ht="18" customHeight="1" s="52">
      <c r="A30" s="81">
        <f>IF(B30&lt;&gt;"",ROW()-4,"")</f>
        <v/>
      </c>
      <c r="B30" s="82" t="n"/>
      <c r="C30" s="82" t="n"/>
      <c r="D30" s="82" t="n"/>
      <c r="E30" s="82" t="n"/>
      <c r="F30" s="82" t="n"/>
      <c r="G30" s="82" t="n"/>
      <c r="H30" s="83">
        <f>IF(B30="","",IFERROR(IF(D30="",0,VALUE(LEFT(D30,1)))+IF(E30="",0,VALUE(LEFT(E30,1)))+IF(F30="",0,VALUE(LEFT(F30,1)))+IF(G30="",0,VALUE(LEFT(G30,1))),0))</f>
        <v/>
      </c>
      <c r="I30" s="84">
        <f>IF(B30="","",IF(H30&lt;=2,"🟢 VERDE",IF(H30&lt;=5,"🟡 AMARILLO","🔴 ROJO")))</f>
        <v/>
      </c>
      <c r="J30" s="82" t="n"/>
    </row>
    <row r="31" ht="18" customHeight="1" s="52">
      <c r="A31" s="77">
        <f>IF(B31&lt;&gt;"",ROW()-4,"")</f>
        <v/>
      </c>
      <c r="B31" s="78" t="n"/>
      <c r="C31" s="78" t="n"/>
      <c r="D31" s="78" t="n"/>
      <c r="E31" s="78" t="n"/>
      <c r="F31" s="78" t="n"/>
      <c r="G31" s="78" t="n"/>
      <c r="H31" s="79">
        <f>IF(B31="","",IFERROR(IF(D31="",0,VALUE(LEFT(D31,1)))+IF(E31="",0,VALUE(LEFT(E31,1)))+IF(F31="",0,VALUE(LEFT(F31,1)))+IF(G31="",0,VALUE(LEFT(G31,1))),0))</f>
        <v/>
      </c>
      <c r="I31" s="80">
        <f>IF(B31="","",IF(H31&lt;=2,"🟢 VERDE",IF(H31&lt;=5,"🟡 AMARILLO","🔴 ROJO")))</f>
        <v/>
      </c>
      <c r="J31" s="78" t="n"/>
    </row>
    <row r="32" ht="18" customHeight="1" s="52">
      <c r="A32" s="81">
        <f>IF(B32&lt;&gt;"",ROW()-4,"")</f>
        <v/>
      </c>
      <c r="B32" s="82" t="n"/>
      <c r="C32" s="82" t="n"/>
      <c r="D32" s="82" t="n"/>
      <c r="E32" s="82" t="n"/>
      <c r="F32" s="82" t="n"/>
      <c r="G32" s="82" t="n"/>
      <c r="H32" s="83">
        <f>IF(B32="","",IFERROR(IF(D32="",0,VALUE(LEFT(D32,1)))+IF(E32="",0,VALUE(LEFT(E32,1)))+IF(F32="",0,VALUE(LEFT(F32,1)))+IF(G32="",0,VALUE(LEFT(G32,1))),0))</f>
        <v/>
      </c>
      <c r="I32" s="84">
        <f>IF(B32="","",IF(H32&lt;=2,"🟢 VERDE",IF(H32&lt;=5,"🟡 AMARILLO","🔴 ROJO")))</f>
        <v/>
      </c>
      <c r="J32" s="82" t="n"/>
    </row>
    <row r="33" ht="18" customHeight="1" s="52">
      <c r="A33" s="77">
        <f>IF(B33&lt;&gt;"",ROW()-4,"")</f>
        <v/>
      </c>
      <c r="B33" s="78" t="n"/>
      <c r="C33" s="78" t="n"/>
      <c r="D33" s="78" t="n"/>
      <c r="E33" s="78" t="n"/>
      <c r="F33" s="78" t="n"/>
      <c r="G33" s="78" t="n"/>
      <c r="H33" s="79">
        <f>IF(B33="","",IFERROR(IF(D33="",0,VALUE(LEFT(D33,1)))+IF(E33="",0,VALUE(LEFT(E33,1)))+IF(F33="",0,VALUE(LEFT(F33,1)))+IF(G33="",0,VALUE(LEFT(G33,1))),0))</f>
        <v/>
      </c>
      <c r="I33" s="80">
        <f>IF(B33="","",IF(H33&lt;=2,"🟢 VERDE",IF(H33&lt;=5,"🟡 AMARILLO","🔴 ROJO")))</f>
        <v/>
      </c>
      <c r="J33" s="78" t="n"/>
    </row>
    <row r="34" ht="18" customHeight="1" s="52">
      <c r="A34" s="81">
        <f>IF(B34&lt;&gt;"",ROW()-4,"")</f>
        <v/>
      </c>
      <c r="B34" s="82" t="n"/>
      <c r="C34" s="82" t="n"/>
      <c r="D34" s="82" t="n"/>
      <c r="E34" s="82" t="n"/>
      <c r="F34" s="82" t="n"/>
      <c r="G34" s="82" t="n"/>
      <c r="H34" s="83">
        <f>IF(B34="","",IFERROR(IF(D34="",0,VALUE(LEFT(D34,1)))+IF(E34="",0,VALUE(LEFT(E34,1)))+IF(F34="",0,VALUE(LEFT(F34,1)))+IF(G34="",0,VALUE(LEFT(G34,1))),0))</f>
        <v/>
      </c>
      <c r="I34" s="84">
        <f>IF(B34="","",IF(H34&lt;=2,"🟢 VERDE",IF(H34&lt;=5,"🟡 AMARILLO","🔴 ROJO")))</f>
        <v/>
      </c>
      <c r="J34" s="82" t="n"/>
    </row>
    <row r="35" ht="18" customHeight="1" s="52">
      <c r="A35" s="77">
        <f>IF(B35&lt;&gt;"",ROW()-4,"")</f>
        <v/>
      </c>
      <c r="B35" s="78" t="n"/>
      <c r="C35" s="78" t="n"/>
      <c r="D35" s="78" t="n"/>
      <c r="E35" s="78" t="n"/>
      <c r="F35" s="78" t="n"/>
      <c r="G35" s="78" t="n"/>
      <c r="H35" s="79">
        <f>IF(B35="","",IFERROR(IF(D35="",0,VALUE(LEFT(D35,1)))+IF(E35="",0,VALUE(LEFT(E35,1)))+IF(F35="",0,VALUE(LEFT(F35,1)))+IF(G35="",0,VALUE(LEFT(G35,1))),0))</f>
        <v/>
      </c>
      <c r="I35" s="80">
        <f>IF(B35="","",IF(H35&lt;=2,"🟢 VERDE",IF(H35&lt;=5,"🟡 AMARILLO","🔴 ROJO")))</f>
        <v/>
      </c>
      <c r="J35" s="78" t="n"/>
    </row>
    <row r="36" ht="18" customHeight="1" s="52">
      <c r="A36" s="81">
        <f>IF(B36&lt;&gt;"",ROW()-4,"")</f>
        <v/>
      </c>
      <c r="B36" s="82" t="n"/>
      <c r="C36" s="82" t="n"/>
      <c r="D36" s="82" t="n"/>
      <c r="E36" s="82" t="n"/>
      <c r="F36" s="82" t="n"/>
      <c r="G36" s="82" t="n"/>
      <c r="H36" s="83">
        <f>IF(B36="","",IFERROR(IF(D36="",0,VALUE(LEFT(D36,1)))+IF(E36="",0,VALUE(LEFT(E36,1)))+IF(F36="",0,VALUE(LEFT(F36,1)))+IF(G36="",0,VALUE(LEFT(G36,1))),0))</f>
        <v/>
      </c>
      <c r="I36" s="84">
        <f>IF(B36="","",IF(H36&lt;=2,"🟢 VERDE",IF(H36&lt;=5,"🟡 AMARILLO","🔴 ROJO")))</f>
        <v/>
      </c>
      <c r="J36" s="82" t="n"/>
    </row>
    <row r="37" ht="18" customHeight="1" s="52">
      <c r="A37" s="77">
        <f>IF(B37&lt;&gt;"",ROW()-4,"")</f>
        <v/>
      </c>
      <c r="B37" s="78" t="n"/>
      <c r="C37" s="78" t="n"/>
      <c r="D37" s="78" t="n"/>
      <c r="E37" s="78" t="n"/>
      <c r="F37" s="78" t="n"/>
      <c r="G37" s="78" t="n"/>
      <c r="H37" s="79">
        <f>IF(B37="","",IFERROR(IF(D37="",0,VALUE(LEFT(D37,1)))+IF(E37="",0,VALUE(LEFT(E37,1)))+IF(F37="",0,VALUE(LEFT(F37,1)))+IF(G37="",0,VALUE(LEFT(G37,1))),0))</f>
        <v/>
      </c>
      <c r="I37" s="80">
        <f>IF(B37="","",IF(H37&lt;=2,"🟢 VERDE",IF(H37&lt;=5,"🟡 AMARILLO","🔴 ROJO")))</f>
        <v/>
      </c>
      <c r="J37" s="78" t="n"/>
    </row>
    <row r="38" ht="18" customHeight="1" s="52">
      <c r="A38" s="81">
        <f>IF(B38&lt;&gt;"",ROW()-4,"")</f>
        <v/>
      </c>
      <c r="B38" s="82" t="n"/>
      <c r="C38" s="82" t="n"/>
      <c r="D38" s="82" t="n"/>
      <c r="E38" s="82" t="n"/>
      <c r="F38" s="82" t="n"/>
      <c r="G38" s="82" t="n"/>
      <c r="H38" s="83">
        <f>IF(B38="","",IFERROR(IF(D38="",0,VALUE(LEFT(D38,1)))+IF(E38="",0,VALUE(LEFT(E38,1)))+IF(F38="",0,VALUE(LEFT(F38,1)))+IF(G38="",0,VALUE(LEFT(G38,1))),0))</f>
        <v/>
      </c>
      <c r="I38" s="84">
        <f>IF(B38="","",IF(H38&lt;=2,"🟢 VERDE",IF(H38&lt;=5,"🟡 AMARILLO","🔴 ROJO")))</f>
        <v/>
      </c>
      <c r="J38" s="82" t="n"/>
    </row>
    <row r="39" ht="18" customHeight="1" s="52">
      <c r="A39" s="77">
        <f>IF(B39&lt;&gt;"",ROW()-4,"")</f>
        <v/>
      </c>
      <c r="B39" s="78" t="n"/>
      <c r="C39" s="78" t="n"/>
      <c r="D39" s="78" t="n"/>
      <c r="E39" s="78" t="n"/>
      <c r="F39" s="78" t="n"/>
      <c r="G39" s="78" t="n"/>
      <c r="H39" s="79">
        <f>IF(B39="","",IFERROR(IF(D39="",0,VALUE(LEFT(D39,1)))+IF(E39="",0,VALUE(LEFT(E39,1)))+IF(F39="",0,VALUE(LEFT(F39,1)))+IF(G39="",0,VALUE(LEFT(G39,1))),0))</f>
        <v/>
      </c>
      <c r="I39" s="80">
        <f>IF(B39="","",IF(H39&lt;=2,"🟢 VERDE",IF(H39&lt;=5,"🟡 AMARILLO","🔴 ROJO")))</f>
        <v/>
      </c>
      <c r="J39" s="78" t="n"/>
    </row>
    <row r="40" ht="18" customHeight="1" s="52">
      <c r="A40" s="81">
        <f>IF(B40&lt;&gt;"",ROW()-4,"")</f>
        <v/>
      </c>
      <c r="B40" s="82" t="n"/>
      <c r="C40" s="82" t="n"/>
      <c r="D40" s="82" t="n"/>
      <c r="E40" s="82" t="n"/>
      <c r="F40" s="82" t="n"/>
      <c r="G40" s="82" t="n"/>
      <c r="H40" s="83">
        <f>IF(B40="","",IFERROR(IF(D40="",0,VALUE(LEFT(D40,1)))+IF(E40="",0,VALUE(LEFT(E40,1)))+IF(F40="",0,VALUE(LEFT(F40,1)))+IF(G40="",0,VALUE(LEFT(G40,1))),0))</f>
        <v/>
      </c>
      <c r="I40" s="84">
        <f>IF(B40="","",IF(H40&lt;=2,"🟢 VERDE",IF(H40&lt;=5,"🟡 AMARILLO","🔴 ROJO")))</f>
        <v/>
      </c>
      <c r="J40" s="82" t="n"/>
    </row>
    <row r="41" ht="18" customHeight="1" s="52">
      <c r="A41" s="77">
        <f>IF(B41&lt;&gt;"",ROW()-4,"")</f>
        <v/>
      </c>
      <c r="B41" s="78" t="n"/>
      <c r="C41" s="78" t="n"/>
      <c r="D41" s="78" t="n"/>
      <c r="E41" s="78" t="n"/>
      <c r="F41" s="78" t="n"/>
      <c r="G41" s="78" t="n"/>
      <c r="H41" s="79">
        <f>IF(B41="","",IFERROR(IF(D41="",0,VALUE(LEFT(D41,1)))+IF(E41="",0,VALUE(LEFT(E41,1)))+IF(F41="",0,VALUE(LEFT(F41,1)))+IF(G41="",0,VALUE(LEFT(G41,1))),0))</f>
        <v/>
      </c>
      <c r="I41" s="80">
        <f>IF(B41="","",IF(H41&lt;=2,"🟢 VERDE",IF(H41&lt;=5,"🟡 AMARILLO","🔴 ROJO")))</f>
        <v/>
      </c>
      <c r="J41" s="78" t="n"/>
    </row>
    <row r="42" ht="18" customHeight="1" s="52">
      <c r="A42" s="81">
        <f>IF(B42&lt;&gt;"",ROW()-4,"")</f>
        <v/>
      </c>
      <c r="B42" s="82" t="n"/>
      <c r="C42" s="82" t="n"/>
      <c r="D42" s="82" t="n"/>
      <c r="E42" s="82" t="n"/>
      <c r="F42" s="82" t="n"/>
      <c r="G42" s="82" t="n"/>
      <c r="H42" s="83">
        <f>IF(B42="","",IFERROR(IF(D42="",0,VALUE(LEFT(D42,1)))+IF(E42="",0,VALUE(LEFT(E42,1)))+IF(F42="",0,VALUE(LEFT(F42,1)))+IF(G42="",0,VALUE(LEFT(G42,1))),0))</f>
        <v/>
      </c>
      <c r="I42" s="84">
        <f>IF(B42="","",IF(H42&lt;=2,"🟢 VERDE",IF(H42&lt;=5,"🟡 AMARILLO","🔴 ROJO")))</f>
        <v/>
      </c>
      <c r="J42" s="82" t="n"/>
    </row>
    <row r="43" ht="18" customHeight="1" s="52">
      <c r="A43" s="77">
        <f>IF(B43&lt;&gt;"",ROW()-4,"")</f>
        <v/>
      </c>
      <c r="B43" s="78" t="n"/>
      <c r="C43" s="78" t="n"/>
      <c r="D43" s="78" t="n"/>
      <c r="E43" s="78" t="n"/>
      <c r="F43" s="78" t="n"/>
      <c r="G43" s="78" t="n"/>
      <c r="H43" s="79">
        <f>IF(B43="","",IFERROR(IF(D43="",0,VALUE(LEFT(D43,1)))+IF(E43="",0,VALUE(LEFT(E43,1)))+IF(F43="",0,VALUE(LEFT(F43,1)))+IF(G43="",0,VALUE(LEFT(G43,1))),0))</f>
        <v/>
      </c>
      <c r="I43" s="80">
        <f>IF(B43="","",IF(H43&lt;=2,"🟢 VERDE",IF(H43&lt;=5,"🟡 AMARILLO","🔴 ROJO")))</f>
        <v/>
      </c>
      <c r="J43" s="78" t="n"/>
    </row>
    <row r="44" ht="18" customHeight="1" s="52">
      <c r="A44" s="81">
        <f>IF(B44&lt;&gt;"",ROW()-4,"")</f>
        <v/>
      </c>
      <c r="B44" s="82" t="n"/>
      <c r="C44" s="82" t="n"/>
      <c r="D44" s="82" t="n"/>
      <c r="E44" s="82" t="n"/>
      <c r="F44" s="82" t="n"/>
      <c r="G44" s="82" t="n"/>
      <c r="H44" s="83">
        <f>IF(B44="","",IFERROR(IF(D44="",0,VALUE(LEFT(D44,1)))+IF(E44="",0,VALUE(LEFT(E44,1)))+IF(F44="",0,VALUE(LEFT(F44,1)))+IF(G44="",0,VALUE(LEFT(G44,1))),0))</f>
        <v/>
      </c>
      <c r="I44" s="84">
        <f>IF(B44="","",IF(H44&lt;=2,"🟢 VERDE",IF(H44&lt;=5,"🟡 AMARILLO","🔴 ROJO")))</f>
        <v/>
      </c>
      <c r="J44" s="82" t="n"/>
    </row>
    <row r="45" ht="18" customHeight="1" s="52">
      <c r="A45" s="77">
        <f>IF(B45&lt;&gt;"",ROW()-4,"")</f>
        <v/>
      </c>
      <c r="B45" s="78" t="n"/>
      <c r="C45" s="78" t="n"/>
      <c r="D45" s="78" t="n"/>
      <c r="E45" s="78" t="n"/>
      <c r="F45" s="78" t="n"/>
      <c r="G45" s="78" t="n"/>
      <c r="H45" s="79">
        <f>IF(B45="","",IFERROR(IF(D45="",0,VALUE(LEFT(D45,1)))+IF(E45="",0,VALUE(LEFT(E45,1)))+IF(F45="",0,VALUE(LEFT(F45,1)))+IF(G45="",0,VALUE(LEFT(G45,1))),0))</f>
        <v/>
      </c>
      <c r="I45" s="80">
        <f>IF(B45="","",IF(H45&lt;=2,"🟢 VERDE",IF(H45&lt;=5,"🟡 AMARILLO","🔴 ROJO")))</f>
        <v/>
      </c>
      <c r="J45" s="78" t="n"/>
    </row>
    <row r="46" ht="18" customHeight="1" s="52">
      <c r="A46" s="81">
        <f>IF(B46&lt;&gt;"",ROW()-4,"")</f>
        <v/>
      </c>
      <c r="B46" s="82" t="n"/>
      <c r="C46" s="82" t="n"/>
      <c r="D46" s="82" t="n"/>
      <c r="E46" s="82" t="n"/>
      <c r="F46" s="82" t="n"/>
      <c r="G46" s="82" t="n"/>
      <c r="H46" s="83">
        <f>IF(B46="","",IFERROR(IF(D46="",0,VALUE(LEFT(D46,1)))+IF(E46="",0,VALUE(LEFT(E46,1)))+IF(F46="",0,VALUE(LEFT(F46,1)))+IF(G46="",0,VALUE(LEFT(G46,1))),0))</f>
        <v/>
      </c>
      <c r="I46" s="84">
        <f>IF(B46="","",IF(H46&lt;=2,"🟢 VERDE",IF(H46&lt;=5,"🟡 AMARILLO","🔴 ROJO")))</f>
        <v/>
      </c>
      <c r="J46" s="82" t="n"/>
    </row>
    <row r="47" ht="18" customHeight="1" s="52">
      <c r="A47" s="77">
        <f>IF(B47&lt;&gt;"",ROW()-4,"")</f>
        <v/>
      </c>
      <c r="B47" s="78" t="n"/>
      <c r="C47" s="78" t="n"/>
      <c r="D47" s="78" t="n"/>
      <c r="E47" s="78" t="n"/>
      <c r="F47" s="78" t="n"/>
      <c r="G47" s="78" t="n"/>
      <c r="H47" s="79">
        <f>IF(B47="","",IFERROR(IF(D47="",0,VALUE(LEFT(D47,1)))+IF(E47="",0,VALUE(LEFT(E47,1)))+IF(F47="",0,VALUE(LEFT(F47,1)))+IF(G47="",0,VALUE(LEFT(G47,1))),0))</f>
        <v/>
      </c>
      <c r="I47" s="80">
        <f>IF(B47="","",IF(H47&lt;=2,"🟢 VERDE",IF(H47&lt;=5,"🟡 AMARILLO","🔴 ROJO")))</f>
        <v/>
      </c>
      <c r="J47" s="78" t="n"/>
    </row>
    <row r="48" ht="18" customHeight="1" s="52">
      <c r="A48" s="81">
        <f>IF(B48&lt;&gt;"",ROW()-4,"")</f>
        <v/>
      </c>
      <c r="B48" s="82" t="n"/>
      <c r="C48" s="82" t="n"/>
      <c r="D48" s="82" t="n"/>
      <c r="E48" s="82" t="n"/>
      <c r="F48" s="82" t="n"/>
      <c r="G48" s="82" t="n"/>
      <c r="H48" s="83">
        <f>IF(B48="","",IFERROR(IF(D48="",0,VALUE(LEFT(D48,1)))+IF(E48="",0,VALUE(LEFT(E48,1)))+IF(F48="",0,VALUE(LEFT(F48,1)))+IF(G48="",0,VALUE(LEFT(G48,1))),0))</f>
        <v/>
      </c>
      <c r="I48" s="84">
        <f>IF(B48="","",IF(H48&lt;=2,"🟢 VERDE",IF(H48&lt;=5,"🟡 AMARILLO","🔴 ROJO")))</f>
        <v/>
      </c>
      <c r="J48" s="82" t="n"/>
    </row>
    <row r="49" ht="18" customHeight="1" s="52">
      <c r="A49" s="77">
        <f>IF(B49&lt;&gt;"",ROW()-4,"")</f>
        <v/>
      </c>
      <c r="B49" s="78" t="n"/>
      <c r="C49" s="78" t="n"/>
      <c r="D49" s="78" t="n"/>
      <c r="E49" s="78" t="n"/>
      <c r="F49" s="78" t="n"/>
      <c r="G49" s="78" t="n"/>
      <c r="H49" s="79">
        <f>IF(B49="","",IFERROR(IF(D49="",0,VALUE(LEFT(D49,1)))+IF(E49="",0,VALUE(LEFT(E49,1)))+IF(F49="",0,VALUE(LEFT(F49,1)))+IF(G49="",0,VALUE(LEFT(G49,1))),0))</f>
        <v/>
      </c>
      <c r="I49" s="80">
        <f>IF(B49="","",IF(H49&lt;=2,"🟢 VERDE",IF(H49&lt;=5,"🟡 AMARILLO","🔴 ROJO")))</f>
        <v/>
      </c>
      <c r="J49" s="78" t="n"/>
    </row>
    <row r="50" ht="18" customHeight="1" s="52">
      <c r="A50" s="81">
        <f>IF(B50&lt;&gt;"",ROW()-4,"")</f>
        <v/>
      </c>
      <c r="B50" s="82" t="n"/>
      <c r="C50" s="82" t="n"/>
      <c r="D50" s="82" t="n"/>
      <c r="E50" s="82" t="n"/>
      <c r="F50" s="82" t="n"/>
      <c r="G50" s="82" t="n"/>
      <c r="H50" s="83">
        <f>IF(B50="","",IFERROR(IF(D50="",0,VALUE(LEFT(D50,1)))+IF(E50="",0,VALUE(LEFT(E50,1)))+IF(F50="",0,VALUE(LEFT(F50,1)))+IF(G50="",0,VALUE(LEFT(G50,1))),0))</f>
        <v/>
      </c>
      <c r="I50" s="84">
        <f>IF(B50="","",IF(H50&lt;=2,"🟢 VERDE",IF(H50&lt;=5,"🟡 AMARILLO","🔴 ROJO")))</f>
        <v/>
      </c>
      <c r="J50" s="82" t="n"/>
    </row>
    <row r="51" ht="18" customHeight="1" s="52">
      <c r="A51" s="77">
        <f>IF(B51&lt;&gt;"",ROW()-4,"")</f>
        <v/>
      </c>
      <c r="B51" s="78" t="n"/>
      <c r="C51" s="78" t="n"/>
      <c r="D51" s="78" t="n"/>
      <c r="E51" s="78" t="n"/>
      <c r="F51" s="78" t="n"/>
      <c r="G51" s="78" t="n"/>
      <c r="H51" s="79">
        <f>IF(B51="","",IFERROR(IF(D51="",0,VALUE(LEFT(D51,1)))+IF(E51="",0,VALUE(LEFT(E51,1)))+IF(F51="",0,VALUE(LEFT(F51,1)))+IF(G51="",0,VALUE(LEFT(G51,1))),0))</f>
        <v/>
      </c>
      <c r="I51" s="80">
        <f>IF(B51="","",IF(H51&lt;=2,"🟢 VERDE",IF(H51&lt;=5,"🟡 AMARILLO","🔴 ROJO")))</f>
        <v/>
      </c>
      <c r="J51" s="78" t="n"/>
    </row>
    <row r="52" ht="18" customHeight="1" s="52">
      <c r="A52" s="81">
        <f>IF(B52&lt;&gt;"",ROW()-4,"")</f>
        <v/>
      </c>
      <c r="B52" s="82" t="n"/>
      <c r="C52" s="82" t="n"/>
      <c r="D52" s="82" t="n"/>
      <c r="E52" s="82" t="n"/>
      <c r="F52" s="82" t="n"/>
      <c r="G52" s="82" t="n"/>
      <c r="H52" s="83">
        <f>IF(B52="","",IFERROR(IF(D52="",0,VALUE(LEFT(D52,1)))+IF(E52="",0,VALUE(LEFT(E52,1)))+IF(F52="",0,VALUE(LEFT(F52,1)))+IF(G52="",0,VALUE(LEFT(G52,1))),0))</f>
        <v/>
      </c>
      <c r="I52" s="84">
        <f>IF(B52="","",IF(H52&lt;=2,"🟢 VERDE",IF(H52&lt;=5,"🟡 AMARILLO","🔴 ROJO")))</f>
        <v/>
      </c>
      <c r="J52" s="82" t="n"/>
    </row>
    <row r="53" ht="18" customHeight="1" s="52">
      <c r="A53" s="77">
        <f>IF(B53&lt;&gt;"",ROW()-4,"")</f>
        <v/>
      </c>
      <c r="B53" s="78" t="n"/>
      <c r="C53" s="78" t="n"/>
      <c r="D53" s="78" t="n"/>
      <c r="E53" s="78" t="n"/>
      <c r="F53" s="78" t="n"/>
      <c r="G53" s="78" t="n"/>
      <c r="H53" s="79">
        <f>IF(B53="","",IFERROR(IF(D53="",0,VALUE(LEFT(D53,1)))+IF(E53="",0,VALUE(LEFT(E53,1)))+IF(F53="",0,VALUE(LEFT(F53,1)))+IF(G53="",0,VALUE(LEFT(G53,1))),0))</f>
        <v/>
      </c>
      <c r="I53" s="80">
        <f>IF(B53="","",IF(H53&lt;=2,"🟢 VERDE",IF(H53&lt;=5,"🟡 AMARILLO","🔴 ROJO")))</f>
        <v/>
      </c>
      <c r="J53" s="78" t="n"/>
    </row>
    <row r="54" ht="18" customHeight="1" s="52">
      <c r="A54" s="81">
        <f>IF(B54&lt;&gt;"",ROW()-4,"")</f>
        <v/>
      </c>
      <c r="B54" s="82" t="n"/>
      <c r="C54" s="82" t="n"/>
      <c r="D54" s="82" t="n"/>
      <c r="E54" s="82" t="n"/>
      <c r="F54" s="82" t="n"/>
      <c r="G54" s="82" t="n"/>
      <c r="H54" s="83">
        <f>IF(B54="","",IFERROR(IF(D54="",0,VALUE(LEFT(D54,1)))+IF(E54="",0,VALUE(LEFT(E54,1)))+IF(F54="",0,VALUE(LEFT(F54,1)))+IF(G54="",0,VALUE(LEFT(G54,1))),0))</f>
        <v/>
      </c>
      <c r="I54" s="84">
        <f>IF(B54="","",IF(H54&lt;=2,"🟢 VERDE",IF(H54&lt;=5,"🟡 AMARILLO","🔴 ROJO")))</f>
        <v/>
      </c>
      <c r="J54" s="82" t="n"/>
    </row>
    <row r="55" ht="18" customHeight="1" s="52">
      <c r="A55" s="85" t="inlineStr">
        <is>
          <t>TOTALES CURSO 4mD</t>
        </is>
      </c>
      <c r="B55" s="59" t="n"/>
      <c r="C55" s="59" t="n"/>
      <c r="D55" s="66">
        <f>COUNTIF(D5:D54,"&lt;&gt;"&amp;"")</f>
        <v/>
      </c>
      <c r="E55" s="66">
        <f>COUNTIF(E5:E54,"&lt;&gt;"&amp;"")</f>
        <v/>
      </c>
      <c r="F55" s="66">
        <f>COUNTIF(F5:F54,"&lt;&gt;"&amp;"")</f>
        <v/>
      </c>
      <c r="G55" s="66">
        <f>COUNTIF(G5:G54,"&lt;&gt;"&amp;"")</f>
        <v/>
      </c>
      <c r="H55" s="86">
        <f>COUNTA(B5:B54)</f>
        <v/>
      </c>
      <c r="I55" s="87">
        <f>COUNTIF(I5:I54,"🔴 ROJO")&amp;" 🔴  "&amp;COUNTIF(I5:I54,"🟡 AMARILLO")&amp;" 🟡  "&amp;COUNTIF(I5:I54,"🟢 VERDE")&amp;" 🟢"</f>
        <v/>
      </c>
      <c r="J55" s="88" t="inlineStr">
        <is>
          <t>← Conteo: Rojo · Amarillo · Verde</t>
        </is>
      </c>
    </row>
  </sheetData>
  <mergeCells count="5">
    <mergeCell ref="A1:J1"/>
    <mergeCell ref="D3:G3"/>
    <mergeCell ref="A2:J2"/>
    <mergeCell ref="A55:C55"/>
    <mergeCell ref="H3:I3"/>
  </mergeCells>
  <conditionalFormatting sqref="I5:I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fRule type="cellIs" rank="0" priority="10" equalAverage="0" operator="lessThanOrEqual" aboveAverage="0" dxfId="0" text="" percent="0" bottom="0">
      <formula>2</formula>
    </cfRule>
  </conditionalFormatting>
  <dataValidations count="4">
    <dataValidation sqref="D5:D54" showDropDown="0" showInputMessage="1" showErrorMessage="1" allowBlank="0" errorTitle="Valor inválido" error="Seleccione una opción del menú" promptTitle="Trayectoria Educativa" prompt="Seleccione el nivel de alerta (0=Regular → 3=Alto riesgo)" type="list" errorStyle="stop" operator="between">
      <formula1>LISTAS!$A$1:$A$4</formula1>
      <formula2>0</formula2>
    </dataValidation>
    <dataValidation sqref="E5:E54" showDropDown="0" showInputMessage="1" showErrorMessage="1" allowBlank="0" errorTitle="Valor inválido" error="Seleccione una opción del menú" promptTitle="Ámbito Académico" prompt="Seleccione el nivel de alerta (0=Sin alertas → 3=Riesgo significativo)" type="list" errorStyle="stop" operator="between">
      <formula1>LISTAS!$B$1:$B$4</formula1>
      <formula2>0</formula2>
    </dataValidation>
    <dataValidation sqref="F5:F54" showDropDown="0" showInputMessage="1" showErrorMessage="1" allowBlank="0" errorTitle="Valor inválido" error="Seleccione una opción del menú" promptTitle="Ámbito Conductual" prompt="Seleccione el nivel de alerta (0=Sin observaciones → 3=Conductas frecuentes)" type="list" errorStyle="stop" operator="between">
      <formula1>LISTAS!$C$1:$C$4</formula1>
      <formula2>0</formula2>
    </dataValidation>
    <dataValidation sqref="G5:G54" showDropDown="0" showInputMessage="1" showErrorMessage="1" allowBlank="0" errorTitle="Valor inválido" error="Seleccione una opción del menú" promptTitle="Ámbito Socioemocional" prompt="Seleccione el nivel de alerta (0=Ajuste adecuado → 3=Alta vulnerabilidad)" type="list" errorStyle="stop" operator="between">
      <formula1>LISTAS!$D$1:$D$4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tabColor rgb="FF1F3864"/>
    <outlinePr summaryBelow="1" summaryRight="1"/>
    <pageSetUpPr fitToPage="0"/>
  </sheetPr>
  <dimension ref="A1:J4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8" customWidth="1" style="51" min="1" max="1"/>
    <col width="10" customWidth="1" style="51" min="2" max="5"/>
    <col width="12" customWidth="1" style="51" min="6" max="10"/>
  </cols>
  <sheetData>
    <row r="1" ht="25.5" customHeight="1" s="52">
      <c r="A1" s="89" t="inlineStr">
        <is>
          <t>RESUMEN GENERAL — TODOS LOS CURSOS</t>
        </is>
      </c>
    </row>
    <row r="2" ht="13.5" customHeight="1" s="52">
      <c r="A2" s="90" t="inlineStr">
        <is>
          <t>Los promedios se calculan automáticamente desde cada hoja de curso. Actualice con F9 si es necesario.</t>
        </is>
      </c>
    </row>
    <row r="3" ht="36" customHeight="1" s="52">
      <c r="A3" s="76" t="inlineStr">
        <is>
          <t>CURSO</t>
        </is>
      </c>
      <c r="B3" s="76" t="inlineStr">
        <is>
          <t>TOTAL
ESTUD.</t>
        </is>
      </c>
      <c r="C3" s="76" t="inlineStr">
        <is>
          <t>🟢
VERDE</t>
        </is>
      </c>
      <c r="D3" s="76" t="inlineStr">
        <is>
          <t>🟡
AMAR.</t>
        </is>
      </c>
      <c r="E3" s="76" t="inlineStr">
        <is>
          <t>🔴
ROJO</t>
        </is>
      </c>
      <c r="F3" s="76" t="inlineStr">
        <is>
          <t>PROM.
TRAYECT.</t>
        </is>
      </c>
      <c r="G3" s="76" t="inlineStr">
        <is>
          <t>PROM.
ACADÉM.</t>
        </is>
      </c>
      <c r="H3" s="76" t="inlineStr">
        <is>
          <t>PROM.
CONDUCT.</t>
        </is>
      </c>
      <c r="I3" s="76" t="inlineStr">
        <is>
          <t>PROM.
SOCIOEM.</t>
        </is>
      </c>
      <c r="J3" s="76" t="inlineStr">
        <is>
          <t>PROM.
TOTAL</t>
        </is>
      </c>
    </row>
    <row r="4" ht="15.75" customHeight="1" s="52">
      <c r="A4" s="91" t="inlineStr">
        <is>
          <t>PKA</t>
        </is>
      </c>
      <c r="B4" s="92">
        <f>COUNTA(PKA!B5:B54)</f>
        <v/>
      </c>
      <c r="C4" s="93">
        <f>COUNTIF(PKA!I5:I54,"🟢 VERDE")</f>
        <v/>
      </c>
      <c r="D4" s="94">
        <f>COUNTIF(PKA!I5:I54,"🟡 AMARILLO")</f>
        <v/>
      </c>
      <c r="E4" s="95">
        <f>COUNTIF(PKA!I5:I54,"🔴 ROJO")</f>
        <v/>
      </c>
      <c r="F4" s="96">
        <f>IFERROR(SUMPRODUCT((LEN(PKA!B5:B54)&gt;0)*IFERROR(VALUE(LEFT(PKA!D5:D54,1)),0))/COUNTA(PKA!B5:B54),"")</f>
        <v/>
      </c>
      <c r="G4" s="96">
        <f>IFERROR(SUMPRODUCT((LEN(PKA!B5:B54)&gt;0)*IFERROR(VALUE(LEFT(PKA!E5:E54,1)),0))/COUNTA(PKA!B5:B54),"")</f>
        <v/>
      </c>
      <c r="H4" s="96">
        <f>IFERROR(SUMPRODUCT((LEN(PKA!B5:B54)&gt;0)*IFERROR(VALUE(LEFT(PKA!F5:F54,1)),0))/COUNTA(PKA!B5:B54),"")</f>
        <v/>
      </c>
      <c r="I4" s="96">
        <f>IFERROR(SUMPRODUCT((LEN(PKA!B5:B54)&gt;0)*IFERROR(VALUE(LEFT(PKA!G5:G54,1)),0))/COUNTA(PKA!B5:B54),"")</f>
        <v/>
      </c>
      <c r="J4" s="96">
        <f>IFERROR(SUMPRODUCT((LEN(PKA!B5:B54)&gt;0)*PKA!H5:H54)/COUNTA(PKA!B5:B54),"")</f>
        <v/>
      </c>
    </row>
    <row r="5" ht="15.75" customHeight="1" s="52">
      <c r="A5" s="91" t="inlineStr">
        <is>
          <t>PKB</t>
        </is>
      </c>
      <c r="B5" s="97">
        <f>COUNTA(PKB!B5:B54)</f>
        <v/>
      </c>
      <c r="C5" s="93">
        <f>COUNTIF(PKB!I5:I54,"🟢 VERDE")</f>
        <v/>
      </c>
      <c r="D5" s="94">
        <f>COUNTIF(PKB!I5:I54,"🟡 AMARILLO")</f>
        <v/>
      </c>
      <c r="E5" s="95">
        <f>COUNTIF(PKB!I5:I54,"🔴 ROJO")</f>
        <v/>
      </c>
      <c r="F5" s="98">
        <f>IFERROR(SUMPRODUCT((LEN(PKB!B5:B54)&gt;0)*IFERROR(VALUE(LEFT(PKB!D5:D54,1)),0))/COUNTA(PKB!B5:B54),"")</f>
        <v/>
      </c>
      <c r="G5" s="98">
        <f>IFERROR(SUMPRODUCT((LEN(PKB!B5:B54)&gt;0)*IFERROR(VALUE(LEFT(PKB!E5:E54,1)),0))/COUNTA(PKB!B5:B54),"")</f>
        <v/>
      </c>
      <c r="H5" s="98">
        <f>IFERROR(SUMPRODUCT((LEN(PKB!B5:B54)&gt;0)*IFERROR(VALUE(LEFT(PKB!F5:F54,1)),0))/COUNTA(PKB!B5:B54),"")</f>
        <v/>
      </c>
      <c r="I5" s="98">
        <f>IFERROR(SUMPRODUCT((LEN(PKB!B5:B54)&gt;0)*IFERROR(VALUE(LEFT(PKB!G5:G54,1)),0))/COUNTA(PKB!B5:B54),"")</f>
        <v/>
      </c>
      <c r="J5" s="98">
        <f>IFERROR(SUMPRODUCT((LEN(PKB!B5:B54)&gt;0)*PKB!H5:H54)/COUNTA(PKB!B5:B54),"")</f>
        <v/>
      </c>
    </row>
    <row r="6" ht="15.75" customHeight="1" s="52">
      <c r="A6" s="91" t="inlineStr">
        <is>
          <t>PKC</t>
        </is>
      </c>
      <c r="B6" s="92">
        <f>COUNTA(PKC!B5:B54)</f>
        <v/>
      </c>
      <c r="C6" s="93">
        <f>COUNTIF(PKC!I5:I54,"🟢 VERDE")</f>
        <v/>
      </c>
      <c r="D6" s="94">
        <f>COUNTIF(PKC!I5:I54,"🟡 AMARILLO")</f>
        <v/>
      </c>
      <c r="E6" s="95">
        <f>COUNTIF(PKC!I5:I54,"🔴 ROJO")</f>
        <v/>
      </c>
      <c r="F6" s="96">
        <f>IFERROR(SUMPRODUCT((LEN(PKC!B5:B54)&gt;0)*IFERROR(VALUE(LEFT(PKC!D5:D54,1)),0))/COUNTA(PKC!B5:B54),"")</f>
        <v/>
      </c>
      <c r="G6" s="96">
        <f>IFERROR(SUMPRODUCT((LEN(PKC!B5:B54)&gt;0)*IFERROR(VALUE(LEFT(PKC!E5:E54,1)),0))/COUNTA(PKC!B5:B54),"")</f>
        <v/>
      </c>
      <c r="H6" s="96">
        <f>IFERROR(SUMPRODUCT((LEN(PKC!B5:B54)&gt;0)*IFERROR(VALUE(LEFT(PKC!F5:F54,1)),0))/COUNTA(PKC!B5:B54),"")</f>
        <v/>
      </c>
      <c r="I6" s="96">
        <f>IFERROR(SUMPRODUCT((LEN(PKC!B5:B54)&gt;0)*IFERROR(VALUE(LEFT(PKC!G5:G54,1)),0))/COUNTA(PKC!B5:B54),"")</f>
        <v/>
      </c>
      <c r="J6" s="96">
        <f>IFERROR(SUMPRODUCT((LEN(PKC!B5:B54)&gt;0)*PKC!H5:H54)/COUNTA(PKC!B5:B54),"")</f>
        <v/>
      </c>
    </row>
    <row r="7" ht="15.75" customHeight="1" s="52">
      <c r="A7" s="91" t="inlineStr">
        <is>
          <t>KA</t>
        </is>
      </c>
      <c r="B7" s="97">
        <f>COUNTA(KA!B5:B54)</f>
        <v/>
      </c>
      <c r="C7" s="93">
        <f>COUNTIF(KA!I5:I54,"🟢 VERDE")</f>
        <v/>
      </c>
      <c r="D7" s="94">
        <f>COUNTIF(KA!I5:I54,"🟡 AMARILLO")</f>
        <v/>
      </c>
      <c r="E7" s="95">
        <f>COUNTIF(KA!I5:I54,"🔴 ROJO")</f>
        <v/>
      </c>
      <c r="F7" s="98">
        <f>IFERROR(SUMPRODUCT((LEN(KA!B5:B54)&gt;0)*IFERROR(VALUE(LEFT(KA!D5:D54,1)),0))/COUNTA(KA!B5:B54),"")</f>
        <v/>
      </c>
      <c r="G7" s="98">
        <f>IFERROR(SUMPRODUCT((LEN(KA!B5:B54)&gt;0)*IFERROR(VALUE(LEFT(KA!E5:E54,1)),0))/COUNTA(KA!B5:B54),"")</f>
        <v/>
      </c>
      <c r="H7" s="98">
        <f>IFERROR(SUMPRODUCT((LEN(KA!B5:B54)&gt;0)*IFERROR(VALUE(LEFT(KA!F5:F54,1)),0))/COUNTA(KA!B5:B54),"")</f>
        <v/>
      </c>
      <c r="I7" s="98">
        <f>IFERROR(SUMPRODUCT((LEN(KA!B5:B54)&gt;0)*IFERROR(VALUE(LEFT(KA!G5:G54,1)),0))/COUNTA(KA!B5:B54),"")</f>
        <v/>
      </c>
      <c r="J7" s="98">
        <f>IFERROR(SUMPRODUCT((LEN(KA!B5:B54)&gt;0)*KA!H5:H54)/COUNTA(KA!B5:B54),"")</f>
        <v/>
      </c>
    </row>
    <row r="8" ht="15.75" customHeight="1" s="52">
      <c r="A8" s="91" t="inlineStr">
        <is>
          <t>KB</t>
        </is>
      </c>
      <c r="B8" s="92">
        <f>COUNTA(KB!B5:B54)</f>
        <v/>
      </c>
      <c r="C8" s="93">
        <f>COUNTIF(KB!I5:I54,"🟢 VERDE")</f>
        <v/>
      </c>
      <c r="D8" s="94">
        <f>COUNTIF(KB!I5:I54,"🟡 AMARILLO")</f>
        <v/>
      </c>
      <c r="E8" s="95">
        <f>COUNTIF(KB!I5:I54,"🔴 ROJO")</f>
        <v/>
      </c>
      <c r="F8" s="96">
        <f>IFERROR(SUMPRODUCT((LEN(KB!B5:B54)&gt;0)*IFERROR(VALUE(LEFT(KB!D5:D54,1)),0))/COUNTA(KB!B5:B54),"")</f>
        <v/>
      </c>
      <c r="G8" s="96">
        <f>IFERROR(SUMPRODUCT((LEN(KB!B5:B54)&gt;0)*IFERROR(VALUE(LEFT(KB!E5:E54,1)),0))/COUNTA(KB!B5:B54),"")</f>
        <v/>
      </c>
      <c r="H8" s="96">
        <f>IFERROR(SUMPRODUCT((LEN(KB!B5:B54)&gt;0)*IFERROR(VALUE(LEFT(KB!F5:F54,1)),0))/COUNTA(KB!B5:B54),"")</f>
        <v/>
      </c>
      <c r="I8" s="96">
        <f>IFERROR(SUMPRODUCT((LEN(KB!B5:B54)&gt;0)*IFERROR(VALUE(LEFT(KB!G5:G54,1)),0))/COUNTA(KB!B5:B54),"")</f>
        <v/>
      </c>
      <c r="J8" s="96">
        <f>IFERROR(SUMPRODUCT((LEN(KB!B5:B54)&gt;0)*KB!H5:H54)/COUNTA(KB!B5:B54),"")</f>
        <v/>
      </c>
    </row>
    <row r="9" ht="15.75" customHeight="1" s="52">
      <c r="A9" s="91" t="inlineStr">
        <is>
          <t>KC</t>
        </is>
      </c>
      <c r="B9" s="97">
        <f>COUNTA(KC!B5:B54)</f>
        <v/>
      </c>
      <c r="C9" s="93">
        <f>COUNTIF(KC!I5:I54,"🟢 VERDE")</f>
        <v/>
      </c>
      <c r="D9" s="94">
        <f>COUNTIF(KC!I5:I54,"🟡 AMARILLO")</f>
        <v/>
      </c>
      <c r="E9" s="95">
        <f>COUNTIF(KC!I5:I54,"🔴 ROJO")</f>
        <v/>
      </c>
      <c r="F9" s="98">
        <f>IFERROR(SUMPRODUCT((LEN(KC!B5:B54)&gt;0)*IFERROR(VALUE(LEFT(KC!D5:D54,1)),0))/COUNTA(KC!B5:B54),"")</f>
        <v/>
      </c>
      <c r="G9" s="98">
        <f>IFERROR(SUMPRODUCT((LEN(KC!B5:B54)&gt;0)*IFERROR(VALUE(LEFT(KC!E5:E54,1)),0))/COUNTA(KC!B5:B54),"")</f>
        <v/>
      </c>
      <c r="H9" s="98">
        <f>IFERROR(SUMPRODUCT((LEN(KC!B5:B54)&gt;0)*IFERROR(VALUE(LEFT(KC!F5:F54,1)),0))/COUNTA(KC!B5:B54),"")</f>
        <v/>
      </c>
      <c r="I9" s="98">
        <f>IFERROR(SUMPRODUCT((LEN(KC!B5:B54)&gt;0)*IFERROR(VALUE(LEFT(KC!G5:G54,1)),0))/COUNTA(KC!B5:B54),"")</f>
        <v/>
      </c>
      <c r="J9" s="98">
        <f>IFERROR(SUMPRODUCT((LEN(KC!B5:B54)&gt;0)*KC!H5:H54)/COUNTA(KC!B5:B54),"")</f>
        <v/>
      </c>
    </row>
    <row r="10" ht="15.75" customHeight="1" s="52">
      <c r="A10" s="91" t="inlineStr">
        <is>
          <t>1A</t>
        </is>
      </c>
      <c r="B10" s="92">
        <f>COUNTA('1A'!B5:B54)</f>
        <v/>
      </c>
      <c r="C10" s="93">
        <f>COUNTIF('1A'!I5:I54,"🟢 VERDE")</f>
        <v/>
      </c>
      <c r="D10" s="94">
        <f>COUNTIF('1A'!I5:I54,"🟡 AMARILLO")</f>
        <v/>
      </c>
      <c r="E10" s="95">
        <f>COUNTIF('1A'!I5:I54,"🔴 ROJO")</f>
        <v/>
      </c>
      <c r="F10" s="96">
        <f>IFERROR(SUMPRODUCT((LEN('1A'!B5:B54)&gt;0)*IFERROR(VALUE(LEFT('1A'!D5:D54,1)),0))/COUNTA('1A'!B5:B54),"")</f>
        <v/>
      </c>
      <c r="G10" s="96">
        <f>IFERROR(SUMPRODUCT((LEN('1A'!B5:B54)&gt;0)*IFERROR(VALUE(LEFT('1A'!E5:E54,1)),0))/COUNTA('1A'!B5:B54),"")</f>
        <v/>
      </c>
      <c r="H10" s="96">
        <f>IFERROR(SUMPRODUCT((LEN('1A'!B5:B54)&gt;0)*IFERROR(VALUE(LEFT('1A'!F5:F54,1)),0))/COUNTA('1A'!B5:B54),"")</f>
        <v/>
      </c>
      <c r="I10" s="96">
        <f>IFERROR(SUMPRODUCT((LEN('1A'!B5:B54)&gt;0)*IFERROR(VALUE(LEFT('1A'!G5:G54,1)),0))/COUNTA('1A'!B5:B54),"")</f>
        <v/>
      </c>
      <c r="J10" s="96">
        <f>IFERROR(SUMPRODUCT((LEN('1A'!B5:B54)&gt;0)*'1A'!H5:H54)/COUNTA('1A'!B5:B54),"")</f>
        <v/>
      </c>
    </row>
    <row r="11" ht="15.75" customHeight="1" s="52">
      <c r="A11" s="91" t="inlineStr">
        <is>
          <t>1B</t>
        </is>
      </c>
      <c r="B11" s="97">
        <f>COUNTA('1B'!B5:B54)</f>
        <v/>
      </c>
      <c r="C11" s="93">
        <f>COUNTIF('1B'!I5:I54,"🟢 VERDE")</f>
        <v/>
      </c>
      <c r="D11" s="94">
        <f>COUNTIF('1B'!I5:I54,"🟡 AMARILLO")</f>
        <v/>
      </c>
      <c r="E11" s="95">
        <f>COUNTIF('1B'!I5:I54,"🔴 ROJO")</f>
        <v/>
      </c>
      <c r="F11" s="98">
        <f>IFERROR(SUMPRODUCT((LEN('1B'!B5:B54)&gt;0)*IFERROR(VALUE(LEFT('1B'!D5:D54,1)),0))/COUNTA('1B'!B5:B54),"")</f>
        <v/>
      </c>
      <c r="G11" s="98">
        <f>IFERROR(SUMPRODUCT((LEN('1B'!B5:B54)&gt;0)*IFERROR(VALUE(LEFT('1B'!E5:E54,1)),0))/COUNTA('1B'!B5:B54),"")</f>
        <v/>
      </c>
      <c r="H11" s="98">
        <f>IFERROR(SUMPRODUCT((LEN('1B'!B5:B54)&gt;0)*IFERROR(VALUE(LEFT('1B'!F5:F54,1)),0))/COUNTA('1B'!B5:B54),"")</f>
        <v/>
      </c>
      <c r="I11" s="98">
        <f>IFERROR(SUMPRODUCT((LEN('1B'!B5:B54)&gt;0)*IFERROR(VALUE(LEFT('1B'!G5:G54,1)),0))/COUNTA('1B'!B5:B54),"")</f>
        <v/>
      </c>
      <c r="J11" s="98">
        <f>IFERROR(SUMPRODUCT((LEN('1B'!B5:B54)&gt;0)*'1B'!H5:H54)/COUNTA('1B'!B5:B54),"")</f>
        <v/>
      </c>
    </row>
    <row r="12" ht="15.75" customHeight="1" s="52">
      <c r="A12" s="91" t="inlineStr">
        <is>
          <t>1C</t>
        </is>
      </c>
      <c r="B12" s="92">
        <f>COUNTA('1C'!B5:B54)</f>
        <v/>
      </c>
      <c r="C12" s="93">
        <f>COUNTIF('1C'!I5:I54,"🟢 VERDE")</f>
        <v/>
      </c>
      <c r="D12" s="94">
        <f>COUNTIF('1C'!I5:I54,"🟡 AMARILLO")</f>
        <v/>
      </c>
      <c r="E12" s="95">
        <f>COUNTIF('1C'!I5:I54,"🔴 ROJO")</f>
        <v/>
      </c>
      <c r="F12" s="96">
        <f>IFERROR(SUMPRODUCT((LEN('1C'!B5:B54)&gt;0)*IFERROR(VALUE(LEFT('1C'!D5:D54,1)),0))/COUNTA('1C'!B5:B54),"")</f>
        <v/>
      </c>
      <c r="G12" s="96">
        <f>IFERROR(SUMPRODUCT((LEN('1C'!B5:B54)&gt;0)*IFERROR(VALUE(LEFT('1C'!E5:E54,1)),0))/COUNTA('1C'!B5:B54),"")</f>
        <v/>
      </c>
      <c r="H12" s="96">
        <f>IFERROR(SUMPRODUCT((LEN('1C'!B5:B54)&gt;0)*IFERROR(VALUE(LEFT('1C'!F5:F54,1)),0))/COUNTA('1C'!B5:B54),"")</f>
        <v/>
      </c>
      <c r="I12" s="96">
        <f>IFERROR(SUMPRODUCT((LEN('1C'!B5:B54)&gt;0)*IFERROR(VALUE(LEFT('1C'!G5:G54,1)),0))/COUNTA('1C'!B5:B54),"")</f>
        <v/>
      </c>
      <c r="J12" s="96">
        <f>IFERROR(SUMPRODUCT((LEN('1C'!B5:B54)&gt;0)*'1C'!H5:H54)/COUNTA('1C'!B5:B54),"")</f>
        <v/>
      </c>
    </row>
    <row r="13" ht="15.75" customHeight="1" s="52">
      <c r="A13" s="91" t="inlineStr">
        <is>
          <t>2A</t>
        </is>
      </c>
      <c r="B13" s="97">
        <f>COUNTA('2A'!B5:B54)</f>
        <v/>
      </c>
      <c r="C13" s="93">
        <f>COUNTIF('2A'!I5:I54,"🟢 VERDE")</f>
        <v/>
      </c>
      <c r="D13" s="94">
        <f>COUNTIF('2A'!I5:I54,"🟡 AMARILLO")</f>
        <v/>
      </c>
      <c r="E13" s="95">
        <f>COUNTIF('2A'!I5:I54,"🔴 ROJO")</f>
        <v/>
      </c>
      <c r="F13" s="98">
        <f>IFERROR(SUMPRODUCT((LEN('2A'!B5:B54)&gt;0)*IFERROR(VALUE(LEFT('2A'!D5:D54,1)),0))/COUNTA('2A'!B5:B54),"")</f>
        <v/>
      </c>
      <c r="G13" s="98">
        <f>IFERROR(SUMPRODUCT((LEN('2A'!B5:B54)&gt;0)*IFERROR(VALUE(LEFT('2A'!E5:E54,1)),0))/COUNTA('2A'!B5:B54),"")</f>
        <v/>
      </c>
      <c r="H13" s="98">
        <f>IFERROR(SUMPRODUCT((LEN('2A'!B5:B54)&gt;0)*IFERROR(VALUE(LEFT('2A'!F5:F54,1)),0))/COUNTA('2A'!B5:B54),"")</f>
        <v/>
      </c>
      <c r="I13" s="98">
        <f>IFERROR(SUMPRODUCT((LEN('2A'!B5:B54)&gt;0)*IFERROR(VALUE(LEFT('2A'!G5:G54,1)),0))/COUNTA('2A'!B5:B54),"")</f>
        <v/>
      </c>
      <c r="J13" s="98">
        <f>IFERROR(SUMPRODUCT((LEN('2A'!B5:B54)&gt;0)*'2A'!H5:H54)/COUNTA('2A'!B5:B54),"")</f>
        <v/>
      </c>
    </row>
    <row r="14" ht="15.75" customHeight="1" s="52">
      <c r="A14" s="91" t="inlineStr">
        <is>
          <t>2B</t>
        </is>
      </c>
      <c r="B14" s="92">
        <f>COUNTA('2B'!B5:B54)</f>
        <v/>
      </c>
      <c r="C14" s="93">
        <f>COUNTIF('2B'!I5:I54,"🟢 VERDE")</f>
        <v/>
      </c>
      <c r="D14" s="94">
        <f>COUNTIF('2B'!I5:I54,"🟡 AMARILLO")</f>
        <v/>
      </c>
      <c r="E14" s="95">
        <f>COUNTIF('2B'!I5:I54,"🔴 ROJO")</f>
        <v/>
      </c>
      <c r="F14" s="96">
        <f>IFERROR(SUMPRODUCT((LEN('2B'!B5:B54)&gt;0)*IFERROR(VALUE(LEFT('2B'!D5:D54,1)),0))/COUNTA('2B'!B5:B54),"")</f>
        <v/>
      </c>
      <c r="G14" s="96">
        <f>IFERROR(SUMPRODUCT((LEN('2B'!B5:B54)&gt;0)*IFERROR(VALUE(LEFT('2B'!E5:E54,1)),0))/COUNTA('2B'!B5:B54),"")</f>
        <v/>
      </c>
      <c r="H14" s="96">
        <f>IFERROR(SUMPRODUCT((LEN('2B'!B5:B54)&gt;0)*IFERROR(VALUE(LEFT('2B'!F5:F54,1)),0))/COUNTA('2B'!B5:B54),"")</f>
        <v/>
      </c>
      <c r="I14" s="96">
        <f>IFERROR(SUMPRODUCT((LEN('2B'!B5:B54)&gt;0)*IFERROR(VALUE(LEFT('2B'!G5:G54,1)),0))/COUNTA('2B'!B5:B54),"")</f>
        <v/>
      </c>
      <c r="J14" s="96">
        <f>IFERROR(SUMPRODUCT((LEN('2B'!B5:B54)&gt;0)*'2B'!H5:H54)/COUNTA('2B'!B5:B54),"")</f>
        <v/>
      </c>
    </row>
    <row r="15" ht="15.75" customHeight="1" s="52">
      <c r="A15" s="91" t="inlineStr">
        <is>
          <t>2C</t>
        </is>
      </c>
      <c r="B15" s="97">
        <f>COUNTA('2C'!B5:B54)</f>
        <v/>
      </c>
      <c r="C15" s="93">
        <f>COUNTIF('2C'!I5:I54,"🟢 VERDE")</f>
        <v/>
      </c>
      <c r="D15" s="94">
        <f>COUNTIF('2C'!I5:I54,"🟡 AMARILLO")</f>
        <v/>
      </c>
      <c r="E15" s="95">
        <f>COUNTIF('2C'!I5:I54,"🔴 ROJO")</f>
        <v/>
      </c>
      <c r="F15" s="98">
        <f>IFERROR(SUMPRODUCT((LEN('2C'!B5:B54)&gt;0)*IFERROR(VALUE(LEFT('2C'!D5:D54,1)),0))/COUNTA('2C'!B5:B54),"")</f>
        <v/>
      </c>
      <c r="G15" s="98">
        <f>IFERROR(SUMPRODUCT((LEN('2C'!B5:B54)&gt;0)*IFERROR(VALUE(LEFT('2C'!E5:E54,1)),0))/COUNTA('2C'!B5:B54),"")</f>
        <v/>
      </c>
      <c r="H15" s="98">
        <f>IFERROR(SUMPRODUCT((LEN('2C'!B5:B54)&gt;0)*IFERROR(VALUE(LEFT('2C'!F5:F54,1)),0))/COUNTA('2C'!B5:B54),"")</f>
        <v/>
      </c>
      <c r="I15" s="98">
        <f>IFERROR(SUMPRODUCT((LEN('2C'!B5:B54)&gt;0)*IFERROR(VALUE(LEFT('2C'!G5:G54,1)),0))/COUNTA('2C'!B5:B54),"")</f>
        <v/>
      </c>
      <c r="J15" s="98">
        <f>IFERROR(SUMPRODUCT((LEN('2C'!B5:B54)&gt;0)*'2C'!H5:H54)/COUNTA('2C'!B5:B54),"")</f>
        <v/>
      </c>
    </row>
    <row r="16" ht="15.75" customHeight="1" s="52">
      <c r="A16" s="91" t="inlineStr">
        <is>
          <t>3A</t>
        </is>
      </c>
      <c r="B16" s="92">
        <f>COUNTA('3A'!B5:B54)</f>
        <v/>
      </c>
      <c r="C16" s="93">
        <f>COUNTIF('3A'!I5:I54,"🟢 VERDE")</f>
        <v/>
      </c>
      <c r="D16" s="94">
        <f>COUNTIF('3A'!I5:I54,"🟡 AMARILLO")</f>
        <v/>
      </c>
      <c r="E16" s="95">
        <f>COUNTIF('3A'!I5:I54,"🔴 ROJO")</f>
        <v/>
      </c>
      <c r="F16" s="96">
        <f>IFERROR(SUMPRODUCT((LEN('3A'!B5:B54)&gt;0)*IFERROR(VALUE(LEFT('3A'!D5:D54,1)),0))/COUNTA('3A'!B5:B54),"")</f>
        <v/>
      </c>
      <c r="G16" s="96">
        <f>IFERROR(SUMPRODUCT((LEN('3A'!B5:B54)&gt;0)*IFERROR(VALUE(LEFT('3A'!E5:E54,1)),0))/COUNTA('3A'!B5:B54),"")</f>
        <v/>
      </c>
      <c r="H16" s="96">
        <f>IFERROR(SUMPRODUCT((LEN('3A'!B5:B54)&gt;0)*IFERROR(VALUE(LEFT('3A'!F5:F54,1)),0))/COUNTA('3A'!B5:B54),"")</f>
        <v/>
      </c>
      <c r="I16" s="96">
        <f>IFERROR(SUMPRODUCT((LEN('3A'!B5:B54)&gt;0)*IFERROR(VALUE(LEFT('3A'!G5:G54,1)),0))/COUNTA('3A'!B5:B54),"")</f>
        <v/>
      </c>
      <c r="J16" s="96">
        <f>IFERROR(SUMPRODUCT((LEN('3A'!B5:B54)&gt;0)*'3A'!H5:H54)/COUNTA('3A'!B5:B54),"")</f>
        <v/>
      </c>
    </row>
    <row r="17" ht="15.75" customHeight="1" s="52">
      <c r="A17" s="91" t="inlineStr">
        <is>
          <t>3B</t>
        </is>
      </c>
      <c r="B17" s="97">
        <f>COUNTA('3B'!B5:B54)</f>
        <v/>
      </c>
      <c r="C17" s="93">
        <f>COUNTIF('3B'!I5:I54,"🟢 VERDE")</f>
        <v/>
      </c>
      <c r="D17" s="94">
        <f>COUNTIF('3B'!I5:I54,"🟡 AMARILLO")</f>
        <v/>
      </c>
      <c r="E17" s="95">
        <f>COUNTIF('3B'!I5:I54,"🔴 ROJO")</f>
        <v/>
      </c>
      <c r="F17" s="98">
        <f>IFERROR(SUMPRODUCT((LEN('3B'!B5:B54)&gt;0)*IFERROR(VALUE(LEFT('3B'!D5:D54,1)),0))/COUNTA('3B'!B5:B54),"")</f>
        <v/>
      </c>
      <c r="G17" s="98">
        <f>IFERROR(SUMPRODUCT((LEN('3B'!B5:B54)&gt;0)*IFERROR(VALUE(LEFT('3B'!E5:E54,1)),0))/COUNTA('3B'!B5:B54),"")</f>
        <v/>
      </c>
      <c r="H17" s="98">
        <f>IFERROR(SUMPRODUCT((LEN('3B'!B5:B54)&gt;0)*IFERROR(VALUE(LEFT('3B'!F5:F54,1)),0))/COUNTA('3B'!B5:B54),"")</f>
        <v/>
      </c>
      <c r="I17" s="98">
        <f>IFERROR(SUMPRODUCT((LEN('3B'!B5:B54)&gt;0)*IFERROR(VALUE(LEFT('3B'!G5:G54,1)),0))/COUNTA('3B'!B5:B54),"")</f>
        <v/>
      </c>
      <c r="J17" s="98">
        <f>IFERROR(SUMPRODUCT((LEN('3B'!B5:B54)&gt;0)*'3B'!H5:H54)/COUNTA('3B'!B5:B54),"")</f>
        <v/>
      </c>
    </row>
    <row r="18" ht="15.75" customHeight="1" s="52">
      <c r="A18" s="91" t="inlineStr">
        <is>
          <t>3C</t>
        </is>
      </c>
      <c r="B18" s="92">
        <f>COUNTA('3C'!B5:B54)</f>
        <v/>
      </c>
      <c r="C18" s="93">
        <f>COUNTIF('3C'!I5:I54,"🟢 VERDE")</f>
        <v/>
      </c>
      <c r="D18" s="94">
        <f>COUNTIF('3C'!I5:I54,"🟡 AMARILLO")</f>
        <v/>
      </c>
      <c r="E18" s="95">
        <f>COUNTIF('3C'!I5:I54,"🔴 ROJO")</f>
        <v/>
      </c>
      <c r="F18" s="96">
        <f>IFERROR(SUMPRODUCT((LEN('3C'!B5:B54)&gt;0)*IFERROR(VALUE(LEFT('3C'!D5:D54,1)),0))/COUNTA('3C'!B5:B54),"")</f>
        <v/>
      </c>
      <c r="G18" s="96">
        <f>IFERROR(SUMPRODUCT((LEN('3C'!B5:B54)&gt;0)*IFERROR(VALUE(LEFT('3C'!E5:E54,1)),0))/COUNTA('3C'!B5:B54),"")</f>
        <v/>
      </c>
      <c r="H18" s="96">
        <f>IFERROR(SUMPRODUCT((LEN('3C'!B5:B54)&gt;0)*IFERROR(VALUE(LEFT('3C'!F5:F54,1)),0))/COUNTA('3C'!B5:B54),"")</f>
        <v/>
      </c>
      <c r="I18" s="96">
        <f>IFERROR(SUMPRODUCT((LEN('3C'!B5:B54)&gt;0)*IFERROR(VALUE(LEFT('3C'!G5:G54,1)),0))/COUNTA('3C'!B5:B54),"")</f>
        <v/>
      </c>
      <c r="J18" s="96">
        <f>IFERROR(SUMPRODUCT((LEN('3C'!B5:B54)&gt;0)*'3C'!H5:H54)/COUNTA('3C'!B5:B54),"")</f>
        <v/>
      </c>
    </row>
    <row r="19" ht="15.75" customHeight="1" s="52">
      <c r="A19" s="91" t="inlineStr">
        <is>
          <t>4A</t>
        </is>
      </c>
      <c r="B19" s="97">
        <f>COUNTA('4A'!B5:B54)</f>
        <v/>
      </c>
      <c r="C19" s="93">
        <f>COUNTIF('4A'!I5:I54,"🟢 VERDE")</f>
        <v/>
      </c>
      <c r="D19" s="94">
        <f>COUNTIF('4A'!I5:I54,"🟡 AMARILLO")</f>
        <v/>
      </c>
      <c r="E19" s="95">
        <f>COUNTIF('4A'!I5:I54,"🔴 ROJO")</f>
        <v/>
      </c>
      <c r="F19" s="98">
        <f>IFERROR(SUMPRODUCT((LEN('4A'!B5:B54)&gt;0)*IFERROR(VALUE(LEFT('4A'!D5:D54,1)),0))/COUNTA('4A'!B5:B54),"")</f>
        <v/>
      </c>
      <c r="G19" s="98">
        <f>IFERROR(SUMPRODUCT((LEN('4A'!B5:B54)&gt;0)*IFERROR(VALUE(LEFT('4A'!E5:E54,1)),0))/COUNTA('4A'!B5:B54),"")</f>
        <v/>
      </c>
      <c r="H19" s="98">
        <f>IFERROR(SUMPRODUCT((LEN('4A'!B5:B54)&gt;0)*IFERROR(VALUE(LEFT('4A'!F5:F54,1)),0))/COUNTA('4A'!B5:B54),"")</f>
        <v/>
      </c>
      <c r="I19" s="98">
        <f>IFERROR(SUMPRODUCT((LEN('4A'!B5:B54)&gt;0)*IFERROR(VALUE(LEFT('4A'!G5:G54,1)),0))/COUNTA('4A'!B5:B54),"")</f>
        <v/>
      </c>
      <c r="J19" s="98">
        <f>IFERROR(SUMPRODUCT((LEN('4A'!B5:B54)&gt;0)*'4A'!H5:H54)/COUNTA('4A'!B5:B54),"")</f>
        <v/>
      </c>
    </row>
    <row r="20" ht="15.75" customHeight="1" s="52">
      <c r="A20" s="91" t="inlineStr">
        <is>
          <t>4B</t>
        </is>
      </c>
      <c r="B20" s="92">
        <f>COUNTA('4B'!B5:B54)</f>
        <v/>
      </c>
      <c r="C20" s="93">
        <f>COUNTIF('4B'!I5:I54,"🟢 VERDE")</f>
        <v/>
      </c>
      <c r="D20" s="94">
        <f>COUNTIF('4B'!I5:I54,"🟡 AMARILLO")</f>
        <v/>
      </c>
      <c r="E20" s="95">
        <f>COUNTIF('4B'!I5:I54,"🔴 ROJO")</f>
        <v/>
      </c>
      <c r="F20" s="96">
        <f>IFERROR(SUMPRODUCT((LEN('4B'!B5:B54)&gt;0)*IFERROR(VALUE(LEFT('4B'!D5:D54,1)),0))/COUNTA('4B'!B5:B54),"")</f>
        <v/>
      </c>
      <c r="G20" s="96">
        <f>IFERROR(SUMPRODUCT((LEN('4B'!B5:B54)&gt;0)*IFERROR(VALUE(LEFT('4B'!E5:E54,1)),0))/COUNTA('4B'!B5:B54),"")</f>
        <v/>
      </c>
      <c r="H20" s="96">
        <f>IFERROR(SUMPRODUCT((LEN('4B'!B5:B54)&gt;0)*IFERROR(VALUE(LEFT('4B'!F5:F54,1)),0))/COUNTA('4B'!B5:B54),"")</f>
        <v/>
      </c>
      <c r="I20" s="96">
        <f>IFERROR(SUMPRODUCT((LEN('4B'!B5:B54)&gt;0)*IFERROR(VALUE(LEFT('4B'!G5:G54,1)),0))/COUNTA('4B'!B5:B54),"")</f>
        <v/>
      </c>
      <c r="J20" s="96">
        <f>IFERROR(SUMPRODUCT((LEN('4B'!B5:B54)&gt;0)*'4B'!H5:H54)/COUNTA('4B'!B5:B54),"")</f>
        <v/>
      </c>
    </row>
    <row r="21" ht="15.75" customHeight="1" s="52">
      <c r="A21" s="91" t="inlineStr">
        <is>
          <t>4C</t>
        </is>
      </c>
      <c r="B21" s="97">
        <f>COUNTA('4C'!B5:B54)</f>
        <v/>
      </c>
      <c r="C21" s="93">
        <f>COUNTIF('4C'!I5:I54,"🟢 VERDE")</f>
        <v/>
      </c>
      <c r="D21" s="94">
        <f>COUNTIF('4C'!I5:I54,"🟡 AMARILLO")</f>
        <v/>
      </c>
      <c r="E21" s="95">
        <f>COUNTIF('4C'!I5:I54,"🔴 ROJO")</f>
        <v/>
      </c>
      <c r="F21" s="98">
        <f>IFERROR(SUMPRODUCT((LEN('4C'!B5:B54)&gt;0)*IFERROR(VALUE(LEFT('4C'!D5:D54,1)),0))/COUNTA('4C'!B5:B54),"")</f>
        <v/>
      </c>
      <c r="G21" s="98">
        <f>IFERROR(SUMPRODUCT((LEN('4C'!B5:B54)&gt;0)*IFERROR(VALUE(LEFT('4C'!E5:E54,1)),0))/COUNTA('4C'!B5:B54),"")</f>
        <v/>
      </c>
      <c r="H21" s="98">
        <f>IFERROR(SUMPRODUCT((LEN('4C'!B5:B54)&gt;0)*IFERROR(VALUE(LEFT('4C'!F5:F54,1)),0))/COUNTA('4C'!B5:B54),"")</f>
        <v/>
      </c>
      <c r="I21" s="98">
        <f>IFERROR(SUMPRODUCT((LEN('4C'!B5:B54)&gt;0)*IFERROR(VALUE(LEFT('4C'!G5:G54,1)),0))/COUNTA('4C'!B5:B54),"")</f>
        <v/>
      </c>
      <c r="J21" s="98">
        <f>IFERROR(SUMPRODUCT((LEN('4C'!B5:B54)&gt;0)*'4C'!H5:H54)/COUNTA('4C'!B5:B54),"")</f>
        <v/>
      </c>
    </row>
    <row r="22" ht="15.75" customHeight="1" s="52">
      <c r="A22" s="91" t="inlineStr">
        <is>
          <t>5A</t>
        </is>
      </c>
      <c r="B22" s="92">
        <f>COUNTA('5A'!B5:B54)</f>
        <v/>
      </c>
      <c r="C22" s="93">
        <f>COUNTIF('5A'!I5:I54,"🟢 VERDE")</f>
        <v/>
      </c>
      <c r="D22" s="94">
        <f>COUNTIF('5A'!I5:I54,"🟡 AMARILLO")</f>
        <v/>
      </c>
      <c r="E22" s="95">
        <f>COUNTIF('5A'!I5:I54,"🔴 ROJO")</f>
        <v/>
      </c>
      <c r="F22" s="96">
        <f>IFERROR(SUMPRODUCT((LEN('5A'!B5:B54)&gt;0)*IFERROR(VALUE(LEFT('5A'!D5:D54,1)),0))/COUNTA('5A'!B5:B54),"")</f>
        <v/>
      </c>
      <c r="G22" s="96">
        <f>IFERROR(SUMPRODUCT((LEN('5A'!B5:B54)&gt;0)*IFERROR(VALUE(LEFT('5A'!E5:E54,1)),0))/COUNTA('5A'!B5:B54),"")</f>
        <v/>
      </c>
      <c r="H22" s="96">
        <f>IFERROR(SUMPRODUCT((LEN('5A'!B5:B54)&gt;0)*IFERROR(VALUE(LEFT('5A'!F5:F54,1)),0))/COUNTA('5A'!B5:B54),"")</f>
        <v/>
      </c>
      <c r="I22" s="96">
        <f>IFERROR(SUMPRODUCT((LEN('5A'!B5:B54)&gt;0)*IFERROR(VALUE(LEFT('5A'!G5:G54,1)),0))/COUNTA('5A'!B5:B54),"")</f>
        <v/>
      </c>
      <c r="J22" s="96">
        <f>IFERROR(SUMPRODUCT((LEN('5A'!B5:B54)&gt;0)*'5A'!H5:H54)/COUNTA('5A'!B5:B54),"")</f>
        <v/>
      </c>
    </row>
    <row r="23" ht="15.75" customHeight="1" s="52">
      <c r="A23" s="91" t="inlineStr">
        <is>
          <t>5B</t>
        </is>
      </c>
      <c r="B23" s="97">
        <f>COUNTA('5B'!B5:B54)</f>
        <v/>
      </c>
      <c r="C23" s="93">
        <f>COUNTIF('5B'!I5:I54,"🟢 VERDE")</f>
        <v/>
      </c>
      <c r="D23" s="94">
        <f>COUNTIF('5B'!I5:I54,"🟡 AMARILLO")</f>
        <v/>
      </c>
      <c r="E23" s="95">
        <f>COUNTIF('5B'!I5:I54,"🔴 ROJO")</f>
        <v/>
      </c>
      <c r="F23" s="98">
        <f>IFERROR(SUMPRODUCT((LEN('5B'!B5:B54)&gt;0)*IFERROR(VALUE(LEFT('5B'!D5:D54,1)),0))/COUNTA('5B'!B5:B54),"")</f>
        <v/>
      </c>
      <c r="G23" s="98">
        <f>IFERROR(SUMPRODUCT((LEN('5B'!B5:B54)&gt;0)*IFERROR(VALUE(LEFT('5B'!E5:E54,1)),0))/COUNTA('5B'!B5:B54),"")</f>
        <v/>
      </c>
      <c r="H23" s="98">
        <f>IFERROR(SUMPRODUCT((LEN('5B'!B5:B54)&gt;0)*IFERROR(VALUE(LEFT('5B'!F5:F54,1)),0))/COUNTA('5B'!B5:B54),"")</f>
        <v/>
      </c>
      <c r="I23" s="98">
        <f>IFERROR(SUMPRODUCT((LEN('5B'!B5:B54)&gt;0)*IFERROR(VALUE(LEFT('5B'!G5:G54,1)),0))/COUNTA('5B'!B5:B54),"")</f>
        <v/>
      </c>
      <c r="J23" s="98">
        <f>IFERROR(SUMPRODUCT((LEN('5B'!B5:B54)&gt;0)*'5B'!H5:H54)/COUNTA('5B'!B5:B54),"")</f>
        <v/>
      </c>
    </row>
    <row r="24" ht="15.75" customHeight="1" s="52">
      <c r="A24" s="91" t="inlineStr">
        <is>
          <t>5C</t>
        </is>
      </c>
      <c r="B24" s="92">
        <f>COUNTA('5C'!B5:B54)</f>
        <v/>
      </c>
      <c r="C24" s="93">
        <f>COUNTIF('5C'!I5:I54,"🟢 VERDE")</f>
        <v/>
      </c>
      <c r="D24" s="94">
        <f>COUNTIF('5C'!I5:I54,"🟡 AMARILLO")</f>
        <v/>
      </c>
      <c r="E24" s="95">
        <f>COUNTIF('5C'!I5:I54,"🔴 ROJO")</f>
        <v/>
      </c>
      <c r="F24" s="96">
        <f>IFERROR(SUMPRODUCT((LEN('5C'!B5:B54)&gt;0)*IFERROR(VALUE(LEFT('5C'!D5:D54,1)),0))/COUNTA('5C'!B5:B54),"")</f>
        <v/>
      </c>
      <c r="G24" s="96">
        <f>IFERROR(SUMPRODUCT((LEN('5C'!B5:B54)&gt;0)*IFERROR(VALUE(LEFT('5C'!E5:E54,1)),0))/COUNTA('5C'!B5:B54),"")</f>
        <v/>
      </c>
      <c r="H24" s="96">
        <f>IFERROR(SUMPRODUCT((LEN('5C'!B5:B54)&gt;0)*IFERROR(VALUE(LEFT('5C'!F5:F54,1)),0))/COUNTA('5C'!B5:B54),"")</f>
        <v/>
      </c>
      <c r="I24" s="96">
        <f>IFERROR(SUMPRODUCT((LEN('5C'!B5:B54)&gt;0)*IFERROR(VALUE(LEFT('5C'!G5:G54,1)),0))/COUNTA('5C'!B5:B54),"")</f>
        <v/>
      </c>
      <c r="J24" s="96">
        <f>IFERROR(SUMPRODUCT((LEN('5C'!B5:B54)&gt;0)*'5C'!H5:H54)/COUNTA('5C'!B5:B54),"")</f>
        <v/>
      </c>
    </row>
    <row r="25" ht="15.75" customHeight="1" s="52">
      <c r="A25" s="91" t="inlineStr">
        <is>
          <t>6A</t>
        </is>
      </c>
      <c r="B25" s="97">
        <f>COUNTA('6A'!B5:B54)</f>
        <v/>
      </c>
      <c r="C25" s="93">
        <f>COUNTIF('6A'!I5:I54,"🟢 VERDE")</f>
        <v/>
      </c>
      <c r="D25" s="94">
        <f>COUNTIF('6A'!I5:I54,"🟡 AMARILLO")</f>
        <v/>
      </c>
      <c r="E25" s="95">
        <f>COUNTIF('6A'!I5:I54,"🔴 ROJO")</f>
        <v/>
      </c>
      <c r="F25" s="98">
        <f>IFERROR(SUMPRODUCT((LEN('6A'!B5:B54)&gt;0)*IFERROR(VALUE(LEFT('6A'!D5:D54,1)),0))/COUNTA('6A'!B5:B54),"")</f>
        <v/>
      </c>
      <c r="G25" s="98">
        <f>IFERROR(SUMPRODUCT((LEN('6A'!B5:B54)&gt;0)*IFERROR(VALUE(LEFT('6A'!E5:E54,1)),0))/COUNTA('6A'!B5:B54),"")</f>
        <v/>
      </c>
      <c r="H25" s="98">
        <f>IFERROR(SUMPRODUCT((LEN('6A'!B5:B54)&gt;0)*IFERROR(VALUE(LEFT('6A'!F5:F54,1)),0))/COUNTA('6A'!B5:B54),"")</f>
        <v/>
      </c>
      <c r="I25" s="98">
        <f>IFERROR(SUMPRODUCT((LEN('6A'!B5:B54)&gt;0)*IFERROR(VALUE(LEFT('6A'!G5:G54,1)),0))/COUNTA('6A'!B5:B54),"")</f>
        <v/>
      </c>
      <c r="J25" s="98">
        <f>IFERROR(SUMPRODUCT((LEN('6A'!B5:B54)&gt;0)*'6A'!H5:H54)/COUNTA('6A'!B5:B54),"")</f>
        <v/>
      </c>
    </row>
    <row r="26" ht="15.75" customHeight="1" s="52">
      <c r="A26" s="91" t="inlineStr">
        <is>
          <t>6B</t>
        </is>
      </c>
      <c r="B26" s="92">
        <f>COUNTA('6B'!B5:B54)</f>
        <v/>
      </c>
      <c r="C26" s="93">
        <f>COUNTIF('6B'!I5:I54,"🟢 VERDE")</f>
        <v/>
      </c>
      <c r="D26" s="94">
        <f>COUNTIF('6B'!I5:I54,"🟡 AMARILLO")</f>
        <v/>
      </c>
      <c r="E26" s="95">
        <f>COUNTIF('6B'!I5:I54,"🔴 ROJO")</f>
        <v/>
      </c>
      <c r="F26" s="96">
        <f>IFERROR(SUMPRODUCT((LEN('6B'!B5:B54)&gt;0)*IFERROR(VALUE(LEFT('6B'!D5:D54,1)),0))/COUNTA('6B'!B5:B54),"")</f>
        <v/>
      </c>
      <c r="G26" s="96">
        <f>IFERROR(SUMPRODUCT((LEN('6B'!B5:B54)&gt;0)*IFERROR(VALUE(LEFT('6B'!E5:E54,1)),0))/COUNTA('6B'!B5:B54),"")</f>
        <v/>
      </c>
      <c r="H26" s="96">
        <f>IFERROR(SUMPRODUCT((LEN('6B'!B5:B54)&gt;0)*IFERROR(VALUE(LEFT('6B'!F5:F54,1)),0))/COUNTA('6B'!B5:B54),"")</f>
        <v/>
      </c>
      <c r="I26" s="96">
        <f>IFERROR(SUMPRODUCT((LEN('6B'!B5:B54)&gt;0)*IFERROR(VALUE(LEFT('6B'!G5:G54,1)),0))/COUNTA('6B'!B5:B54),"")</f>
        <v/>
      </c>
      <c r="J26" s="96">
        <f>IFERROR(SUMPRODUCT((LEN('6B'!B5:B54)&gt;0)*'6B'!H5:H54)/COUNTA('6B'!B5:B54),"")</f>
        <v/>
      </c>
    </row>
    <row r="27" ht="15.75" customHeight="1" s="52">
      <c r="A27" s="91" t="inlineStr">
        <is>
          <t>6C</t>
        </is>
      </c>
      <c r="B27" s="97">
        <f>COUNTA('6C'!B5:B54)</f>
        <v/>
      </c>
      <c r="C27" s="93">
        <f>COUNTIF('6C'!I5:I54,"🟢 VERDE")</f>
        <v/>
      </c>
      <c r="D27" s="94">
        <f>COUNTIF('6C'!I5:I54,"🟡 AMARILLO")</f>
        <v/>
      </c>
      <c r="E27" s="95">
        <f>COUNTIF('6C'!I5:I54,"🔴 ROJO")</f>
        <v/>
      </c>
      <c r="F27" s="98">
        <f>IFERROR(SUMPRODUCT((LEN('6C'!B5:B54)&gt;0)*IFERROR(VALUE(LEFT('6C'!D5:D54,1)),0))/COUNTA('6C'!B5:B54),"")</f>
        <v/>
      </c>
      <c r="G27" s="98">
        <f>IFERROR(SUMPRODUCT((LEN('6C'!B5:B54)&gt;0)*IFERROR(VALUE(LEFT('6C'!E5:E54,1)),0))/COUNTA('6C'!B5:B54),"")</f>
        <v/>
      </c>
      <c r="H27" s="98">
        <f>IFERROR(SUMPRODUCT((LEN('6C'!B5:B54)&gt;0)*IFERROR(VALUE(LEFT('6C'!F5:F54,1)),0))/COUNTA('6C'!B5:B54),"")</f>
        <v/>
      </c>
      <c r="I27" s="98">
        <f>IFERROR(SUMPRODUCT((LEN('6C'!B5:B54)&gt;0)*IFERROR(VALUE(LEFT('6C'!G5:G54,1)),0))/COUNTA('6C'!B5:B54),"")</f>
        <v/>
      </c>
      <c r="J27" s="98">
        <f>IFERROR(SUMPRODUCT((LEN('6C'!B5:B54)&gt;0)*'6C'!H5:H54)/COUNTA('6C'!B5:B54),"")</f>
        <v/>
      </c>
    </row>
    <row r="28" ht="15.75" customHeight="1" s="52">
      <c r="A28" s="91" t="inlineStr">
        <is>
          <t>7A</t>
        </is>
      </c>
      <c r="B28" s="92">
        <f>COUNTA('7A'!B5:B54)</f>
        <v/>
      </c>
      <c r="C28" s="93">
        <f>COUNTIF('7A'!I5:I54,"🟢 VERDE")</f>
        <v/>
      </c>
      <c r="D28" s="94">
        <f>COUNTIF('7A'!I5:I54,"🟡 AMARILLO")</f>
        <v/>
      </c>
      <c r="E28" s="95">
        <f>COUNTIF('7A'!I5:I54,"🔴 ROJO")</f>
        <v/>
      </c>
      <c r="F28" s="96">
        <f>IFERROR(SUMPRODUCT((LEN('7A'!B5:B54)&gt;0)*IFERROR(VALUE(LEFT('7A'!D5:D54,1)),0))/COUNTA('7A'!B5:B54),"")</f>
        <v/>
      </c>
      <c r="G28" s="96">
        <f>IFERROR(SUMPRODUCT((LEN('7A'!B5:B54)&gt;0)*IFERROR(VALUE(LEFT('7A'!E5:E54,1)),0))/COUNTA('7A'!B5:B54),"")</f>
        <v/>
      </c>
      <c r="H28" s="96">
        <f>IFERROR(SUMPRODUCT((LEN('7A'!B5:B54)&gt;0)*IFERROR(VALUE(LEFT('7A'!F5:F54,1)),0))/COUNTA('7A'!B5:B54),"")</f>
        <v/>
      </c>
      <c r="I28" s="96">
        <f>IFERROR(SUMPRODUCT((LEN('7A'!B5:B54)&gt;0)*IFERROR(VALUE(LEFT('7A'!G5:G54,1)),0))/COUNTA('7A'!B5:B54),"")</f>
        <v/>
      </c>
      <c r="J28" s="96">
        <f>IFERROR(SUMPRODUCT((LEN('7A'!B5:B54)&gt;0)*'7A'!H5:H54)/COUNTA('7A'!B5:B54),"")</f>
        <v/>
      </c>
    </row>
    <row r="29" ht="15.75" customHeight="1" s="52">
      <c r="A29" s="91" t="inlineStr">
        <is>
          <t>7B</t>
        </is>
      </c>
      <c r="B29" s="97">
        <f>COUNTA('7B'!B5:B54)</f>
        <v/>
      </c>
      <c r="C29" s="93">
        <f>COUNTIF('7B'!I5:I54,"🟢 VERDE")</f>
        <v/>
      </c>
      <c r="D29" s="94">
        <f>COUNTIF('7B'!I5:I54,"🟡 AMARILLO")</f>
        <v/>
      </c>
      <c r="E29" s="95">
        <f>COUNTIF('7B'!I5:I54,"🔴 ROJO")</f>
        <v/>
      </c>
      <c r="F29" s="98">
        <f>IFERROR(SUMPRODUCT((LEN('7B'!B5:B54)&gt;0)*IFERROR(VALUE(LEFT('7B'!D5:D54,1)),0))/COUNTA('7B'!B5:B54),"")</f>
        <v/>
      </c>
      <c r="G29" s="98">
        <f>IFERROR(SUMPRODUCT((LEN('7B'!B5:B54)&gt;0)*IFERROR(VALUE(LEFT('7B'!E5:E54,1)),0))/COUNTA('7B'!B5:B54),"")</f>
        <v/>
      </c>
      <c r="H29" s="98">
        <f>IFERROR(SUMPRODUCT((LEN('7B'!B5:B54)&gt;0)*IFERROR(VALUE(LEFT('7B'!F5:F54,1)),0))/COUNTA('7B'!B5:B54),"")</f>
        <v/>
      </c>
      <c r="I29" s="98">
        <f>IFERROR(SUMPRODUCT((LEN('7B'!B5:B54)&gt;0)*IFERROR(VALUE(LEFT('7B'!G5:G54,1)),0))/COUNTA('7B'!B5:B54),"")</f>
        <v/>
      </c>
      <c r="J29" s="98">
        <f>IFERROR(SUMPRODUCT((LEN('7B'!B5:B54)&gt;0)*'7B'!H5:H54)/COUNTA('7B'!B5:B54),"")</f>
        <v/>
      </c>
    </row>
    <row r="30" ht="15.75" customHeight="1" s="52">
      <c r="A30" s="91" t="inlineStr">
        <is>
          <t>7C</t>
        </is>
      </c>
      <c r="B30" s="92">
        <f>COUNTA('7C'!B5:B54)</f>
        <v/>
      </c>
      <c r="C30" s="93">
        <f>COUNTIF('7C'!I5:I54,"🟢 VERDE")</f>
        <v/>
      </c>
      <c r="D30" s="94">
        <f>COUNTIF('7C'!I5:I54,"🟡 AMARILLO")</f>
        <v/>
      </c>
      <c r="E30" s="95">
        <f>COUNTIF('7C'!I5:I54,"🔴 ROJO")</f>
        <v/>
      </c>
      <c r="F30" s="96">
        <f>IFERROR(SUMPRODUCT((LEN('7C'!B5:B54)&gt;0)*IFERROR(VALUE(LEFT('7C'!D5:D54,1)),0))/COUNTA('7C'!B5:B54),"")</f>
        <v/>
      </c>
      <c r="G30" s="96">
        <f>IFERROR(SUMPRODUCT((LEN('7C'!B5:B54)&gt;0)*IFERROR(VALUE(LEFT('7C'!E5:E54,1)),0))/COUNTA('7C'!B5:B54),"")</f>
        <v/>
      </c>
      <c r="H30" s="96">
        <f>IFERROR(SUMPRODUCT((LEN('7C'!B5:B54)&gt;0)*IFERROR(VALUE(LEFT('7C'!F5:F54,1)),0))/COUNTA('7C'!B5:B54),"")</f>
        <v/>
      </c>
      <c r="I30" s="96">
        <f>IFERROR(SUMPRODUCT((LEN('7C'!B5:B54)&gt;0)*IFERROR(VALUE(LEFT('7C'!G5:G54,1)),0))/COUNTA('7C'!B5:B54),"")</f>
        <v/>
      </c>
      <c r="J30" s="96">
        <f>IFERROR(SUMPRODUCT((LEN('7C'!B5:B54)&gt;0)*'7C'!H5:H54)/COUNTA('7C'!B5:B54),"")</f>
        <v/>
      </c>
    </row>
    <row r="31" ht="15.75" customHeight="1" s="52">
      <c r="A31" s="91" t="inlineStr">
        <is>
          <t>8A</t>
        </is>
      </c>
      <c r="B31" s="97">
        <f>COUNTA('8A'!B5:B54)</f>
        <v/>
      </c>
      <c r="C31" s="93">
        <f>COUNTIF('8A'!I5:I54,"🟢 VERDE")</f>
        <v/>
      </c>
      <c r="D31" s="94">
        <f>COUNTIF('8A'!I5:I54,"🟡 AMARILLO")</f>
        <v/>
      </c>
      <c r="E31" s="95">
        <f>COUNTIF('8A'!I5:I54,"🔴 ROJO")</f>
        <v/>
      </c>
      <c r="F31" s="98">
        <f>IFERROR(SUMPRODUCT((LEN('8A'!B5:B54)&gt;0)*IFERROR(VALUE(LEFT('8A'!D5:D54,1)),0))/COUNTA('8A'!B5:B54),"")</f>
        <v/>
      </c>
      <c r="G31" s="98">
        <f>IFERROR(SUMPRODUCT((LEN('8A'!B5:B54)&gt;0)*IFERROR(VALUE(LEFT('8A'!E5:E54,1)),0))/COUNTA('8A'!B5:B54),"")</f>
        <v/>
      </c>
      <c r="H31" s="98">
        <f>IFERROR(SUMPRODUCT((LEN('8A'!B5:B54)&gt;0)*IFERROR(VALUE(LEFT('8A'!F5:F54,1)),0))/COUNTA('8A'!B5:B54),"")</f>
        <v/>
      </c>
      <c r="I31" s="98">
        <f>IFERROR(SUMPRODUCT((LEN('8A'!B5:B54)&gt;0)*IFERROR(VALUE(LEFT('8A'!G5:G54,1)),0))/COUNTA('8A'!B5:B54),"")</f>
        <v/>
      </c>
      <c r="J31" s="98">
        <f>IFERROR(SUMPRODUCT((LEN('8A'!B5:B54)&gt;0)*'8A'!H5:H54)/COUNTA('8A'!B5:B54),"")</f>
        <v/>
      </c>
    </row>
    <row r="32" ht="15.75" customHeight="1" s="52">
      <c r="A32" s="91" t="inlineStr">
        <is>
          <t>8B</t>
        </is>
      </c>
      <c r="B32" s="92">
        <f>COUNTA('8B'!B5:B54)</f>
        <v/>
      </c>
      <c r="C32" s="93">
        <f>COUNTIF('8B'!I5:I54,"🟢 VERDE")</f>
        <v/>
      </c>
      <c r="D32" s="94">
        <f>COUNTIF('8B'!I5:I54,"🟡 AMARILLO")</f>
        <v/>
      </c>
      <c r="E32" s="95">
        <f>COUNTIF('8B'!I5:I54,"🔴 ROJO")</f>
        <v/>
      </c>
      <c r="F32" s="96">
        <f>IFERROR(SUMPRODUCT((LEN('8B'!B5:B54)&gt;0)*IFERROR(VALUE(LEFT('8B'!D5:D54,1)),0))/COUNTA('8B'!B5:B54),"")</f>
        <v/>
      </c>
      <c r="G32" s="96">
        <f>IFERROR(SUMPRODUCT((LEN('8B'!B5:B54)&gt;0)*IFERROR(VALUE(LEFT('8B'!E5:E54,1)),0))/COUNTA('8B'!B5:B54),"")</f>
        <v/>
      </c>
      <c r="H32" s="96">
        <f>IFERROR(SUMPRODUCT((LEN('8B'!B5:B54)&gt;0)*IFERROR(VALUE(LEFT('8B'!F5:F54,1)),0))/COUNTA('8B'!B5:B54),"")</f>
        <v/>
      </c>
      <c r="I32" s="96">
        <f>IFERROR(SUMPRODUCT((LEN('8B'!B5:B54)&gt;0)*IFERROR(VALUE(LEFT('8B'!G5:G54,1)),0))/COUNTA('8B'!B5:B54),"")</f>
        <v/>
      </c>
      <c r="J32" s="96">
        <f>IFERROR(SUMPRODUCT((LEN('8B'!B5:B54)&gt;0)*'8B'!H5:H54)/COUNTA('8B'!B5:B54),"")</f>
        <v/>
      </c>
    </row>
    <row r="33" ht="15.75" customHeight="1" s="52">
      <c r="A33" s="91" t="inlineStr">
        <is>
          <t>8C</t>
        </is>
      </c>
      <c r="B33" s="97">
        <f>COUNTA('8C'!B5:B54)</f>
        <v/>
      </c>
      <c r="C33" s="93">
        <f>COUNTIF('8C'!I5:I54,"🟢 VERDE")</f>
        <v/>
      </c>
      <c r="D33" s="94">
        <f>COUNTIF('8C'!I5:I54,"🟡 AMARILLO")</f>
        <v/>
      </c>
      <c r="E33" s="95">
        <f>COUNTIF('8C'!I5:I54,"🔴 ROJO")</f>
        <v/>
      </c>
      <c r="F33" s="98">
        <f>IFERROR(SUMPRODUCT((LEN('8C'!B5:B54)&gt;0)*IFERROR(VALUE(LEFT('8C'!D5:D54,1)),0))/COUNTA('8C'!B5:B54),"")</f>
        <v/>
      </c>
      <c r="G33" s="98">
        <f>IFERROR(SUMPRODUCT((LEN('8C'!B5:B54)&gt;0)*IFERROR(VALUE(LEFT('8C'!E5:E54,1)),0))/COUNTA('8C'!B5:B54),"")</f>
        <v/>
      </c>
      <c r="H33" s="98">
        <f>IFERROR(SUMPRODUCT((LEN('8C'!B5:B54)&gt;0)*IFERROR(VALUE(LEFT('8C'!F5:F54,1)),0))/COUNTA('8C'!B5:B54),"")</f>
        <v/>
      </c>
      <c r="I33" s="98">
        <f>IFERROR(SUMPRODUCT((LEN('8C'!B5:B54)&gt;0)*IFERROR(VALUE(LEFT('8C'!G5:G54,1)),0))/COUNTA('8C'!B5:B54),"")</f>
        <v/>
      </c>
      <c r="J33" s="98">
        <f>IFERROR(SUMPRODUCT((LEN('8C'!B5:B54)&gt;0)*'8C'!H5:H54)/COUNTA('8C'!B5:B54),"")</f>
        <v/>
      </c>
    </row>
    <row r="34" ht="15.75" customHeight="1" s="52">
      <c r="A34" s="91" t="inlineStr">
        <is>
          <t>1mA</t>
        </is>
      </c>
      <c r="B34" s="92">
        <f>COUNTA('1mA'!B5:B54)</f>
        <v/>
      </c>
      <c r="C34" s="93">
        <f>COUNTIF('1mA'!I5:I54,"🟢 VERDE")</f>
        <v/>
      </c>
      <c r="D34" s="94">
        <f>COUNTIF('1mA'!I5:I54,"🟡 AMARILLO")</f>
        <v/>
      </c>
      <c r="E34" s="95">
        <f>COUNTIF('1mA'!I5:I54,"🔴 ROJO")</f>
        <v/>
      </c>
      <c r="F34" s="96">
        <f>IFERROR(SUMPRODUCT((LEN('1mA'!B5:B54)&gt;0)*IFERROR(VALUE(LEFT('1mA'!D5:D54,1)),0))/COUNTA('1mA'!B5:B54),"")</f>
        <v/>
      </c>
      <c r="G34" s="96">
        <f>IFERROR(SUMPRODUCT((LEN('1mA'!B5:B54)&gt;0)*IFERROR(VALUE(LEFT('1mA'!E5:E54,1)),0))/COUNTA('1mA'!B5:B54),"")</f>
        <v/>
      </c>
      <c r="H34" s="96">
        <f>IFERROR(SUMPRODUCT((LEN('1mA'!B5:B54)&gt;0)*IFERROR(VALUE(LEFT('1mA'!F5:F54,1)),0))/COUNTA('1mA'!B5:B54),"")</f>
        <v/>
      </c>
      <c r="I34" s="96">
        <f>IFERROR(SUMPRODUCT((LEN('1mA'!B5:B54)&gt;0)*IFERROR(VALUE(LEFT('1mA'!G5:G54,1)),0))/COUNTA('1mA'!B5:B54),"")</f>
        <v/>
      </c>
      <c r="J34" s="96">
        <f>IFERROR(SUMPRODUCT((LEN('1mA'!B5:B54)&gt;0)*'1mA'!H5:H54)/COUNTA('1mA'!B5:B54),"")</f>
        <v/>
      </c>
    </row>
    <row r="35" ht="15.75" customHeight="1" s="52">
      <c r="A35" s="91" t="inlineStr">
        <is>
          <t>1mB</t>
        </is>
      </c>
      <c r="B35" s="97">
        <f>COUNTA('1mB'!B5:B54)</f>
        <v/>
      </c>
      <c r="C35" s="93">
        <f>COUNTIF('1mB'!I5:I54,"🟢 VERDE")</f>
        <v/>
      </c>
      <c r="D35" s="94">
        <f>COUNTIF('1mB'!I5:I54,"🟡 AMARILLO")</f>
        <v/>
      </c>
      <c r="E35" s="95">
        <f>COUNTIF('1mB'!I5:I54,"🔴 ROJO")</f>
        <v/>
      </c>
      <c r="F35" s="98">
        <f>IFERROR(SUMPRODUCT((LEN('1mB'!B5:B54)&gt;0)*IFERROR(VALUE(LEFT('1mB'!D5:D54,1)),0))/COUNTA('1mB'!B5:B54),"")</f>
        <v/>
      </c>
      <c r="G35" s="98">
        <f>IFERROR(SUMPRODUCT((LEN('1mB'!B5:B54)&gt;0)*IFERROR(VALUE(LEFT('1mB'!E5:E54,1)),0))/COUNTA('1mB'!B5:B54),"")</f>
        <v/>
      </c>
      <c r="H35" s="98">
        <f>IFERROR(SUMPRODUCT((LEN('1mB'!B5:B54)&gt;0)*IFERROR(VALUE(LEFT('1mB'!F5:F54,1)),0))/COUNTA('1mB'!B5:B54),"")</f>
        <v/>
      </c>
      <c r="I35" s="98">
        <f>IFERROR(SUMPRODUCT((LEN('1mB'!B5:B54)&gt;0)*IFERROR(VALUE(LEFT('1mB'!G5:G54,1)),0))/COUNTA('1mB'!B5:B54),"")</f>
        <v/>
      </c>
      <c r="J35" s="98">
        <f>IFERROR(SUMPRODUCT((LEN('1mB'!B5:B54)&gt;0)*'1mB'!H5:H54)/COUNTA('1mB'!B5:B54),"")</f>
        <v/>
      </c>
    </row>
    <row r="36" ht="15.75" customHeight="1" s="52">
      <c r="A36" s="91" t="inlineStr">
        <is>
          <t>1mC</t>
        </is>
      </c>
      <c r="B36" s="92">
        <f>COUNTA('1mC'!B5:B54)</f>
        <v/>
      </c>
      <c r="C36" s="93">
        <f>COUNTIF('1mC'!I5:I54,"🟢 VERDE")</f>
        <v/>
      </c>
      <c r="D36" s="94">
        <f>COUNTIF('1mC'!I5:I54,"🟡 AMARILLO")</f>
        <v/>
      </c>
      <c r="E36" s="95">
        <f>COUNTIF('1mC'!I5:I54,"🔴 ROJO")</f>
        <v/>
      </c>
      <c r="F36" s="96">
        <f>IFERROR(SUMPRODUCT((LEN('1mC'!B5:B54)&gt;0)*IFERROR(VALUE(LEFT('1mC'!D5:D54,1)),0))/COUNTA('1mC'!B5:B54),"")</f>
        <v/>
      </c>
      <c r="G36" s="96">
        <f>IFERROR(SUMPRODUCT((LEN('1mC'!B5:B54)&gt;0)*IFERROR(VALUE(LEFT('1mC'!E5:E54,1)),0))/COUNTA('1mC'!B5:B54),"")</f>
        <v/>
      </c>
      <c r="H36" s="96">
        <f>IFERROR(SUMPRODUCT((LEN('1mC'!B5:B54)&gt;0)*IFERROR(VALUE(LEFT('1mC'!F5:F54,1)),0))/COUNTA('1mC'!B5:B54),"")</f>
        <v/>
      </c>
      <c r="I36" s="96">
        <f>IFERROR(SUMPRODUCT((LEN('1mC'!B5:B54)&gt;0)*IFERROR(VALUE(LEFT('1mC'!G5:G54,1)),0))/COUNTA('1mC'!B5:B54),"")</f>
        <v/>
      </c>
      <c r="J36" s="96">
        <f>IFERROR(SUMPRODUCT((LEN('1mC'!B5:B54)&gt;0)*'1mC'!H5:H54)/COUNTA('1mC'!B5:B54),"")</f>
        <v/>
      </c>
    </row>
    <row r="37" ht="15.75" customHeight="1" s="52">
      <c r="A37" s="91" t="inlineStr">
        <is>
          <t>2mA</t>
        </is>
      </c>
      <c r="B37" s="97">
        <f>COUNTA('2mA'!B5:B54)</f>
        <v/>
      </c>
      <c r="C37" s="93">
        <f>COUNTIF('2mA'!I5:I54,"🟢 VERDE")</f>
        <v/>
      </c>
      <c r="D37" s="94">
        <f>COUNTIF('2mA'!I5:I54,"🟡 AMARILLO")</f>
        <v/>
      </c>
      <c r="E37" s="95">
        <f>COUNTIF('2mA'!I5:I54,"🔴 ROJO")</f>
        <v/>
      </c>
      <c r="F37" s="98">
        <f>IFERROR(SUMPRODUCT((LEN('2mA'!B5:B54)&gt;0)*IFERROR(VALUE(LEFT('2mA'!D5:D54,1)),0))/COUNTA('2mA'!B5:B54),"")</f>
        <v/>
      </c>
      <c r="G37" s="98">
        <f>IFERROR(SUMPRODUCT((LEN('2mA'!B5:B54)&gt;0)*IFERROR(VALUE(LEFT('2mA'!E5:E54,1)),0))/COUNTA('2mA'!B5:B54),"")</f>
        <v/>
      </c>
      <c r="H37" s="98">
        <f>IFERROR(SUMPRODUCT((LEN('2mA'!B5:B54)&gt;0)*IFERROR(VALUE(LEFT('2mA'!F5:F54,1)),0))/COUNTA('2mA'!B5:B54),"")</f>
        <v/>
      </c>
      <c r="I37" s="98">
        <f>IFERROR(SUMPRODUCT((LEN('2mA'!B5:B54)&gt;0)*IFERROR(VALUE(LEFT('2mA'!G5:G54,1)),0))/COUNTA('2mA'!B5:B54),"")</f>
        <v/>
      </c>
      <c r="J37" s="98">
        <f>IFERROR(SUMPRODUCT((LEN('2mA'!B5:B54)&gt;0)*'2mA'!H5:H54)/COUNTA('2mA'!B5:B54),"")</f>
        <v/>
      </c>
    </row>
    <row r="38" ht="15.75" customHeight="1" s="52">
      <c r="A38" s="91" t="inlineStr">
        <is>
          <t>2mB</t>
        </is>
      </c>
      <c r="B38" s="92">
        <f>COUNTA('2mB'!B5:B54)</f>
        <v/>
      </c>
      <c r="C38" s="93">
        <f>COUNTIF('2mB'!I5:I54,"🟢 VERDE")</f>
        <v/>
      </c>
      <c r="D38" s="94">
        <f>COUNTIF('2mB'!I5:I54,"🟡 AMARILLO")</f>
        <v/>
      </c>
      <c r="E38" s="95">
        <f>COUNTIF('2mB'!I5:I54,"🔴 ROJO")</f>
        <v/>
      </c>
      <c r="F38" s="96">
        <f>IFERROR(SUMPRODUCT((LEN('2mB'!B5:B54)&gt;0)*IFERROR(VALUE(LEFT('2mB'!D5:D54,1)),0))/COUNTA('2mB'!B5:B54),"")</f>
        <v/>
      </c>
      <c r="G38" s="96">
        <f>IFERROR(SUMPRODUCT((LEN('2mB'!B5:B54)&gt;0)*IFERROR(VALUE(LEFT('2mB'!E5:E54,1)),0))/COUNTA('2mB'!B5:B54),"")</f>
        <v/>
      </c>
      <c r="H38" s="96">
        <f>IFERROR(SUMPRODUCT((LEN('2mB'!B5:B54)&gt;0)*IFERROR(VALUE(LEFT('2mB'!F5:F54,1)),0))/COUNTA('2mB'!B5:B54),"")</f>
        <v/>
      </c>
      <c r="I38" s="96">
        <f>IFERROR(SUMPRODUCT((LEN('2mB'!B5:B54)&gt;0)*IFERROR(VALUE(LEFT('2mB'!G5:G54,1)),0))/COUNTA('2mB'!B5:B54),"")</f>
        <v/>
      </c>
      <c r="J38" s="96">
        <f>IFERROR(SUMPRODUCT((LEN('2mB'!B5:B54)&gt;0)*'2mB'!H5:H54)/COUNTA('2mB'!B5:B54),"")</f>
        <v/>
      </c>
    </row>
    <row r="39" ht="15.75" customHeight="1" s="52">
      <c r="A39" s="91" t="inlineStr">
        <is>
          <t>2mC</t>
        </is>
      </c>
      <c r="B39" s="97">
        <f>COUNTA('2mC'!B5:B54)</f>
        <v/>
      </c>
      <c r="C39" s="93">
        <f>COUNTIF('2mC'!I5:I54,"🟢 VERDE")</f>
        <v/>
      </c>
      <c r="D39" s="94">
        <f>COUNTIF('2mC'!I5:I54,"🟡 AMARILLO")</f>
        <v/>
      </c>
      <c r="E39" s="95">
        <f>COUNTIF('2mC'!I5:I54,"🔴 ROJO")</f>
        <v/>
      </c>
      <c r="F39" s="98">
        <f>IFERROR(SUMPRODUCT((LEN('2mC'!B5:B54)&gt;0)*IFERROR(VALUE(LEFT('2mC'!D5:D54,1)),0))/COUNTA('2mC'!B5:B54),"")</f>
        <v/>
      </c>
      <c r="G39" s="98">
        <f>IFERROR(SUMPRODUCT((LEN('2mC'!B5:B54)&gt;0)*IFERROR(VALUE(LEFT('2mC'!E5:E54,1)),0))/COUNTA('2mC'!B5:B54),"")</f>
        <v/>
      </c>
      <c r="H39" s="98">
        <f>IFERROR(SUMPRODUCT((LEN('2mC'!B5:B54)&gt;0)*IFERROR(VALUE(LEFT('2mC'!F5:F54,1)),0))/COUNTA('2mC'!B5:B54),"")</f>
        <v/>
      </c>
      <c r="I39" s="98">
        <f>IFERROR(SUMPRODUCT((LEN('2mC'!B5:B54)&gt;0)*IFERROR(VALUE(LEFT('2mC'!G5:G54,1)),0))/COUNTA('2mC'!B5:B54),"")</f>
        <v/>
      </c>
      <c r="J39" s="98">
        <f>IFERROR(SUMPRODUCT((LEN('2mC'!B5:B54)&gt;0)*'2mC'!H5:H54)/COUNTA('2mC'!B5:B54),"")</f>
        <v/>
      </c>
    </row>
    <row r="40" ht="15.75" customHeight="1" s="52">
      <c r="A40" s="91" t="inlineStr">
        <is>
          <t>2mD</t>
        </is>
      </c>
      <c r="B40" s="92">
        <f>COUNTA('2mD'!B5:B54)</f>
        <v/>
      </c>
      <c r="C40" s="93">
        <f>COUNTIF('2mD'!I5:I54,"🟢 VERDE")</f>
        <v/>
      </c>
      <c r="D40" s="94">
        <f>COUNTIF('2mD'!I5:I54,"🟡 AMARILLO")</f>
        <v/>
      </c>
      <c r="E40" s="95">
        <f>COUNTIF('2mD'!I5:I54,"🔴 ROJO")</f>
        <v/>
      </c>
      <c r="F40" s="96">
        <f>IFERROR(SUMPRODUCT((LEN('2mD'!B5:B54)&gt;0)*IFERROR(VALUE(LEFT('2mD'!D5:D54,1)),0))/COUNTA('2mD'!B5:B54),"")</f>
        <v/>
      </c>
      <c r="G40" s="96">
        <f>IFERROR(SUMPRODUCT((LEN('2mD'!B5:B54)&gt;0)*IFERROR(VALUE(LEFT('2mD'!E5:E54,1)),0))/COUNTA('2mD'!B5:B54),"")</f>
        <v/>
      </c>
      <c r="H40" s="96">
        <f>IFERROR(SUMPRODUCT((LEN('2mD'!B5:B54)&gt;0)*IFERROR(VALUE(LEFT('2mD'!F5:F54,1)),0))/COUNTA('2mD'!B5:B54),"")</f>
        <v/>
      </c>
      <c r="I40" s="96">
        <f>IFERROR(SUMPRODUCT((LEN('2mD'!B5:B54)&gt;0)*IFERROR(VALUE(LEFT('2mD'!G5:G54,1)),0))/COUNTA('2mD'!B5:B54),"")</f>
        <v/>
      </c>
      <c r="J40" s="96">
        <f>IFERROR(SUMPRODUCT((LEN('2mD'!B5:B54)&gt;0)*'2mD'!H5:H54)/COUNTA('2mD'!B5:B54),"")</f>
        <v/>
      </c>
    </row>
    <row r="41" ht="15.75" customHeight="1" s="52">
      <c r="A41" s="91" t="inlineStr">
        <is>
          <t>3mA</t>
        </is>
      </c>
      <c r="B41" s="97">
        <f>COUNTA('3mA'!B5:B54)</f>
        <v/>
      </c>
      <c r="C41" s="93">
        <f>COUNTIF('3mA'!I5:I54,"🟢 VERDE")</f>
        <v/>
      </c>
      <c r="D41" s="94">
        <f>COUNTIF('3mA'!I5:I54,"🟡 AMARILLO")</f>
        <v/>
      </c>
      <c r="E41" s="95">
        <f>COUNTIF('3mA'!I5:I54,"🔴 ROJO")</f>
        <v/>
      </c>
      <c r="F41" s="98">
        <f>IFERROR(SUMPRODUCT((LEN('3mA'!B5:B54)&gt;0)*IFERROR(VALUE(LEFT('3mA'!D5:D54,1)),0))/COUNTA('3mA'!B5:B54),"")</f>
        <v/>
      </c>
      <c r="G41" s="98">
        <f>IFERROR(SUMPRODUCT((LEN('3mA'!B5:B54)&gt;0)*IFERROR(VALUE(LEFT('3mA'!E5:E54,1)),0))/COUNTA('3mA'!B5:B54),"")</f>
        <v/>
      </c>
      <c r="H41" s="98">
        <f>IFERROR(SUMPRODUCT((LEN('3mA'!B5:B54)&gt;0)*IFERROR(VALUE(LEFT('3mA'!F5:F54,1)),0))/COUNTA('3mA'!B5:B54),"")</f>
        <v/>
      </c>
      <c r="I41" s="98">
        <f>IFERROR(SUMPRODUCT((LEN('3mA'!B5:B54)&gt;0)*IFERROR(VALUE(LEFT('3mA'!G5:G54,1)),0))/COUNTA('3mA'!B5:B54),"")</f>
        <v/>
      </c>
      <c r="J41" s="98">
        <f>IFERROR(SUMPRODUCT((LEN('3mA'!B5:B54)&gt;0)*'3mA'!H5:H54)/COUNTA('3mA'!B5:B54),"")</f>
        <v/>
      </c>
    </row>
    <row r="42" ht="15.75" customHeight="1" s="52">
      <c r="A42" s="91" t="inlineStr">
        <is>
          <t>3mB</t>
        </is>
      </c>
      <c r="B42" s="92">
        <f>COUNTA('3mB'!B5:B54)</f>
        <v/>
      </c>
      <c r="C42" s="93">
        <f>COUNTIF('3mB'!I5:I54,"🟢 VERDE")</f>
        <v/>
      </c>
      <c r="D42" s="94">
        <f>COUNTIF('3mB'!I5:I54,"🟡 AMARILLO")</f>
        <v/>
      </c>
      <c r="E42" s="95">
        <f>COUNTIF('3mB'!I5:I54,"🔴 ROJO")</f>
        <v/>
      </c>
      <c r="F42" s="96">
        <f>IFERROR(SUMPRODUCT((LEN('3mB'!B5:B54)&gt;0)*IFERROR(VALUE(LEFT('3mB'!D5:D54,1)),0))/COUNTA('3mB'!B5:B54),"")</f>
        <v/>
      </c>
      <c r="G42" s="96">
        <f>IFERROR(SUMPRODUCT((LEN('3mB'!B5:B54)&gt;0)*IFERROR(VALUE(LEFT('3mB'!E5:E54,1)),0))/COUNTA('3mB'!B5:B54),"")</f>
        <v/>
      </c>
      <c r="H42" s="96">
        <f>IFERROR(SUMPRODUCT((LEN('3mB'!B5:B54)&gt;0)*IFERROR(VALUE(LEFT('3mB'!F5:F54,1)),0))/COUNTA('3mB'!B5:B54),"")</f>
        <v/>
      </c>
      <c r="I42" s="96">
        <f>IFERROR(SUMPRODUCT((LEN('3mB'!B5:B54)&gt;0)*IFERROR(VALUE(LEFT('3mB'!G5:G54,1)),0))/COUNTA('3mB'!B5:B54),"")</f>
        <v/>
      </c>
      <c r="J42" s="96">
        <f>IFERROR(SUMPRODUCT((LEN('3mB'!B5:B54)&gt;0)*'3mB'!H5:H54)/COUNTA('3mB'!B5:B54),"")</f>
        <v/>
      </c>
    </row>
    <row r="43" ht="15.75" customHeight="1" s="52">
      <c r="A43" s="91" t="inlineStr">
        <is>
          <t>3mC</t>
        </is>
      </c>
      <c r="B43" s="97">
        <f>COUNTA('3mC'!B5:B54)</f>
        <v/>
      </c>
      <c r="C43" s="93">
        <f>COUNTIF('3mC'!I5:I54,"🟢 VERDE")</f>
        <v/>
      </c>
      <c r="D43" s="94">
        <f>COUNTIF('3mC'!I5:I54,"🟡 AMARILLO")</f>
        <v/>
      </c>
      <c r="E43" s="95">
        <f>COUNTIF('3mC'!I5:I54,"🔴 ROJO")</f>
        <v/>
      </c>
      <c r="F43" s="98">
        <f>IFERROR(SUMPRODUCT((LEN('3mC'!B5:B54)&gt;0)*IFERROR(VALUE(LEFT('3mC'!D5:D54,1)),0))/COUNTA('3mC'!B5:B54),"")</f>
        <v/>
      </c>
      <c r="G43" s="98">
        <f>IFERROR(SUMPRODUCT((LEN('3mC'!B5:B54)&gt;0)*IFERROR(VALUE(LEFT('3mC'!E5:E54,1)),0))/COUNTA('3mC'!B5:B54),"")</f>
        <v/>
      </c>
      <c r="H43" s="98">
        <f>IFERROR(SUMPRODUCT((LEN('3mC'!B5:B54)&gt;0)*IFERROR(VALUE(LEFT('3mC'!F5:F54,1)),0))/COUNTA('3mC'!B5:B54),"")</f>
        <v/>
      </c>
      <c r="I43" s="98">
        <f>IFERROR(SUMPRODUCT((LEN('3mC'!B5:B54)&gt;0)*IFERROR(VALUE(LEFT('3mC'!G5:G54,1)),0))/COUNTA('3mC'!B5:B54),"")</f>
        <v/>
      </c>
      <c r="J43" s="98">
        <f>IFERROR(SUMPRODUCT((LEN('3mC'!B5:B54)&gt;0)*'3mC'!H5:H54)/COUNTA('3mC'!B5:B54),"")</f>
        <v/>
      </c>
    </row>
    <row r="44" ht="15.75" customHeight="1" s="52">
      <c r="A44" s="91" t="inlineStr">
        <is>
          <t>3mD</t>
        </is>
      </c>
      <c r="B44" s="92">
        <f>COUNTA('3mD'!B5:B54)</f>
        <v/>
      </c>
      <c r="C44" s="93">
        <f>COUNTIF('3mD'!I5:I54,"🟢 VERDE")</f>
        <v/>
      </c>
      <c r="D44" s="94">
        <f>COUNTIF('3mD'!I5:I54,"🟡 AMARILLO")</f>
        <v/>
      </c>
      <c r="E44" s="95">
        <f>COUNTIF('3mD'!I5:I54,"🔴 ROJO")</f>
        <v/>
      </c>
      <c r="F44" s="96">
        <f>IFERROR(SUMPRODUCT((LEN('3mD'!B5:B54)&gt;0)*IFERROR(VALUE(LEFT('3mD'!D5:D54,1)),0))/COUNTA('3mD'!B5:B54),"")</f>
        <v/>
      </c>
      <c r="G44" s="96">
        <f>IFERROR(SUMPRODUCT((LEN('3mD'!B5:B54)&gt;0)*IFERROR(VALUE(LEFT('3mD'!E5:E54,1)),0))/COUNTA('3mD'!B5:B54),"")</f>
        <v/>
      </c>
      <c r="H44" s="96">
        <f>IFERROR(SUMPRODUCT((LEN('3mD'!B5:B54)&gt;0)*IFERROR(VALUE(LEFT('3mD'!F5:F54,1)),0))/COUNTA('3mD'!B5:B54),"")</f>
        <v/>
      </c>
      <c r="I44" s="96">
        <f>IFERROR(SUMPRODUCT((LEN('3mD'!B5:B54)&gt;0)*IFERROR(VALUE(LEFT('3mD'!G5:G54,1)),0))/COUNTA('3mD'!B5:B54),"")</f>
        <v/>
      </c>
      <c r="J44" s="96">
        <f>IFERROR(SUMPRODUCT((LEN('3mD'!B5:B54)&gt;0)*'3mD'!H5:H54)/COUNTA('3mD'!B5:B54),"")</f>
        <v/>
      </c>
    </row>
    <row r="45" ht="15.75" customHeight="1" s="52">
      <c r="A45" s="91" t="inlineStr">
        <is>
          <t>4mA</t>
        </is>
      </c>
      <c r="B45" s="97">
        <f>COUNTA('4mA'!B5:B54)</f>
        <v/>
      </c>
      <c r="C45" s="93">
        <f>COUNTIF('4mA'!I5:I54,"🟢 VERDE")</f>
        <v/>
      </c>
      <c r="D45" s="94">
        <f>COUNTIF('4mA'!I5:I54,"🟡 AMARILLO")</f>
        <v/>
      </c>
      <c r="E45" s="95">
        <f>COUNTIF('4mA'!I5:I54,"🔴 ROJO")</f>
        <v/>
      </c>
      <c r="F45" s="98">
        <f>IFERROR(SUMPRODUCT((LEN('4mA'!B5:B54)&gt;0)*IFERROR(VALUE(LEFT('4mA'!D5:D54,1)),0))/COUNTA('4mA'!B5:B54),"")</f>
        <v/>
      </c>
      <c r="G45" s="98">
        <f>IFERROR(SUMPRODUCT((LEN('4mA'!B5:B54)&gt;0)*IFERROR(VALUE(LEFT('4mA'!E5:E54,1)),0))/COUNTA('4mA'!B5:B54),"")</f>
        <v/>
      </c>
      <c r="H45" s="98">
        <f>IFERROR(SUMPRODUCT((LEN('4mA'!B5:B54)&gt;0)*IFERROR(VALUE(LEFT('4mA'!F5:F54,1)),0))/COUNTA('4mA'!B5:B54),"")</f>
        <v/>
      </c>
      <c r="I45" s="98">
        <f>IFERROR(SUMPRODUCT((LEN('4mA'!B5:B54)&gt;0)*IFERROR(VALUE(LEFT('4mA'!G5:G54,1)),0))/COUNTA('4mA'!B5:B54),"")</f>
        <v/>
      </c>
      <c r="J45" s="98">
        <f>IFERROR(SUMPRODUCT((LEN('4mA'!B5:B54)&gt;0)*'4mA'!H5:H54)/COUNTA('4mA'!B5:B54),"")</f>
        <v/>
      </c>
    </row>
    <row r="46" ht="15.75" customHeight="1" s="52">
      <c r="A46" s="91" t="inlineStr">
        <is>
          <t>4mB</t>
        </is>
      </c>
      <c r="B46" s="92">
        <f>COUNTA('4mB'!B5:B54)</f>
        <v/>
      </c>
      <c r="C46" s="93">
        <f>COUNTIF('4mB'!I5:I54,"🟢 VERDE")</f>
        <v/>
      </c>
      <c r="D46" s="94">
        <f>COUNTIF('4mB'!I5:I54,"🟡 AMARILLO")</f>
        <v/>
      </c>
      <c r="E46" s="95">
        <f>COUNTIF('4mB'!I5:I54,"🔴 ROJO")</f>
        <v/>
      </c>
      <c r="F46" s="96">
        <f>IFERROR(SUMPRODUCT((LEN('4mB'!B5:B54)&gt;0)*IFERROR(VALUE(LEFT('4mB'!D5:D54,1)),0))/COUNTA('4mB'!B5:B54),"")</f>
        <v/>
      </c>
      <c r="G46" s="96">
        <f>IFERROR(SUMPRODUCT((LEN('4mB'!B5:B54)&gt;0)*IFERROR(VALUE(LEFT('4mB'!E5:E54,1)),0))/COUNTA('4mB'!B5:B54),"")</f>
        <v/>
      </c>
      <c r="H46" s="96">
        <f>IFERROR(SUMPRODUCT((LEN('4mB'!B5:B54)&gt;0)*IFERROR(VALUE(LEFT('4mB'!F5:F54,1)),0))/COUNTA('4mB'!B5:B54),"")</f>
        <v/>
      </c>
      <c r="I46" s="96">
        <f>IFERROR(SUMPRODUCT((LEN('4mB'!B5:B54)&gt;0)*IFERROR(VALUE(LEFT('4mB'!G5:G54,1)),0))/COUNTA('4mB'!B5:B54),"")</f>
        <v/>
      </c>
      <c r="J46" s="96">
        <f>IFERROR(SUMPRODUCT((LEN('4mB'!B5:B54)&gt;0)*'4mB'!H5:H54)/COUNTA('4mB'!B5:B54),"")</f>
        <v/>
      </c>
    </row>
    <row r="47" ht="15.75" customHeight="1" s="52">
      <c r="A47" s="91" t="inlineStr">
        <is>
          <t>4mC</t>
        </is>
      </c>
      <c r="B47" s="97">
        <f>COUNTA('4mC'!B5:B54)</f>
        <v/>
      </c>
      <c r="C47" s="93">
        <f>COUNTIF('4mC'!I5:I54,"🟢 VERDE")</f>
        <v/>
      </c>
      <c r="D47" s="94">
        <f>COUNTIF('4mC'!I5:I54,"🟡 AMARILLO")</f>
        <v/>
      </c>
      <c r="E47" s="95">
        <f>COUNTIF('4mC'!I5:I54,"🔴 ROJO")</f>
        <v/>
      </c>
      <c r="F47" s="98">
        <f>IFERROR(SUMPRODUCT((LEN('4mC'!B5:B54)&gt;0)*IFERROR(VALUE(LEFT('4mC'!D5:D54,1)),0))/COUNTA('4mC'!B5:B54),"")</f>
        <v/>
      </c>
      <c r="G47" s="98">
        <f>IFERROR(SUMPRODUCT((LEN('4mC'!B5:B54)&gt;0)*IFERROR(VALUE(LEFT('4mC'!E5:E54,1)),0))/COUNTA('4mC'!B5:B54),"")</f>
        <v/>
      </c>
      <c r="H47" s="98">
        <f>IFERROR(SUMPRODUCT((LEN('4mC'!B5:B54)&gt;0)*IFERROR(VALUE(LEFT('4mC'!F5:F54,1)),0))/COUNTA('4mC'!B5:B54),"")</f>
        <v/>
      </c>
      <c r="I47" s="98">
        <f>IFERROR(SUMPRODUCT((LEN('4mC'!B5:B54)&gt;0)*IFERROR(VALUE(LEFT('4mC'!G5:G54,1)),0))/COUNTA('4mC'!B5:B54),"")</f>
        <v/>
      </c>
      <c r="J47" s="98">
        <f>IFERROR(SUMPRODUCT((LEN('4mC'!B5:B54)&gt;0)*'4mC'!H5:H54)/COUNTA('4mC'!B5:B54),"")</f>
        <v/>
      </c>
    </row>
    <row r="48" ht="15.75" customHeight="1" s="52">
      <c r="A48" s="91" t="inlineStr">
        <is>
          <t>4mD</t>
        </is>
      </c>
      <c r="B48" s="92">
        <f>COUNTA('4mD'!B5:B54)</f>
        <v/>
      </c>
      <c r="C48" s="93">
        <f>COUNTIF('4mD'!I5:I54,"🟢 VERDE")</f>
        <v/>
      </c>
      <c r="D48" s="94">
        <f>COUNTIF('4mD'!I5:I54,"🟡 AMARILLO")</f>
        <v/>
      </c>
      <c r="E48" s="95">
        <f>COUNTIF('4mD'!I5:I54,"🔴 ROJO")</f>
        <v/>
      </c>
      <c r="F48" s="96">
        <f>IFERROR(SUMPRODUCT((LEN('4mD'!B5:B54)&gt;0)*IFERROR(VALUE(LEFT('4mD'!D5:D54,1)),0))/COUNTA('4mD'!B5:B54),"")</f>
        <v/>
      </c>
      <c r="G48" s="96">
        <f>IFERROR(SUMPRODUCT((LEN('4mD'!B5:B54)&gt;0)*IFERROR(VALUE(LEFT('4mD'!E5:E54,1)),0))/COUNTA('4mD'!B5:B54),"")</f>
        <v/>
      </c>
      <c r="H48" s="96">
        <f>IFERROR(SUMPRODUCT((LEN('4mD'!B5:B54)&gt;0)*IFERROR(VALUE(LEFT('4mD'!F5:F54,1)),0))/COUNTA('4mD'!B5:B54),"")</f>
        <v/>
      </c>
      <c r="I48" s="96">
        <f>IFERROR(SUMPRODUCT((LEN('4mD'!B5:B54)&gt;0)*IFERROR(VALUE(LEFT('4mD'!G5:G54,1)),0))/COUNTA('4mD'!B5:B54),"")</f>
        <v/>
      </c>
      <c r="J48" s="96">
        <f>IFERROR(SUMPRODUCT((LEN('4mD'!B5:B54)&gt;0)*'4mD'!H5:H54)/COUNTA('4mD'!B5:B54),"")</f>
        <v/>
      </c>
    </row>
    <row r="49" ht="19.5" customHeight="1" s="52">
      <c r="A49" s="76" t="inlineStr">
        <is>
          <t>TOTAL COLEGIO</t>
        </is>
      </c>
      <c r="B49" s="76">
        <f>SUM(B4:B48)</f>
        <v/>
      </c>
      <c r="C49" s="76">
        <f>SUM(C4:C48)</f>
        <v/>
      </c>
      <c r="D49" s="76">
        <f>SUM(D4:D48)</f>
        <v/>
      </c>
      <c r="E49" s="76">
        <f>SUM(E4:E48)</f>
        <v/>
      </c>
      <c r="F49" s="76" t="inlineStr">
        <is>
          <t>—</t>
        </is>
      </c>
      <c r="G49" s="76" t="inlineStr">
        <is>
          <t>—</t>
        </is>
      </c>
      <c r="H49" s="76" t="inlineStr">
        <is>
          <t>—</t>
        </is>
      </c>
      <c r="I49" s="76" t="inlineStr">
        <is>
          <t>—</t>
        </is>
      </c>
      <c r="J49" s="76" t="inlineStr">
        <is>
          <t>—</t>
        </is>
      </c>
    </row>
  </sheetData>
  <mergeCells count="2">
    <mergeCell ref="A1:J1"/>
    <mergeCell ref="A2:J2"/>
  </mergeCells>
  <conditionalFormatting sqref="E4:E48">
    <cfRule type="cellIs" rank="0" priority="2" equalAverage="0" operator="greaterThan" aboveAverage="0" dxfId="2" text="" percent="0" bottom="0">
      <formula>0</formula>
    </cfRule>
  </conditionalFormatting>
  <conditionalFormatting sqref="D4:D48">
    <cfRule type="cellIs" rank="0" priority="3" equalAverage="0" operator="greaterThan"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tabColor rgb="FF1F3864"/>
    <outlinePr summaryBelow="1" summaryRight="1"/>
    <pageSetUpPr fitToPage="0"/>
  </sheetPr>
  <dimension ref="A1:K22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8" customWidth="1" style="51" min="1" max="1"/>
    <col width="28" customWidth="1" style="51" min="2" max="2"/>
    <col width="10" customWidth="1" style="51" min="3" max="3"/>
    <col width="22" customWidth="1" style="51" min="4" max="4"/>
    <col width="14" customWidth="1" style="51" min="5" max="8"/>
    <col width="8" customWidth="1" style="51" min="9" max="9"/>
    <col width="14" customWidth="1" style="51" min="10" max="10"/>
    <col width="30" customWidth="1" style="51" min="11" max="11"/>
  </cols>
  <sheetData>
    <row r="1" ht="25.5" customHeight="1" s="52">
      <c r="A1" s="89" t="inlineStr">
        <is>
          <t>BÚSQUEDA Y FILTROS — TODOS LOS CURSOS</t>
        </is>
      </c>
    </row>
    <row r="2" ht="19.5" customHeight="1" s="52">
      <c r="A2" s="74" t="inlineStr">
        <is>
          <t>ℹ️  Esta hoja consolida todos los cursos. Use las flechas de filtro en los encabezados (fila 4) para filtrar por Curso, Semáforo, Mentor, etc. Los datos se actualizan automáticamente desde cada hoja de curso.</t>
        </is>
      </c>
    </row>
    <row r="4" ht="21.75" customHeight="1" s="52">
      <c r="A4" s="76" t="inlineStr">
        <is>
          <t>CURSO</t>
        </is>
      </c>
      <c r="B4" s="76" t="inlineStr">
        <is>
          <t>NOMBRE ESTUDIANTE</t>
        </is>
      </c>
      <c r="C4" s="76" t="inlineStr">
        <is>
          <t>MENTOR</t>
        </is>
      </c>
      <c r="D4" s="66" t="inlineStr">
        <is>
          <t>TRAYECTORIA</t>
        </is>
      </c>
      <c r="E4" s="66" t="inlineStr">
        <is>
          <t>ACADÉMICO</t>
        </is>
      </c>
      <c r="F4" s="66" t="inlineStr">
        <is>
          <t>CONDUCTUAL</t>
        </is>
      </c>
      <c r="G4" s="66" t="inlineStr">
        <is>
          <t>SOCIOEMOCIONAL</t>
        </is>
      </c>
      <c r="H4" s="76" t="inlineStr">
        <is>
          <t>TOTAL</t>
        </is>
      </c>
      <c r="I4" s="76" t="inlineStr">
        <is>
          <t>SEMÁFORO</t>
        </is>
      </c>
      <c r="J4" s="76" t="inlineStr">
        <is>
          <t>OBSERVACIONES</t>
        </is>
      </c>
    </row>
    <row r="5" ht="15.75" customHeight="1" s="52">
      <c r="A5" s="97">
        <f>IF(PKA!B5&lt;&gt;"","PKA","")</f>
        <v/>
      </c>
      <c r="B5" s="78">
        <f>IF(PKA!B5&lt;&gt;"",PKA!B5,"")</f>
        <v/>
      </c>
      <c r="C5" s="78">
        <f>IF(PKA!B5&lt;&gt;"",PKA!C5,"")</f>
        <v/>
      </c>
      <c r="D5" s="78">
        <f>IF(PKA!B5&lt;&gt;"",PKA!D5,"")</f>
        <v/>
      </c>
      <c r="E5" s="78">
        <f>IF(PKA!B5&lt;&gt;"",PKA!E5,"")</f>
        <v/>
      </c>
      <c r="F5" s="78">
        <f>IF(PKA!B5&lt;&gt;"",PKA!F5,"")</f>
        <v/>
      </c>
      <c r="G5" s="78">
        <f>IF(PKA!B5&lt;&gt;"",PKA!G5,"")</f>
        <v/>
      </c>
      <c r="H5" s="97">
        <f>IF(PKA!B5&lt;&gt;"",PKA!H5,"")</f>
        <v/>
      </c>
      <c r="I5" s="97">
        <f>IF(PKA!B5&lt;&gt;"",PKA!I5,"")</f>
        <v/>
      </c>
      <c r="J5" s="78">
        <f>IF(PKA!B5&lt;&gt;"",PKA!J5,"")</f>
        <v/>
      </c>
    </row>
    <row r="6" ht="15.75" customHeight="1" s="52">
      <c r="A6" s="92">
        <f>IF(PKA!B6&lt;&gt;"","PKA","")</f>
        <v/>
      </c>
      <c r="B6" s="82">
        <f>IF(PKA!B6&lt;&gt;"",PKA!B6,"")</f>
        <v/>
      </c>
      <c r="C6" s="82">
        <f>IF(PKA!B6&lt;&gt;"",PKA!C6,"")</f>
        <v/>
      </c>
      <c r="D6" s="82">
        <f>IF(PKA!B6&lt;&gt;"",PKA!D6,"")</f>
        <v/>
      </c>
      <c r="E6" s="82">
        <f>IF(PKA!B6&lt;&gt;"",PKA!E6,"")</f>
        <v/>
      </c>
      <c r="F6" s="82">
        <f>IF(PKA!B6&lt;&gt;"",PKA!F6,"")</f>
        <v/>
      </c>
      <c r="G6" s="82">
        <f>IF(PKA!B6&lt;&gt;"",PKA!G6,"")</f>
        <v/>
      </c>
      <c r="H6" s="92">
        <f>IF(PKA!B6&lt;&gt;"",PKA!H6,"")</f>
        <v/>
      </c>
      <c r="I6" s="92">
        <f>IF(PKA!B6&lt;&gt;"",PKA!I6,"")</f>
        <v/>
      </c>
      <c r="J6" s="82">
        <f>IF(PKA!B6&lt;&gt;"",PKA!J6,"")</f>
        <v/>
      </c>
    </row>
    <row r="7" ht="15.75" customHeight="1" s="52">
      <c r="A7" s="97">
        <f>IF(PKA!B7&lt;&gt;"","PKA","")</f>
        <v/>
      </c>
      <c r="B7" s="78">
        <f>IF(PKA!B7&lt;&gt;"",PKA!B7,"")</f>
        <v/>
      </c>
      <c r="C7" s="78">
        <f>IF(PKA!B7&lt;&gt;"",PKA!C7,"")</f>
        <v/>
      </c>
      <c r="D7" s="78">
        <f>IF(PKA!B7&lt;&gt;"",PKA!D7,"")</f>
        <v/>
      </c>
      <c r="E7" s="78">
        <f>IF(PKA!B7&lt;&gt;"",PKA!E7,"")</f>
        <v/>
      </c>
      <c r="F7" s="78">
        <f>IF(PKA!B7&lt;&gt;"",PKA!F7,"")</f>
        <v/>
      </c>
      <c r="G7" s="78">
        <f>IF(PKA!B7&lt;&gt;"",PKA!G7,"")</f>
        <v/>
      </c>
      <c r="H7" s="97">
        <f>IF(PKA!B7&lt;&gt;"",PKA!H7,"")</f>
        <v/>
      </c>
      <c r="I7" s="97">
        <f>IF(PKA!B7&lt;&gt;"",PKA!I7,"")</f>
        <v/>
      </c>
      <c r="J7" s="78">
        <f>IF(PKA!B7&lt;&gt;"",PKA!J7,"")</f>
        <v/>
      </c>
    </row>
    <row r="8" ht="15.75" customHeight="1" s="52">
      <c r="A8" s="92">
        <f>IF(PKA!B8&lt;&gt;"","PKA","")</f>
        <v/>
      </c>
      <c r="B8" s="82">
        <f>IF(PKA!B8&lt;&gt;"",PKA!B8,"")</f>
        <v/>
      </c>
      <c r="C8" s="82">
        <f>IF(PKA!B8&lt;&gt;"",PKA!C8,"")</f>
        <v/>
      </c>
      <c r="D8" s="82">
        <f>IF(PKA!B8&lt;&gt;"",PKA!D8,"")</f>
        <v/>
      </c>
      <c r="E8" s="82">
        <f>IF(PKA!B8&lt;&gt;"",PKA!E8,"")</f>
        <v/>
      </c>
      <c r="F8" s="82">
        <f>IF(PKA!B8&lt;&gt;"",PKA!F8,"")</f>
        <v/>
      </c>
      <c r="G8" s="82">
        <f>IF(PKA!B8&lt;&gt;"",PKA!G8,"")</f>
        <v/>
      </c>
      <c r="H8" s="92">
        <f>IF(PKA!B8&lt;&gt;"",PKA!H8,"")</f>
        <v/>
      </c>
      <c r="I8" s="92">
        <f>IF(PKA!B8&lt;&gt;"",PKA!I8,"")</f>
        <v/>
      </c>
      <c r="J8" s="82">
        <f>IF(PKA!B8&lt;&gt;"",PKA!J8,"")</f>
        <v/>
      </c>
    </row>
    <row r="9" ht="15.75" customHeight="1" s="52">
      <c r="A9" s="97">
        <f>IF(PKA!B9&lt;&gt;"","PKA","")</f>
        <v/>
      </c>
      <c r="B9" s="78">
        <f>IF(PKA!B9&lt;&gt;"",PKA!B9,"")</f>
        <v/>
      </c>
      <c r="C9" s="78">
        <f>IF(PKA!B9&lt;&gt;"",PKA!C9,"")</f>
        <v/>
      </c>
      <c r="D9" s="78">
        <f>IF(PKA!B9&lt;&gt;"",PKA!D9,"")</f>
        <v/>
      </c>
      <c r="E9" s="78">
        <f>IF(PKA!B9&lt;&gt;"",PKA!E9,"")</f>
        <v/>
      </c>
      <c r="F9" s="78">
        <f>IF(PKA!B9&lt;&gt;"",PKA!F9,"")</f>
        <v/>
      </c>
      <c r="G9" s="78">
        <f>IF(PKA!B9&lt;&gt;"",PKA!G9,"")</f>
        <v/>
      </c>
      <c r="H9" s="97">
        <f>IF(PKA!B9&lt;&gt;"",PKA!H9,"")</f>
        <v/>
      </c>
      <c r="I9" s="97">
        <f>IF(PKA!B9&lt;&gt;"",PKA!I9,"")</f>
        <v/>
      </c>
      <c r="J9" s="78">
        <f>IF(PKA!B9&lt;&gt;"",PKA!J9,"")</f>
        <v/>
      </c>
    </row>
    <row r="10" ht="15.75" customHeight="1" s="52">
      <c r="A10" s="92">
        <f>IF(PKA!B10&lt;&gt;"","PKA","")</f>
        <v/>
      </c>
      <c r="B10" s="82">
        <f>IF(PKA!B10&lt;&gt;"",PKA!B10,"")</f>
        <v/>
      </c>
      <c r="C10" s="82">
        <f>IF(PKA!B10&lt;&gt;"",PKA!C10,"")</f>
        <v/>
      </c>
      <c r="D10" s="82">
        <f>IF(PKA!B10&lt;&gt;"",PKA!D10,"")</f>
        <v/>
      </c>
      <c r="E10" s="82">
        <f>IF(PKA!B10&lt;&gt;"",PKA!E10,"")</f>
        <v/>
      </c>
      <c r="F10" s="82">
        <f>IF(PKA!B10&lt;&gt;"",PKA!F10,"")</f>
        <v/>
      </c>
      <c r="G10" s="82">
        <f>IF(PKA!B10&lt;&gt;"",PKA!G10,"")</f>
        <v/>
      </c>
      <c r="H10" s="92">
        <f>IF(PKA!B10&lt;&gt;"",PKA!H10,"")</f>
        <v/>
      </c>
      <c r="I10" s="92">
        <f>IF(PKA!B10&lt;&gt;"",PKA!I10,"")</f>
        <v/>
      </c>
      <c r="J10" s="82">
        <f>IF(PKA!B10&lt;&gt;"",PKA!J10,"")</f>
        <v/>
      </c>
    </row>
    <row r="11" ht="15.75" customHeight="1" s="52">
      <c r="A11" s="97">
        <f>IF(PKA!B11&lt;&gt;"","PKA","")</f>
        <v/>
      </c>
      <c r="B11" s="78">
        <f>IF(PKA!B11&lt;&gt;"",PKA!B11,"")</f>
        <v/>
      </c>
      <c r="C11" s="78">
        <f>IF(PKA!B11&lt;&gt;"",PKA!C11,"")</f>
        <v/>
      </c>
      <c r="D11" s="78">
        <f>IF(PKA!B11&lt;&gt;"",PKA!D11,"")</f>
        <v/>
      </c>
      <c r="E11" s="78">
        <f>IF(PKA!B11&lt;&gt;"",PKA!E11,"")</f>
        <v/>
      </c>
      <c r="F11" s="78">
        <f>IF(PKA!B11&lt;&gt;"",PKA!F11,"")</f>
        <v/>
      </c>
      <c r="G11" s="78">
        <f>IF(PKA!B11&lt;&gt;"",PKA!G11,"")</f>
        <v/>
      </c>
      <c r="H11" s="97">
        <f>IF(PKA!B11&lt;&gt;"",PKA!H11,"")</f>
        <v/>
      </c>
      <c r="I11" s="97">
        <f>IF(PKA!B11&lt;&gt;"",PKA!I11,"")</f>
        <v/>
      </c>
      <c r="J11" s="78">
        <f>IF(PKA!B11&lt;&gt;"",PKA!J11,"")</f>
        <v/>
      </c>
    </row>
    <row r="12" ht="15.75" customHeight="1" s="52">
      <c r="A12" s="92">
        <f>IF(PKA!B12&lt;&gt;"","PKA","")</f>
        <v/>
      </c>
      <c r="B12" s="82">
        <f>IF(PKA!B12&lt;&gt;"",PKA!B12,"")</f>
        <v/>
      </c>
      <c r="C12" s="82">
        <f>IF(PKA!B12&lt;&gt;"",PKA!C12,"")</f>
        <v/>
      </c>
      <c r="D12" s="82">
        <f>IF(PKA!B12&lt;&gt;"",PKA!D12,"")</f>
        <v/>
      </c>
      <c r="E12" s="82">
        <f>IF(PKA!B12&lt;&gt;"",PKA!E12,"")</f>
        <v/>
      </c>
      <c r="F12" s="82">
        <f>IF(PKA!B12&lt;&gt;"",PKA!F12,"")</f>
        <v/>
      </c>
      <c r="G12" s="82">
        <f>IF(PKA!B12&lt;&gt;"",PKA!G12,"")</f>
        <v/>
      </c>
      <c r="H12" s="92">
        <f>IF(PKA!B12&lt;&gt;"",PKA!H12,"")</f>
        <v/>
      </c>
      <c r="I12" s="92">
        <f>IF(PKA!B12&lt;&gt;"",PKA!I12,"")</f>
        <v/>
      </c>
      <c r="J12" s="82">
        <f>IF(PKA!B12&lt;&gt;"",PKA!J12,"")</f>
        <v/>
      </c>
    </row>
    <row r="13" ht="15.75" customHeight="1" s="52">
      <c r="A13" s="97">
        <f>IF(PKA!B13&lt;&gt;"","PKA","")</f>
        <v/>
      </c>
      <c r="B13" s="78">
        <f>IF(PKA!B13&lt;&gt;"",PKA!B13,"")</f>
        <v/>
      </c>
      <c r="C13" s="78">
        <f>IF(PKA!B13&lt;&gt;"",PKA!C13,"")</f>
        <v/>
      </c>
      <c r="D13" s="78">
        <f>IF(PKA!B13&lt;&gt;"",PKA!D13,"")</f>
        <v/>
      </c>
      <c r="E13" s="78">
        <f>IF(PKA!B13&lt;&gt;"",PKA!E13,"")</f>
        <v/>
      </c>
      <c r="F13" s="78">
        <f>IF(PKA!B13&lt;&gt;"",PKA!F13,"")</f>
        <v/>
      </c>
      <c r="G13" s="78">
        <f>IF(PKA!B13&lt;&gt;"",PKA!G13,"")</f>
        <v/>
      </c>
      <c r="H13" s="97">
        <f>IF(PKA!B13&lt;&gt;"",PKA!H13,"")</f>
        <v/>
      </c>
      <c r="I13" s="97">
        <f>IF(PKA!B13&lt;&gt;"",PKA!I13,"")</f>
        <v/>
      </c>
      <c r="J13" s="78">
        <f>IF(PKA!B13&lt;&gt;"",PKA!J13,"")</f>
        <v/>
      </c>
    </row>
    <row r="14" ht="15.75" customHeight="1" s="52">
      <c r="A14" s="92">
        <f>IF(PKA!B14&lt;&gt;"","PKA","")</f>
        <v/>
      </c>
      <c r="B14" s="82">
        <f>IF(PKA!B14&lt;&gt;"",PKA!B14,"")</f>
        <v/>
      </c>
      <c r="C14" s="82">
        <f>IF(PKA!B14&lt;&gt;"",PKA!C14,"")</f>
        <v/>
      </c>
      <c r="D14" s="82">
        <f>IF(PKA!B14&lt;&gt;"",PKA!D14,"")</f>
        <v/>
      </c>
      <c r="E14" s="82">
        <f>IF(PKA!B14&lt;&gt;"",PKA!E14,"")</f>
        <v/>
      </c>
      <c r="F14" s="82">
        <f>IF(PKA!B14&lt;&gt;"",PKA!F14,"")</f>
        <v/>
      </c>
      <c r="G14" s="82">
        <f>IF(PKA!B14&lt;&gt;"",PKA!G14,"")</f>
        <v/>
      </c>
      <c r="H14" s="92">
        <f>IF(PKA!B14&lt;&gt;"",PKA!H14,"")</f>
        <v/>
      </c>
      <c r="I14" s="92">
        <f>IF(PKA!B14&lt;&gt;"",PKA!I14,"")</f>
        <v/>
      </c>
      <c r="J14" s="82">
        <f>IF(PKA!B14&lt;&gt;"",PKA!J14,"")</f>
        <v/>
      </c>
    </row>
    <row r="15" ht="15.75" customHeight="1" s="52">
      <c r="A15" s="97">
        <f>IF(PKA!B15&lt;&gt;"","PKA","")</f>
        <v/>
      </c>
      <c r="B15" s="78">
        <f>IF(PKA!B15&lt;&gt;"",PKA!B15,"")</f>
        <v/>
      </c>
      <c r="C15" s="78">
        <f>IF(PKA!B15&lt;&gt;"",PKA!C15,"")</f>
        <v/>
      </c>
      <c r="D15" s="78">
        <f>IF(PKA!B15&lt;&gt;"",PKA!D15,"")</f>
        <v/>
      </c>
      <c r="E15" s="78">
        <f>IF(PKA!B15&lt;&gt;"",PKA!E15,"")</f>
        <v/>
      </c>
      <c r="F15" s="78">
        <f>IF(PKA!B15&lt;&gt;"",PKA!F15,"")</f>
        <v/>
      </c>
      <c r="G15" s="78">
        <f>IF(PKA!B15&lt;&gt;"",PKA!G15,"")</f>
        <v/>
      </c>
      <c r="H15" s="97">
        <f>IF(PKA!B15&lt;&gt;"",PKA!H15,"")</f>
        <v/>
      </c>
      <c r="I15" s="97">
        <f>IF(PKA!B15&lt;&gt;"",PKA!I15,"")</f>
        <v/>
      </c>
      <c r="J15" s="78">
        <f>IF(PKA!B15&lt;&gt;"",PKA!J15,"")</f>
        <v/>
      </c>
    </row>
    <row r="16" ht="15.75" customHeight="1" s="52">
      <c r="A16" s="92">
        <f>IF(PKA!B16&lt;&gt;"","PKA","")</f>
        <v/>
      </c>
      <c r="B16" s="82">
        <f>IF(PKA!B16&lt;&gt;"",PKA!B16,"")</f>
        <v/>
      </c>
      <c r="C16" s="82">
        <f>IF(PKA!B16&lt;&gt;"",PKA!C16,"")</f>
        <v/>
      </c>
      <c r="D16" s="82">
        <f>IF(PKA!B16&lt;&gt;"",PKA!D16,"")</f>
        <v/>
      </c>
      <c r="E16" s="82">
        <f>IF(PKA!B16&lt;&gt;"",PKA!E16,"")</f>
        <v/>
      </c>
      <c r="F16" s="82">
        <f>IF(PKA!B16&lt;&gt;"",PKA!F16,"")</f>
        <v/>
      </c>
      <c r="G16" s="82">
        <f>IF(PKA!B16&lt;&gt;"",PKA!G16,"")</f>
        <v/>
      </c>
      <c r="H16" s="92">
        <f>IF(PKA!B16&lt;&gt;"",PKA!H16,"")</f>
        <v/>
      </c>
      <c r="I16" s="92">
        <f>IF(PKA!B16&lt;&gt;"",PKA!I16,"")</f>
        <v/>
      </c>
      <c r="J16" s="82">
        <f>IF(PKA!B16&lt;&gt;"",PKA!J16,"")</f>
        <v/>
      </c>
    </row>
    <row r="17" ht="15.75" customHeight="1" s="52">
      <c r="A17" s="97">
        <f>IF(PKA!B17&lt;&gt;"","PKA","")</f>
        <v/>
      </c>
      <c r="B17" s="78">
        <f>IF(PKA!B17&lt;&gt;"",PKA!B17,"")</f>
        <v/>
      </c>
      <c r="C17" s="78">
        <f>IF(PKA!B17&lt;&gt;"",PKA!C17,"")</f>
        <v/>
      </c>
      <c r="D17" s="78">
        <f>IF(PKA!B17&lt;&gt;"",PKA!D17,"")</f>
        <v/>
      </c>
      <c r="E17" s="78">
        <f>IF(PKA!B17&lt;&gt;"",PKA!E17,"")</f>
        <v/>
      </c>
      <c r="F17" s="78">
        <f>IF(PKA!B17&lt;&gt;"",PKA!F17,"")</f>
        <v/>
      </c>
      <c r="G17" s="78">
        <f>IF(PKA!B17&lt;&gt;"",PKA!G17,"")</f>
        <v/>
      </c>
      <c r="H17" s="97">
        <f>IF(PKA!B17&lt;&gt;"",PKA!H17,"")</f>
        <v/>
      </c>
      <c r="I17" s="97">
        <f>IF(PKA!B17&lt;&gt;"",PKA!I17,"")</f>
        <v/>
      </c>
      <c r="J17" s="78">
        <f>IF(PKA!B17&lt;&gt;"",PKA!J17,"")</f>
        <v/>
      </c>
    </row>
    <row r="18" ht="15.75" customHeight="1" s="52">
      <c r="A18" s="92">
        <f>IF(PKA!B18&lt;&gt;"","PKA","")</f>
        <v/>
      </c>
      <c r="B18" s="82">
        <f>IF(PKA!B18&lt;&gt;"",PKA!B18,"")</f>
        <v/>
      </c>
      <c r="C18" s="82">
        <f>IF(PKA!B18&lt;&gt;"",PKA!C18,"")</f>
        <v/>
      </c>
      <c r="D18" s="82">
        <f>IF(PKA!B18&lt;&gt;"",PKA!D18,"")</f>
        <v/>
      </c>
      <c r="E18" s="82">
        <f>IF(PKA!B18&lt;&gt;"",PKA!E18,"")</f>
        <v/>
      </c>
      <c r="F18" s="82">
        <f>IF(PKA!B18&lt;&gt;"",PKA!F18,"")</f>
        <v/>
      </c>
      <c r="G18" s="82">
        <f>IF(PKA!B18&lt;&gt;"",PKA!G18,"")</f>
        <v/>
      </c>
      <c r="H18" s="92">
        <f>IF(PKA!B18&lt;&gt;"",PKA!H18,"")</f>
        <v/>
      </c>
      <c r="I18" s="92">
        <f>IF(PKA!B18&lt;&gt;"",PKA!I18,"")</f>
        <v/>
      </c>
      <c r="J18" s="82">
        <f>IF(PKA!B18&lt;&gt;"",PKA!J18,"")</f>
        <v/>
      </c>
    </row>
    <row r="19" ht="15.75" customHeight="1" s="52">
      <c r="A19" s="97">
        <f>IF(PKA!B19&lt;&gt;"","PKA","")</f>
        <v/>
      </c>
      <c r="B19" s="78">
        <f>IF(PKA!B19&lt;&gt;"",PKA!B19,"")</f>
        <v/>
      </c>
      <c r="C19" s="78">
        <f>IF(PKA!B19&lt;&gt;"",PKA!C19,"")</f>
        <v/>
      </c>
      <c r="D19" s="78">
        <f>IF(PKA!B19&lt;&gt;"",PKA!D19,"")</f>
        <v/>
      </c>
      <c r="E19" s="78">
        <f>IF(PKA!B19&lt;&gt;"",PKA!E19,"")</f>
        <v/>
      </c>
      <c r="F19" s="78">
        <f>IF(PKA!B19&lt;&gt;"",PKA!F19,"")</f>
        <v/>
      </c>
      <c r="G19" s="78">
        <f>IF(PKA!B19&lt;&gt;"",PKA!G19,"")</f>
        <v/>
      </c>
      <c r="H19" s="97">
        <f>IF(PKA!B19&lt;&gt;"",PKA!H19,"")</f>
        <v/>
      </c>
      <c r="I19" s="97">
        <f>IF(PKA!B19&lt;&gt;"",PKA!I19,"")</f>
        <v/>
      </c>
      <c r="J19" s="78">
        <f>IF(PKA!B19&lt;&gt;"",PKA!J19,"")</f>
        <v/>
      </c>
    </row>
    <row r="20" ht="15.75" customHeight="1" s="52">
      <c r="A20" s="92">
        <f>IF(PKA!B20&lt;&gt;"","PKA","")</f>
        <v/>
      </c>
      <c r="B20" s="82">
        <f>IF(PKA!B20&lt;&gt;"",PKA!B20,"")</f>
        <v/>
      </c>
      <c r="C20" s="82">
        <f>IF(PKA!B20&lt;&gt;"",PKA!C20,"")</f>
        <v/>
      </c>
      <c r="D20" s="82">
        <f>IF(PKA!B20&lt;&gt;"",PKA!D20,"")</f>
        <v/>
      </c>
      <c r="E20" s="82">
        <f>IF(PKA!B20&lt;&gt;"",PKA!E20,"")</f>
        <v/>
      </c>
      <c r="F20" s="82">
        <f>IF(PKA!B20&lt;&gt;"",PKA!F20,"")</f>
        <v/>
      </c>
      <c r="G20" s="82">
        <f>IF(PKA!B20&lt;&gt;"",PKA!G20,"")</f>
        <v/>
      </c>
      <c r="H20" s="92">
        <f>IF(PKA!B20&lt;&gt;"",PKA!H20,"")</f>
        <v/>
      </c>
      <c r="I20" s="92">
        <f>IF(PKA!B20&lt;&gt;"",PKA!I20,"")</f>
        <v/>
      </c>
      <c r="J20" s="82">
        <f>IF(PKA!B20&lt;&gt;"",PKA!J20,"")</f>
        <v/>
      </c>
    </row>
    <row r="21" ht="15.75" customHeight="1" s="52">
      <c r="A21" s="97">
        <f>IF(PKA!B21&lt;&gt;"","PKA","")</f>
        <v/>
      </c>
      <c r="B21" s="78">
        <f>IF(PKA!B21&lt;&gt;"",PKA!B21,"")</f>
        <v/>
      </c>
      <c r="C21" s="78">
        <f>IF(PKA!B21&lt;&gt;"",PKA!C21,"")</f>
        <v/>
      </c>
      <c r="D21" s="78">
        <f>IF(PKA!B21&lt;&gt;"",PKA!D21,"")</f>
        <v/>
      </c>
      <c r="E21" s="78">
        <f>IF(PKA!B21&lt;&gt;"",PKA!E21,"")</f>
        <v/>
      </c>
      <c r="F21" s="78">
        <f>IF(PKA!B21&lt;&gt;"",PKA!F21,"")</f>
        <v/>
      </c>
      <c r="G21" s="78">
        <f>IF(PKA!B21&lt;&gt;"",PKA!G21,"")</f>
        <v/>
      </c>
      <c r="H21" s="97">
        <f>IF(PKA!B21&lt;&gt;"",PKA!H21,"")</f>
        <v/>
      </c>
      <c r="I21" s="97">
        <f>IF(PKA!B21&lt;&gt;"",PKA!I21,"")</f>
        <v/>
      </c>
      <c r="J21" s="78">
        <f>IF(PKA!B21&lt;&gt;"",PKA!J21,"")</f>
        <v/>
      </c>
    </row>
    <row r="22" ht="15.75" customHeight="1" s="52">
      <c r="A22" s="92">
        <f>IF(PKA!B22&lt;&gt;"","PKA","")</f>
        <v/>
      </c>
      <c r="B22" s="82">
        <f>IF(PKA!B22&lt;&gt;"",PKA!B22,"")</f>
        <v/>
      </c>
      <c r="C22" s="82">
        <f>IF(PKA!B22&lt;&gt;"",PKA!C22,"")</f>
        <v/>
      </c>
      <c r="D22" s="82">
        <f>IF(PKA!B22&lt;&gt;"",PKA!D22,"")</f>
        <v/>
      </c>
      <c r="E22" s="82">
        <f>IF(PKA!B22&lt;&gt;"",PKA!E22,"")</f>
        <v/>
      </c>
      <c r="F22" s="82">
        <f>IF(PKA!B22&lt;&gt;"",PKA!F22,"")</f>
        <v/>
      </c>
      <c r="G22" s="82">
        <f>IF(PKA!B22&lt;&gt;"",PKA!G22,"")</f>
        <v/>
      </c>
      <c r="H22" s="92">
        <f>IF(PKA!B22&lt;&gt;"",PKA!H22,"")</f>
        <v/>
      </c>
      <c r="I22" s="92">
        <f>IF(PKA!B22&lt;&gt;"",PKA!I22,"")</f>
        <v/>
      </c>
      <c r="J22" s="82">
        <f>IF(PKA!B22&lt;&gt;"",PKA!J22,"")</f>
        <v/>
      </c>
    </row>
    <row r="23" ht="15.75" customHeight="1" s="52">
      <c r="A23" s="97">
        <f>IF(PKA!B23&lt;&gt;"","PKA","")</f>
        <v/>
      </c>
      <c r="B23" s="78">
        <f>IF(PKA!B23&lt;&gt;"",PKA!B23,"")</f>
        <v/>
      </c>
      <c r="C23" s="78">
        <f>IF(PKA!B23&lt;&gt;"",PKA!C23,"")</f>
        <v/>
      </c>
      <c r="D23" s="78">
        <f>IF(PKA!B23&lt;&gt;"",PKA!D23,"")</f>
        <v/>
      </c>
      <c r="E23" s="78">
        <f>IF(PKA!B23&lt;&gt;"",PKA!E23,"")</f>
        <v/>
      </c>
      <c r="F23" s="78">
        <f>IF(PKA!B23&lt;&gt;"",PKA!F23,"")</f>
        <v/>
      </c>
      <c r="G23" s="78">
        <f>IF(PKA!B23&lt;&gt;"",PKA!G23,"")</f>
        <v/>
      </c>
      <c r="H23" s="97">
        <f>IF(PKA!B23&lt;&gt;"",PKA!H23,"")</f>
        <v/>
      </c>
      <c r="I23" s="97">
        <f>IF(PKA!B23&lt;&gt;"",PKA!I23,"")</f>
        <v/>
      </c>
      <c r="J23" s="78">
        <f>IF(PKA!B23&lt;&gt;"",PKA!J23,"")</f>
        <v/>
      </c>
    </row>
    <row r="24" ht="15.75" customHeight="1" s="52">
      <c r="A24" s="92">
        <f>IF(PKA!B24&lt;&gt;"","PKA","")</f>
        <v/>
      </c>
      <c r="B24" s="82">
        <f>IF(PKA!B24&lt;&gt;"",PKA!B24,"")</f>
        <v/>
      </c>
      <c r="C24" s="82">
        <f>IF(PKA!B24&lt;&gt;"",PKA!C24,"")</f>
        <v/>
      </c>
      <c r="D24" s="82">
        <f>IF(PKA!B24&lt;&gt;"",PKA!D24,"")</f>
        <v/>
      </c>
      <c r="E24" s="82">
        <f>IF(PKA!B24&lt;&gt;"",PKA!E24,"")</f>
        <v/>
      </c>
      <c r="F24" s="82">
        <f>IF(PKA!B24&lt;&gt;"",PKA!F24,"")</f>
        <v/>
      </c>
      <c r="G24" s="82">
        <f>IF(PKA!B24&lt;&gt;"",PKA!G24,"")</f>
        <v/>
      </c>
      <c r="H24" s="92">
        <f>IF(PKA!B24&lt;&gt;"",PKA!H24,"")</f>
        <v/>
      </c>
      <c r="I24" s="92">
        <f>IF(PKA!B24&lt;&gt;"",PKA!I24,"")</f>
        <v/>
      </c>
      <c r="J24" s="82">
        <f>IF(PKA!B24&lt;&gt;"",PKA!J24,"")</f>
        <v/>
      </c>
    </row>
    <row r="25" ht="15.75" customHeight="1" s="52">
      <c r="A25" s="97">
        <f>IF(PKA!B25&lt;&gt;"","PKA","")</f>
        <v/>
      </c>
      <c r="B25" s="78">
        <f>IF(PKA!B25&lt;&gt;"",PKA!B25,"")</f>
        <v/>
      </c>
      <c r="C25" s="78">
        <f>IF(PKA!B25&lt;&gt;"",PKA!C25,"")</f>
        <v/>
      </c>
      <c r="D25" s="78">
        <f>IF(PKA!B25&lt;&gt;"",PKA!D25,"")</f>
        <v/>
      </c>
      <c r="E25" s="78">
        <f>IF(PKA!B25&lt;&gt;"",PKA!E25,"")</f>
        <v/>
      </c>
      <c r="F25" s="78">
        <f>IF(PKA!B25&lt;&gt;"",PKA!F25,"")</f>
        <v/>
      </c>
      <c r="G25" s="78">
        <f>IF(PKA!B25&lt;&gt;"",PKA!G25,"")</f>
        <v/>
      </c>
      <c r="H25" s="97">
        <f>IF(PKA!B25&lt;&gt;"",PKA!H25,"")</f>
        <v/>
      </c>
      <c r="I25" s="97">
        <f>IF(PKA!B25&lt;&gt;"",PKA!I25,"")</f>
        <v/>
      </c>
      <c r="J25" s="78">
        <f>IF(PKA!B25&lt;&gt;"",PKA!J25,"")</f>
        <v/>
      </c>
    </row>
    <row r="26" ht="15.75" customHeight="1" s="52">
      <c r="A26" s="92">
        <f>IF(PKA!B26&lt;&gt;"","PKA","")</f>
        <v/>
      </c>
      <c r="B26" s="82">
        <f>IF(PKA!B26&lt;&gt;"",PKA!B26,"")</f>
        <v/>
      </c>
      <c r="C26" s="82">
        <f>IF(PKA!B26&lt;&gt;"",PKA!C26,"")</f>
        <v/>
      </c>
      <c r="D26" s="82">
        <f>IF(PKA!B26&lt;&gt;"",PKA!D26,"")</f>
        <v/>
      </c>
      <c r="E26" s="82">
        <f>IF(PKA!B26&lt;&gt;"",PKA!E26,"")</f>
        <v/>
      </c>
      <c r="F26" s="82">
        <f>IF(PKA!B26&lt;&gt;"",PKA!F26,"")</f>
        <v/>
      </c>
      <c r="G26" s="82">
        <f>IF(PKA!B26&lt;&gt;"",PKA!G26,"")</f>
        <v/>
      </c>
      <c r="H26" s="92">
        <f>IF(PKA!B26&lt;&gt;"",PKA!H26,"")</f>
        <v/>
      </c>
      <c r="I26" s="92">
        <f>IF(PKA!B26&lt;&gt;"",PKA!I26,"")</f>
        <v/>
      </c>
      <c r="J26" s="82">
        <f>IF(PKA!B26&lt;&gt;"",PKA!J26,"")</f>
        <v/>
      </c>
    </row>
    <row r="27" ht="15.75" customHeight="1" s="52">
      <c r="A27" s="97">
        <f>IF(PKA!B27&lt;&gt;"","PKA","")</f>
        <v/>
      </c>
      <c r="B27" s="78">
        <f>IF(PKA!B27&lt;&gt;"",PKA!B27,"")</f>
        <v/>
      </c>
      <c r="C27" s="78">
        <f>IF(PKA!B27&lt;&gt;"",PKA!C27,"")</f>
        <v/>
      </c>
      <c r="D27" s="78">
        <f>IF(PKA!B27&lt;&gt;"",PKA!D27,"")</f>
        <v/>
      </c>
      <c r="E27" s="78">
        <f>IF(PKA!B27&lt;&gt;"",PKA!E27,"")</f>
        <v/>
      </c>
      <c r="F27" s="78">
        <f>IF(PKA!B27&lt;&gt;"",PKA!F27,"")</f>
        <v/>
      </c>
      <c r="G27" s="78">
        <f>IF(PKA!B27&lt;&gt;"",PKA!G27,"")</f>
        <v/>
      </c>
      <c r="H27" s="97">
        <f>IF(PKA!B27&lt;&gt;"",PKA!H27,"")</f>
        <v/>
      </c>
      <c r="I27" s="97">
        <f>IF(PKA!B27&lt;&gt;"",PKA!I27,"")</f>
        <v/>
      </c>
      <c r="J27" s="78">
        <f>IF(PKA!B27&lt;&gt;"",PKA!J27,"")</f>
        <v/>
      </c>
    </row>
    <row r="28" ht="15.75" customHeight="1" s="52">
      <c r="A28" s="92">
        <f>IF(PKA!B28&lt;&gt;"","PKA","")</f>
        <v/>
      </c>
      <c r="B28" s="82">
        <f>IF(PKA!B28&lt;&gt;"",PKA!B28,"")</f>
        <v/>
      </c>
      <c r="C28" s="82">
        <f>IF(PKA!B28&lt;&gt;"",PKA!C28,"")</f>
        <v/>
      </c>
      <c r="D28" s="82">
        <f>IF(PKA!B28&lt;&gt;"",PKA!D28,"")</f>
        <v/>
      </c>
      <c r="E28" s="82">
        <f>IF(PKA!B28&lt;&gt;"",PKA!E28,"")</f>
        <v/>
      </c>
      <c r="F28" s="82">
        <f>IF(PKA!B28&lt;&gt;"",PKA!F28,"")</f>
        <v/>
      </c>
      <c r="G28" s="82">
        <f>IF(PKA!B28&lt;&gt;"",PKA!G28,"")</f>
        <v/>
      </c>
      <c r="H28" s="92">
        <f>IF(PKA!B28&lt;&gt;"",PKA!H28,"")</f>
        <v/>
      </c>
      <c r="I28" s="92">
        <f>IF(PKA!B28&lt;&gt;"",PKA!I28,"")</f>
        <v/>
      </c>
      <c r="J28" s="82">
        <f>IF(PKA!B28&lt;&gt;"",PKA!J28,"")</f>
        <v/>
      </c>
    </row>
    <row r="29" ht="15.75" customHeight="1" s="52">
      <c r="A29" s="97">
        <f>IF(PKA!B29&lt;&gt;"","PKA","")</f>
        <v/>
      </c>
      <c r="B29" s="78">
        <f>IF(PKA!B29&lt;&gt;"",PKA!B29,"")</f>
        <v/>
      </c>
      <c r="C29" s="78">
        <f>IF(PKA!B29&lt;&gt;"",PKA!C29,"")</f>
        <v/>
      </c>
      <c r="D29" s="78">
        <f>IF(PKA!B29&lt;&gt;"",PKA!D29,"")</f>
        <v/>
      </c>
      <c r="E29" s="78">
        <f>IF(PKA!B29&lt;&gt;"",PKA!E29,"")</f>
        <v/>
      </c>
      <c r="F29" s="78">
        <f>IF(PKA!B29&lt;&gt;"",PKA!F29,"")</f>
        <v/>
      </c>
      <c r="G29" s="78">
        <f>IF(PKA!B29&lt;&gt;"",PKA!G29,"")</f>
        <v/>
      </c>
      <c r="H29" s="97">
        <f>IF(PKA!B29&lt;&gt;"",PKA!H29,"")</f>
        <v/>
      </c>
      <c r="I29" s="97">
        <f>IF(PKA!B29&lt;&gt;"",PKA!I29,"")</f>
        <v/>
      </c>
      <c r="J29" s="78">
        <f>IF(PKA!B29&lt;&gt;"",PKA!J29,"")</f>
        <v/>
      </c>
    </row>
    <row r="30" ht="15.75" customHeight="1" s="52">
      <c r="A30" s="92">
        <f>IF(PKA!B30&lt;&gt;"","PKA","")</f>
        <v/>
      </c>
      <c r="B30" s="82">
        <f>IF(PKA!B30&lt;&gt;"",PKA!B30,"")</f>
        <v/>
      </c>
      <c r="C30" s="82">
        <f>IF(PKA!B30&lt;&gt;"",PKA!C30,"")</f>
        <v/>
      </c>
      <c r="D30" s="82">
        <f>IF(PKA!B30&lt;&gt;"",PKA!D30,"")</f>
        <v/>
      </c>
      <c r="E30" s="82">
        <f>IF(PKA!B30&lt;&gt;"",PKA!E30,"")</f>
        <v/>
      </c>
      <c r="F30" s="82">
        <f>IF(PKA!B30&lt;&gt;"",PKA!F30,"")</f>
        <v/>
      </c>
      <c r="G30" s="82">
        <f>IF(PKA!B30&lt;&gt;"",PKA!G30,"")</f>
        <v/>
      </c>
      <c r="H30" s="92">
        <f>IF(PKA!B30&lt;&gt;"",PKA!H30,"")</f>
        <v/>
      </c>
      <c r="I30" s="92">
        <f>IF(PKA!B30&lt;&gt;"",PKA!I30,"")</f>
        <v/>
      </c>
      <c r="J30" s="82">
        <f>IF(PKA!B30&lt;&gt;"",PKA!J30,"")</f>
        <v/>
      </c>
    </row>
    <row r="31" ht="15.75" customHeight="1" s="52">
      <c r="A31" s="97">
        <f>IF(PKA!B31&lt;&gt;"","PKA","")</f>
        <v/>
      </c>
      <c r="B31" s="78">
        <f>IF(PKA!B31&lt;&gt;"",PKA!B31,"")</f>
        <v/>
      </c>
      <c r="C31" s="78">
        <f>IF(PKA!B31&lt;&gt;"",PKA!C31,"")</f>
        <v/>
      </c>
      <c r="D31" s="78">
        <f>IF(PKA!B31&lt;&gt;"",PKA!D31,"")</f>
        <v/>
      </c>
      <c r="E31" s="78">
        <f>IF(PKA!B31&lt;&gt;"",PKA!E31,"")</f>
        <v/>
      </c>
      <c r="F31" s="78">
        <f>IF(PKA!B31&lt;&gt;"",PKA!F31,"")</f>
        <v/>
      </c>
      <c r="G31" s="78">
        <f>IF(PKA!B31&lt;&gt;"",PKA!G31,"")</f>
        <v/>
      </c>
      <c r="H31" s="97">
        <f>IF(PKA!B31&lt;&gt;"",PKA!H31,"")</f>
        <v/>
      </c>
      <c r="I31" s="97">
        <f>IF(PKA!B31&lt;&gt;"",PKA!I31,"")</f>
        <v/>
      </c>
      <c r="J31" s="78">
        <f>IF(PKA!B31&lt;&gt;"",PKA!J31,"")</f>
        <v/>
      </c>
    </row>
    <row r="32" ht="15.75" customHeight="1" s="52">
      <c r="A32" s="92">
        <f>IF(PKA!B32&lt;&gt;"","PKA","")</f>
        <v/>
      </c>
      <c r="B32" s="82">
        <f>IF(PKA!B32&lt;&gt;"",PKA!B32,"")</f>
        <v/>
      </c>
      <c r="C32" s="82">
        <f>IF(PKA!B32&lt;&gt;"",PKA!C32,"")</f>
        <v/>
      </c>
      <c r="D32" s="82">
        <f>IF(PKA!B32&lt;&gt;"",PKA!D32,"")</f>
        <v/>
      </c>
      <c r="E32" s="82">
        <f>IF(PKA!B32&lt;&gt;"",PKA!E32,"")</f>
        <v/>
      </c>
      <c r="F32" s="82">
        <f>IF(PKA!B32&lt;&gt;"",PKA!F32,"")</f>
        <v/>
      </c>
      <c r="G32" s="82">
        <f>IF(PKA!B32&lt;&gt;"",PKA!G32,"")</f>
        <v/>
      </c>
      <c r="H32" s="92">
        <f>IF(PKA!B32&lt;&gt;"",PKA!H32,"")</f>
        <v/>
      </c>
      <c r="I32" s="92">
        <f>IF(PKA!B32&lt;&gt;"",PKA!I32,"")</f>
        <v/>
      </c>
      <c r="J32" s="82">
        <f>IF(PKA!B32&lt;&gt;"",PKA!J32,"")</f>
        <v/>
      </c>
    </row>
    <row r="33" ht="15.75" customHeight="1" s="52">
      <c r="A33" s="97">
        <f>IF(PKA!B33&lt;&gt;"","PKA","")</f>
        <v/>
      </c>
      <c r="B33" s="78">
        <f>IF(PKA!B33&lt;&gt;"",PKA!B33,"")</f>
        <v/>
      </c>
      <c r="C33" s="78">
        <f>IF(PKA!B33&lt;&gt;"",PKA!C33,"")</f>
        <v/>
      </c>
      <c r="D33" s="78">
        <f>IF(PKA!B33&lt;&gt;"",PKA!D33,"")</f>
        <v/>
      </c>
      <c r="E33" s="78">
        <f>IF(PKA!B33&lt;&gt;"",PKA!E33,"")</f>
        <v/>
      </c>
      <c r="F33" s="78">
        <f>IF(PKA!B33&lt;&gt;"",PKA!F33,"")</f>
        <v/>
      </c>
      <c r="G33" s="78">
        <f>IF(PKA!B33&lt;&gt;"",PKA!G33,"")</f>
        <v/>
      </c>
      <c r="H33" s="97">
        <f>IF(PKA!B33&lt;&gt;"",PKA!H33,"")</f>
        <v/>
      </c>
      <c r="I33" s="97">
        <f>IF(PKA!B33&lt;&gt;"",PKA!I33,"")</f>
        <v/>
      </c>
      <c r="J33" s="78">
        <f>IF(PKA!B33&lt;&gt;"",PKA!J33,"")</f>
        <v/>
      </c>
    </row>
    <row r="34" ht="15.75" customHeight="1" s="52">
      <c r="A34" s="92">
        <f>IF(PKA!B34&lt;&gt;"","PKA","")</f>
        <v/>
      </c>
      <c r="B34" s="82">
        <f>IF(PKA!B34&lt;&gt;"",PKA!B34,"")</f>
        <v/>
      </c>
      <c r="C34" s="82">
        <f>IF(PKA!B34&lt;&gt;"",PKA!C34,"")</f>
        <v/>
      </c>
      <c r="D34" s="82">
        <f>IF(PKA!B34&lt;&gt;"",PKA!D34,"")</f>
        <v/>
      </c>
      <c r="E34" s="82">
        <f>IF(PKA!B34&lt;&gt;"",PKA!E34,"")</f>
        <v/>
      </c>
      <c r="F34" s="82">
        <f>IF(PKA!B34&lt;&gt;"",PKA!F34,"")</f>
        <v/>
      </c>
      <c r="G34" s="82">
        <f>IF(PKA!B34&lt;&gt;"",PKA!G34,"")</f>
        <v/>
      </c>
      <c r="H34" s="92">
        <f>IF(PKA!B34&lt;&gt;"",PKA!H34,"")</f>
        <v/>
      </c>
      <c r="I34" s="92">
        <f>IF(PKA!B34&lt;&gt;"",PKA!I34,"")</f>
        <v/>
      </c>
      <c r="J34" s="82">
        <f>IF(PKA!B34&lt;&gt;"",PKA!J34,"")</f>
        <v/>
      </c>
    </row>
    <row r="35" ht="15.75" customHeight="1" s="52">
      <c r="A35" s="97">
        <f>IF(PKA!B35&lt;&gt;"","PKA","")</f>
        <v/>
      </c>
      <c r="B35" s="78">
        <f>IF(PKA!B35&lt;&gt;"",PKA!B35,"")</f>
        <v/>
      </c>
      <c r="C35" s="78">
        <f>IF(PKA!B35&lt;&gt;"",PKA!C35,"")</f>
        <v/>
      </c>
      <c r="D35" s="78">
        <f>IF(PKA!B35&lt;&gt;"",PKA!D35,"")</f>
        <v/>
      </c>
      <c r="E35" s="78">
        <f>IF(PKA!B35&lt;&gt;"",PKA!E35,"")</f>
        <v/>
      </c>
      <c r="F35" s="78">
        <f>IF(PKA!B35&lt;&gt;"",PKA!F35,"")</f>
        <v/>
      </c>
      <c r="G35" s="78">
        <f>IF(PKA!B35&lt;&gt;"",PKA!G35,"")</f>
        <v/>
      </c>
      <c r="H35" s="97">
        <f>IF(PKA!B35&lt;&gt;"",PKA!H35,"")</f>
        <v/>
      </c>
      <c r="I35" s="97">
        <f>IF(PKA!B35&lt;&gt;"",PKA!I35,"")</f>
        <v/>
      </c>
      <c r="J35" s="78">
        <f>IF(PKA!B35&lt;&gt;"",PKA!J35,"")</f>
        <v/>
      </c>
    </row>
    <row r="36" ht="15.75" customHeight="1" s="52">
      <c r="A36" s="92">
        <f>IF(PKA!B36&lt;&gt;"","PKA","")</f>
        <v/>
      </c>
      <c r="B36" s="82">
        <f>IF(PKA!B36&lt;&gt;"",PKA!B36,"")</f>
        <v/>
      </c>
      <c r="C36" s="82">
        <f>IF(PKA!B36&lt;&gt;"",PKA!C36,"")</f>
        <v/>
      </c>
      <c r="D36" s="82">
        <f>IF(PKA!B36&lt;&gt;"",PKA!D36,"")</f>
        <v/>
      </c>
      <c r="E36" s="82">
        <f>IF(PKA!B36&lt;&gt;"",PKA!E36,"")</f>
        <v/>
      </c>
      <c r="F36" s="82">
        <f>IF(PKA!B36&lt;&gt;"",PKA!F36,"")</f>
        <v/>
      </c>
      <c r="G36" s="82">
        <f>IF(PKA!B36&lt;&gt;"",PKA!G36,"")</f>
        <v/>
      </c>
      <c r="H36" s="92">
        <f>IF(PKA!B36&lt;&gt;"",PKA!H36,"")</f>
        <v/>
      </c>
      <c r="I36" s="92">
        <f>IF(PKA!B36&lt;&gt;"",PKA!I36,"")</f>
        <v/>
      </c>
      <c r="J36" s="82">
        <f>IF(PKA!B36&lt;&gt;"",PKA!J36,"")</f>
        <v/>
      </c>
    </row>
    <row r="37" ht="15.75" customHeight="1" s="52">
      <c r="A37" s="97">
        <f>IF(PKA!B37&lt;&gt;"","PKA","")</f>
        <v/>
      </c>
      <c r="B37" s="78">
        <f>IF(PKA!B37&lt;&gt;"",PKA!B37,"")</f>
        <v/>
      </c>
      <c r="C37" s="78">
        <f>IF(PKA!B37&lt;&gt;"",PKA!C37,"")</f>
        <v/>
      </c>
      <c r="D37" s="78">
        <f>IF(PKA!B37&lt;&gt;"",PKA!D37,"")</f>
        <v/>
      </c>
      <c r="E37" s="78">
        <f>IF(PKA!B37&lt;&gt;"",PKA!E37,"")</f>
        <v/>
      </c>
      <c r="F37" s="78">
        <f>IF(PKA!B37&lt;&gt;"",PKA!F37,"")</f>
        <v/>
      </c>
      <c r="G37" s="78">
        <f>IF(PKA!B37&lt;&gt;"",PKA!G37,"")</f>
        <v/>
      </c>
      <c r="H37" s="97">
        <f>IF(PKA!B37&lt;&gt;"",PKA!H37,"")</f>
        <v/>
      </c>
      <c r="I37" s="97">
        <f>IF(PKA!B37&lt;&gt;"",PKA!I37,"")</f>
        <v/>
      </c>
      <c r="J37" s="78">
        <f>IF(PKA!B37&lt;&gt;"",PKA!J37,"")</f>
        <v/>
      </c>
    </row>
    <row r="38" ht="15.75" customHeight="1" s="52">
      <c r="A38" s="92">
        <f>IF(PKA!B38&lt;&gt;"","PKA","")</f>
        <v/>
      </c>
      <c r="B38" s="82">
        <f>IF(PKA!B38&lt;&gt;"",PKA!B38,"")</f>
        <v/>
      </c>
      <c r="C38" s="82">
        <f>IF(PKA!B38&lt;&gt;"",PKA!C38,"")</f>
        <v/>
      </c>
      <c r="D38" s="82">
        <f>IF(PKA!B38&lt;&gt;"",PKA!D38,"")</f>
        <v/>
      </c>
      <c r="E38" s="82">
        <f>IF(PKA!B38&lt;&gt;"",PKA!E38,"")</f>
        <v/>
      </c>
      <c r="F38" s="82">
        <f>IF(PKA!B38&lt;&gt;"",PKA!F38,"")</f>
        <v/>
      </c>
      <c r="G38" s="82">
        <f>IF(PKA!B38&lt;&gt;"",PKA!G38,"")</f>
        <v/>
      </c>
      <c r="H38" s="92">
        <f>IF(PKA!B38&lt;&gt;"",PKA!H38,"")</f>
        <v/>
      </c>
      <c r="I38" s="92">
        <f>IF(PKA!B38&lt;&gt;"",PKA!I38,"")</f>
        <v/>
      </c>
      <c r="J38" s="82">
        <f>IF(PKA!B38&lt;&gt;"",PKA!J38,"")</f>
        <v/>
      </c>
    </row>
    <row r="39" ht="15.75" customHeight="1" s="52">
      <c r="A39" s="97">
        <f>IF(PKA!B39&lt;&gt;"","PKA","")</f>
        <v/>
      </c>
      <c r="B39" s="78">
        <f>IF(PKA!B39&lt;&gt;"",PKA!B39,"")</f>
        <v/>
      </c>
      <c r="C39" s="78">
        <f>IF(PKA!B39&lt;&gt;"",PKA!C39,"")</f>
        <v/>
      </c>
      <c r="D39" s="78">
        <f>IF(PKA!B39&lt;&gt;"",PKA!D39,"")</f>
        <v/>
      </c>
      <c r="E39" s="78">
        <f>IF(PKA!B39&lt;&gt;"",PKA!E39,"")</f>
        <v/>
      </c>
      <c r="F39" s="78">
        <f>IF(PKA!B39&lt;&gt;"",PKA!F39,"")</f>
        <v/>
      </c>
      <c r="G39" s="78">
        <f>IF(PKA!B39&lt;&gt;"",PKA!G39,"")</f>
        <v/>
      </c>
      <c r="H39" s="97">
        <f>IF(PKA!B39&lt;&gt;"",PKA!H39,"")</f>
        <v/>
      </c>
      <c r="I39" s="97">
        <f>IF(PKA!B39&lt;&gt;"",PKA!I39,"")</f>
        <v/>
      </c>
      <c r="J39" s="78">
        <f>IF(PKA!B39&lt;&gt;"",PKA!J39,"")</f>
        <v/>
      </c>
    </row>
    <row r="40" ht="15.75" customHeight="1" s="52">
      <c r="A40" s="92">
        <f>IF(PKA!B40&lt;&gt;"","PKA","")</f>
        <v/>
      </c>
      <c r="B40" s="82">
        <f>IF(PKA!B40&lt;&gt;"",PKA!B40,"")</f>
        <v/>
      </c>
      <c r="C40" s="82">
        <f>IF(PKA!B40&lt;&gt;"",PKA!C40,"")</f>
        <v/>
      </c>
      <c r="D40" s="82">
        <f>IF(PKA!B40&lt;&gt;"",PKA!D40,"")</f>
        <v/>
      </c>
      <c r="E40" s="82">
        <f>IF(PKA!B40&lt;&gt;"",PKA!E40,"")</f>
        <v/>
      </c>
      <c r="F40" s="82">
        <f>IF(PKA!B40&lt;&gt;"",PKA!F40,"")</f>
        <v/>
      </c>
      <c r="G40" s="82">
        <f>IF(PKA!B40&lt;&gt;"",PKA!G40,"")</f>
        <v/>
      </c>
      <c r="H40" s="92">
        <f>IF(PKA!B40&lt;&gt;"",PKA!H40,"")</f>
        <v/>
      </c>
      <c r="I40" s="92">
        <f>IF(PKA!B40&lt;&gt;"",PKA!I40,"")</f>
        <v/>
      </c>
      <c r="J40" s="82">
        <f>IF(PKA!B40&lt;&gt;"",PKA!J40,"")</f>
        <v/>
      </c>
    </row>
    <row r="41" ht="15.75" customHeight="1" s="52">
      <c r="A41" s="97">
        <f>IF(PKA!B41&lt;&gt;"","PKA","")</f>
        <v/>
      </c>
      <c r="B41" s="78">
        <f>IF(PKA!B41&lt;&gt;"",PKA!B41,"")</f>
        <v/>
      </c>
      <c r="C41" s="78">
        <f>IF(PKA!B41&lt;&gt;"",PKA!C41,"")</f>
        <v/>
      </c>
      <c r="D41" s="78">
        <f>IF(PKA!B41&lt;&gt;"",PKA!D41,"")</f>
        <v/>
      </c>
      <c r="E41" s="78">
        <f>IF(PKA!B41&lt;&gt;"",PKA!E41,"")</f>
        <v/>
      </c>
      <c r="F41" s="78">
        <f>IF(PKA!B41&lt;&gt;"",PKA!F41,"")</f>
        <v/>
      </c>
      <c r="G41" s="78">
        <f>IF(PKA!B41&lt;&gt;"",PKA!G41,"")</f>
        <v/>
      </c>
      <c r="H41" s="97">
        <f>IF(PKA!B41&lt;&gt;"",PKA!H41,"")</f>
        <v/>
      </c>
      <c r="I41" s="97">
        <f>IF(PKA!B41&lt;&gt;"",PKA!I41,"")</f>
        <v/>
      </c>
      <c r="J41" s="78">
        <f>IF(PKA!B41&lt;&gt;"",PKA!J41,"")</f>
        <v/>
      </c>
    </row>
    <row r="42" ht="15.75" customHeight="1" s="52">
      <c r="A42" s="92">
        <f>IF(PKA!B42&lt;&gt;"","PKA","")</f>
        <v/>
      </c>
      <c r="B42" s="82">
        <f>IF(PKA!B42&lt;&gt;"",PKA!B42,"")</f>
        <v/>
      </c>
      <c r="C42" s="82">
        <f>IF(PKA!B42&lt;&gt;"",PKA!C42,"")</f>
        <v/>
      </c>
      <c r="D42" s="82">
        <f>IF(PKA!B42&lt;&gt;"",PKA!D42,"")</f>
        <v/>
      </c>
      <c r="E42" s="82">
        <f>IF(PKA!B42&lt;&gt;"",PKA!E42,"")</f>
        <v/>
      </c>
      <c r="F42" s="82">
        <f>IF(PKA!B42&lt;&gt;"",PKA!F42,"")</f>
        <v/>
      </c>
      <c r="G42" s="82">
        <f>IF(PKA!B42&lt;&gt;"",PKA!G42,"")</f>
        <v/>
      </c>
      <c r="H42" s="92">
        <f>IF(PKA!B42&lt;&gt;"",PKA!H42,"")</f>
        <v/>
      </c>
      <c r="I42" s="92">
        <f>IF(PKA!B42&lt;&gt;"",PKA!I42,"")</f>
        <v/>
      </c>
      <c r="J42" s="82">
        <f>IF(PKA!B42&lt;&gt;"",PKA!J42,"")</f>
        <v/>
      </c>
    </row>
    <row r="43" ht="15.75" customHeight="1" s="52">
      <c r="A43" s="97">
        <f>IF(PKA!B43&lt;&gt;"","PKA","")</f>
        <v/>
      </c>
      <c r="B43" s="78">
        <f>IF(PKA!B43&lt;&gt;"",PKA!B43,"")</f>
        <v/>
      </c>
      <c r="C43" s="78">
        <f>IF(PKA!B43&lt;&gt;"",PKA!C43,"")</f>
        <v/>
      </c>
      <c r="D43" s="78">
        <f>IF(PKA!B43&lt;&gt;"",PKA!D43,"")</f>
        <v/>
      </c>
      <c r="E43" s="78">
        <f>IF(PKA!B43&lt;&gt;"",PKA!E43,"")</f>
        <v/>
      </c>
      <c r="F43" s="78">
        <f>IF(PKA!B43&lt;&gt;"",PKA!F43,"")</f>
        <v/>
      </c>
      <c r="G43" s="78">
        <f>IF(PKA!B43&lt;&gt;"",PKA!G43,"")</f>
        <v/>
      </c>
      <c r="H43" s="97">
        <f>IF(PKA!B43&lt;&gt;"",PKA!H43,"")</f>
        <v/>
      </c>
      <c r="I43" s="97">
        <f>IF(PKA!B43&lt;&gt;"",PKA!I43,"")</f>
        <v/>
      </c>
      <c r="J43" s="78">
        <f>IF(PKA!B43&lt;&gt;"",PKA!J43,"")</f>
        <v/>
      </c>
    </row>
    <row r="44" ht="15.75" customHeight="1" s="52">
      <c r="A44" s="92">
        <f>IF(PKA!B44&lt;&gt;"","PKA","")</f>
        <v/>
      </c>
      <c r="B44" s="82">
        <f>IF(PKA!B44&lt;&gt;"",PKA!B44,"")</f>
        <v/>
      </c>
      <c r="C44" s="82">
        <f>IF(PKA!B44&lt;&gt;"",PKA!C44,"")</f>
        <v/>
      </c>
      <c r="D44" s="82">
        <f>IF(PKA!B44&lt;&gt;"",PKA!D44,"")</f>
        <v/>
      </c>
      <c r="E44" s="82">
        <f>IF(PKA!B44&lt;&gt;"",PKA!E44,"")</f>
        <v/>
      </c>
      <c r="F44" s="82">
        <f>IF(PKA!B44&lt;&gt;"",PKA!F44,"")</f>
        <v/>
      </c>
      <c r="G44" s="82">
        <f>IF(PKA!B44&lt;&gt;"",PKA!G44,"")</f>
        <v/>
      </c>
      <c r="H44" s="92">
        <f>IF(PKA!B44&lt;&gt;"",PKA!H44,"")</f>
        <v/>
      </c>
      <c r="I44" s="92">
        <f>IF(PKA!B44&lt;&gt;"",PKA!I44,"")</f>
        <v/>
      </c>
      <c r="J44" s="82">
        <f>IF(PKA!B44&lt;&gt;"",PKA!J44,"")</f>
        <v/>
      </c>
    </row>
    <row r="45" ht="15.75" customHeight="1" s="52">
      <c r="A45" s="97">
        <f>IF(PKA!B45&lt;&gt;"","PKA","")</f>
        <v/>
      </c>
      <c r="B45" s="78">
        <f>IF(PKA!B45&lt;&gt;"",PKA!B45,"")</f>
        <v/>
      </c>
      <c r="C45" s="78">
        <f>IF(PKA!B45&lt;&gt;"",PKA!C45,"")</f>
        <v/>
      </c>
      <c r="D45" s="78">
        <f>IF(PKA!B45&lt;&gt;"",PKA!D45,"")</f>
        <v/>
      </c>
      <c r="E45" s="78">
        <f>IF(PKA!B45&lt;&gt;"",PKA!E45,"")</f>
        <v/>
      </c>
      <c r="F45" s="78">
        <f>IF(PKA!B45&lt;&gt;"",PKA!F45,"")</f>
        <v/>
      </c>
      <c r="G45" s="78">
        <f>IF(PKA!B45&lt;&gt;"",PKA!G45,"")</f>
        <v/>
      </c>
      <c r="H45" s="97">
        <f>IF(PKA!B45&lt;&gt;"",PKA!H45,"")</f>
        <v/>
      </c>
      <c r="I45" s="97">
        <f>IF(PKA!B45&lt;&gt;"",PKA!I45,"")</f>
        <v/>
      </c>
      <c r="J45" s="78">
        <f>IF(PKA!B45&lt;&gt;"",PKA!J45,"")</f>
        <v/>
      </c>
    </row>
    <row r="46" ht="15.75" customHeight="1" s="52">
      <c r="A46" s="92">
        <f>IF(PKA!B46&lt;&gt;"","PKA","")</f>
        <v/>
      </c>
      <c r="B46" s="82">
        <f>IF(PKA!B46&lt;&gt;"",PKA!B46,"")</f>
        <v/>
      </c>
      <c r="C46" s="82">
        <f>IF(PKA!B46&lt;&gt;"",PKA!C46,"")</f>
        <v/>
      </c>
      <c r="D46" s="82">
        <f>IF(PKA!B46&lt;&gt;"",PKA!D46,"")</f>
        <v/>
      </c>
      <c r="E46" s="82">
        <f>IF(PKA!B46&lt;&gt;"",PKA!E46,"")</f>
        <v/>
      </c>
      <c r="F46" s="82">
        <f>IF(PKA!B46&lt;&gt;"",PKA!F46,"")</f>
        <v/>
      </c>
      <c r="G46" s="82">
        <f>IF(PKA!B46&lt;&gt;"",PKA!G46,"")</f>
        <v/>
      </c>
      <c r="H46" s="92">
        <f>IF(PKA!B46&lt;&gt;"",PKA!H46,"")</f>
        <v/>
      </c>
      <c r="I46" s="92">
        <f>IF(PKA!B46&lt;&gt;"",PKA!I46,"")</f>
        <v/>
      </c>
      <c r="J46" s="82">
        <f>IF(PKA!B46&lt;&gt;"",PKA!J46,"")</f>
        <v/>
      </c>
    </row>
    <row r="47" ht="15.75" customHeight="1" s="52">
      <c r="A47" s="97">
        <f>IF(PKA!B47&lt;&gt;"","PKA","")</f>
        <v/>
      </c>
      <c r="B47" s="78">
        <f>IF(PKA!B47&lt;&gt;"",PKA!B47,"")</f>
        <v/>
      </c>
      <c r="C47" s="78">
        <f>IF(PKA!B47&lt;&gt;"",PKA!C47,"")</f>
        <v/>
      </c>
      <c r="D47" s="78">
        <f>IF(PKA!B47&lt;&gt;"",PKA!D47,"")</f>
        <v/>
      </c>
      <c r="E47" s="78">
        <f>IF(PKA!B47&lt;&gt;"",PKA!E47,"")</f>
        <v/>
      </c>
      <c r="F47" s="78">
        <f>IF(PKA!B47&lt;&gt;"",PKA!F47,"")</f>
        <v/>
      </c>
      <c r="G47" s="78">
        <f>IF(PKA!B47&lt;&gt;"",PKA!G47,"")</f>
        <v/>
      </c>
      <c r="H47" s="97">
        <f>IF(PKA!B47&lt;&gt;"",PKA!H47,"")</f>
        <v/>
      </c>
      <c r="I47" s="97">
        <f>IF(PKA!B47&lt;&gt;"",PKA!I47,"")</f>
        <v/>
      </c>
      <c r="J47" s="78">
        <f>IF(PKA!B47&lt;&gt;"",PKA!J47,"")</f>
        <v/>
      </c>
    </row>
    <row r="48" ht="15.75" customHeight="1" s="52">
      <c r="A48" s="92">
        <f>IF(PKA!B48&lt;&gt;"","PKA","")</f>
        <v/>
      </c>
      <c r="B48" s="82">
        <f>IF(PKA!B48&lt;&gt;"",PKA!B48,"")</f>
        <v/>
      </c>
      <c r="C48" s="82">
        <f>IF(PKA!B48&lt;&gt;"",PKA!C48,"")</f>
        <v/>
      </c>
      <c r="D48" s="82">
        <f>IF(PKA!B48&lt;&gt;"",PKA!D48,"")</f>
        <v/>
      </c>
      <c r="E48" s="82">
        <f>IF(PKA!B48&lt;&gt;"",PKA!E48,"")</f>
        <v/>
      </c>
      <c r="F48" s="82">
        <f>IF(PKA!B48&lt;&gt;"",PKA!F48,"")</f>
        <v/>
      </c>
      <c r="G48" s="82">
        <f>IF(PKA!B48&lt;&gt;"",PKA!G48,"")</f>
        <v/>
      </c>
      <c r="H48" s="92">
        <f>IF(PKA!B48&lt;&gt;"",PKA!H48,"")</f>
        <v/>
      </c>
      <c r="I48" s="92">
        <f>IF(PKA!B48&lt;&gt;"",PKA!I48,"")</f>
        <v/>
      </c>
      <c r="J48" s="82">
        <f>IF(PKA!B48&lt;&gt;"",PKA!J48,"")</f>
        <v/>
      </c>
    </row>
    <row r="49" ht="15.75" customHeight="1" s="52">
      <c r="A49" s="97">
        <f>IF(PKA!B49&lt;&gt;"","PKA","")</f>
        <v/>
      </c>
      <c r="B49" s="78">
        <f>IF(PKA!B49&lt;&gt;"",PKA!B49,"")</f>
        <v/>
      </c>
      <c r="C49" s="78">
        <f>IF(PKA!B49&lt;&gt;"",PKA!C49,"")</f>
        <v/>
      </c>
      <c r="D49" s="78">
        <f>IF(PKA!B49&lt;&gt;"",PKA!D49,"")</f>
        <v/>
      </c>
      <c r="E49" s="78">
        <f>IF(PKA!B49&lt;&gt;"",PKA!E49,"")</f>
        <v/>
      </c>
      <c r="F49" s="78">
        <f>IF(PKA!B49&lt;&gt;"",PKA!F49,"")</f>
        <v/>
      </c>
      <c r="G49" s="78">
        <f>IF(PKA!B49&lt;&gt;"",PKA!G49,"")</f>
        <v/>
      </c>
      <c r="H49" s="97">
        <f>IF(PKA!B49&lt;&gt;"",PKA!H49,"")</f>
        <v/>
      </c>
      <c r="I49" s="97">
        <f>IF(PKA!B49&lt;&gt;"",PKA!I49,"")</f>
        <v/>
      </c>
      <c r="J49" s="78">
        <f>IF(PKA!B49&lt;&gt;"",PKA!J49,"")</f>
        <v/>
      </c>
    </row>
    <row r="50" ht="15.75" customHeight="1" s="52">
      <c r="A50" s="92">
        <f>IF(PKA!B50&lt;&gt;"","PKA","")</f>
        <v/>
      </c>
      <c r="B50" s="82">
        <f>IF(PKA!B50&lt;&gt;"",PKA!B50,"")</f>
        <v/>
      </c>
      <c r="C50" s="82">
        <f>IF(PKA!B50&lt;&gt;"",PKA!C50,"")</f>
        <v/>
      </c>
      <c r="D50" s="82">
        <f>IF(PKA!B50&lt;&gt;"",PKA!D50,"")</f>
        <v/>
      </c>
      <c r="E50" s="82">
        <f>IF(PKA!B50&lt;&gt;"",PKA!E50,"")</f>
        <v/>
      </c>
      <c r="F50" s="82">
        <f>IF(PKA!B50&lt;&gt;"",PKA!F50,"")</f>
        <v/>
      </c>
      <c r="G50" s="82">
        <f>IF(PKA!B50&lt;&gt;"",PKA!G50,"")</f>
        <v/>
      </c>
      <c r="H50" s="92">
        <f>IF(PKA!B50&lt;&gt;"",PKA!H50,"")</f>
        <v/>
      </c>
      <c r="I50" s="92">
        <f>IF(PKA!B50&lt;&gt;"",PKA!I50,"")</f>
        <v/>
      </c>
      <c r="J50" s="82">
        <f>IF(PKA!B50&lt;&gt;"",PKA!J50,"")</f>
        <v/>
      </c>
    </row>
    <row r="51" ht="15.75" customHeight="1" s="52">
      <c r="A51" s="97">
        <f>IF(PKA!B51&lt;&gt;"","PKA","")</f>
        <v/>
      </c>
      <c r="B51" s="78">
        <f>IF(PKA!B51&lt;&gt;"",PKA!B51,"")</f>
        <v/>
      </c>
      <c r="C51" s="78">
        <f>IF(PKA!B51&lt;&gt;"",PKA!C51,"")</f>
        <v/>
      </c>
      <c r="D51" s="78">
        <f>IF(PKA!B51&lt;&gt;"",PKA!D51,"")</f>
        <v/>
      </c>
      <c r="E51" s="78">
        <f>IF(PKA!B51&lt;&gt;"",PKA!E51,"")</f>
        <v/>
      </c>
      <c r="F51" s="78">
        <f>IF(PKA!B51&lt;&gt;"",PKA!F51,"")</f>
        <v/>
      </c>
      <c r="G51" s="78">
        <f>IF(PKA!B51&lt;&gt;"",PKA!G51,"")</f>
        <v/>
      </c>
      <c r="H51" s="97">
        <f>IF(PKA!B51&lt;&gt;"",PKA!H51,"")</f>
        <v/>
      </c>
      <c r="I51" s="97">
        <f>IF(PKA!B51&lt;&gt;"",PKA!I51,"")</f>
        <v/>
      </c>
      <c r="J51" s="78">
        <f>IF(PKA!B51&lt;&gt;"",PKA!J51,"")</f>
        <v/>
      </c>
    </row>
    <row r="52" ht="15.75" customHeight="1" s="52">
      <c r="A52" s="92">
        <f>IF(PKA!B52&lt;&gt;"","PKA","")</f>
        <v/>
      </c>
      <c r="B52" s="82">
        <f>IF(PKA!B52&lt;&gt;"",PKA!B52,"")</f>
        <v/>
      </c>
      <c r="C52" s="82">
        <f>IF(PKA!B52&lt;&gt;"",PKA!C52,"")</f>
        <v/>
      </c>
      <c r="D52" s="82">
        <f>IF(PKA!B52&lt;&gt;"",PKA!D52,"")</f>
        <v/>
      </c>
      <c r="E52" s="82">
        <f>IF(PKA!B52&lt;&gt;"",PKA!E52,"")</f>
        <v/>
      </c>
      <c r="F52" s="82">
        <f>IF(PKA!B52&lt;&gt;"",PKA!F52,"")</f>
        <v/>
      </c>
      <c r="G52" s="82">
        <f>IF(PKA!B52&lt;&gt;"",PKA!G52,"")</f>
        <v/>
      </c>
      <c r="H52" s="92">
        <f>IF(PKA!B52&lt;&gt;"",PKA!H52,"")</f>
        <v/>
      </c>
      <c r="I52" s="92">
        <f>IF(PKA!B52&lt;&gt;"",PKA!I52,"")</f>
        <v/>
      </c>
      <c r="J52" s="82">
        <f>IF(PKA!B52&lt;&gt;"",PKA!J52,"")</f>
        <v/>
      </c>
    </row>
    <row r="53" ht="15.75" customHeight="1" s="52">
      <c r="A53" s="97">
        <f>IF(PKA!B53&lt;&gt;"","PKA","")</f>
        <v/>
      </c>
      <c r="B53" s="78">
        <f>IF(PKA!B53&lt;&gt;"",PKA!B53,"")</f>
        <v/>
      </c>
      <c r="C53" s="78">
        <f>IF(PKA!B53&lt;&gt;"",PKA!C53,"")</f>
        <v/>
      </c>
      <c r="D53" s="78">
        <f>IF(PKA!B53&lt;&gt;"",PKA!D53,"")</f>
        <v/>
      </c>
      <c r="E53" s="78">
        <f>IF(PKA!B53&lt;&gt;"",PKA!E53,"")</f>
        <v/>
      </c>
      <c r="F53" s="78">
        <f>IF(PKA!B53&lt;&gt;"",PKA!F53,"")</f>
        <v/>
      </c>
      <c r="G53" s="78">
        <f>IF(PKA!B53&lt;&gt;"",PKA!G53,"")</f>
        <v/>
      </c>
      <c r="H53" s="97">
        <f>IF(PKA!B53&lt;&gt;"",PKA!H53,"")</f>
        <v/>
      </c>
      <c r="I53" s="97">
        <f>IF(PKA!B53&lt;&gt;"",PKA!I53,"")</f>
        <v/>
      </c>
      <c r="J53" s="78">
        <f>IF(PKA!B53&lt;&gt;"",PKA!J53,"")</f>
        <v/>
      </c>
    </row>
    <row r="54" ht="15.75" customHeight="1" s="52">
      <c r="A54" s="92">
        <f>IF(PKA!B54&lt;&gt;"","PKA","")</f>
        <v/>
      </c>
      <c r="B54" s="82">
        <f>IF(PKA!B54&lt;&gt;"",PKA!B54,"")</f>
        <v/>
      </c>
      <c r="C54" s="82">
        <f>IF(PKA!B54&lt;&gt;"",PKA!C54,"")</f>
        <v/>
      </c>
      <c r="D54" s="82">
        <f>IF(PKA!B54&lt;&gt;"",PKA!D54,"")</f>
        <v/>
      </c>
      <c r="E54" s="82">
        <f>IF(PKA!B54&lt;&gt;"",PKA!E54,"")</f>
        <v/>
      </c>
      <c r="F54" s="82">
        <f>IF(PKA!B54&lt;&gt;"",PKA!F54,"")</f>
        <v/>
      </c>
      <c r="G54" s="82">
        <f>IF(PKA!B54&lt;&gt;"",PKA!G54,"")</f>
        <v/>
      </c>
      <c r="H54" s="92">
        <f>IF(PKA!B54&lt;&gt;"",PKA!H54,"")</f>
        <v/>
      </c>
      <c r="I54" s="92">
        <f>IF(PKA!B54&lt;&gt;"",PKA!I54,"")</f>
        <v/>
      </c>
      <c r="J54" s="82">
        <f>IF(PKA!B54&lt;&gt;"",PKA!J54,"")</f>
        <v/>
      </c>
    </row>
    <row r="55" ht="15.75" customHeight="1" s="52">
      <c r="A55" s="97">
        <f>IF(PKB!B5&lt;&gt;"","PKB","")</f>
        <v/>
      </c>
      <c r="B55" s="78">
        <f>IF(PKB!B5&lt;&gt;"",PKB!B5,"")</f>
        <v/>
      </c>
      <c r="C55" s="78">
        <f>IF(PKB!B5&lt;&gt;"",PKB!C5,"")</f>
        <v/>
      </c>
      <c r="D55" s="78">
        <f>IF(PKB!B5&lt;&gt;"",PKB!D5,"")</f>
        <v/>
      </c>
      <c r="E55" s="78">
        <f>IF(PKB!B5&lt;&gt;"",PKB!E5,"")</f>
        <v/>
      </c>
      <c r="F55" s="78">
        <f>IF(PKB!B5&lt;&gt;"",PKB!F5,"")</f>
        <v/>
      </c>
      <c r="G55" s="78">
        <f>IF(PKB!B5&lt;&gt;"",PKB!G5,"")</f>
        <v/>
      </c>
      <c r="H55" s="97">
        <f>IF(PKB!B5&lt;&gt;"",PKB!H5,"")</f>
        <v/>
      </c>
      <c r="I55" s="97">
        <f>IF(PKB!B5&lt;&gt;"",PKB!I5,"")</f>
        <v/>
      </c>
      <c r="J55" s="78">
        <f>IF(PKB!B5&lt;&gt;"",PKB!J5,"")</f>
        <v/>
      </c>
    </row>
    <row r="56" ht="15.75" customHeight="1" s="52">
      <c r="A56" s="92">
        <f>IF(PKB!B6&lt;&gt;"","PKB","")</f>
        <v/>
      </c>
      <c r="B56" s="82">
        <f>IF(PKB!B6&lt;&gt;"",PKB!B6,"")</f>
        <v/>
      </c>
      <c r="C56" s="82">
        <f>IF(PKB!B6&lt;&gt;"",PKB!C6,"")</f>
        <v/>
      </c>
      <c r="D56" s="82">
        <f>IF(PKB!B6&lt;&gt;"",PKB!D6,"")</f>
        <v/>
      </c>
      <c r="E56" s="82">
        <f>IF(PKB!B6&lt;&gt;"",PKB!E6,"")</f>
        <v/>
      </c>
      <c r="F56" s="82">
        <f>IF(PKB!B6&lt;&gt;"",PKB!F6,"")</f>
        <v/>
      </c>
      <c r="G56" s="82">
        <f>IF(PKB!B6&lt;&gt;"",PKB!G6,"")</f>
        <v/>
      </c>
      <c r="H56" s="92">
        <f>IF(PKB!B6&lt;&gt;"",PKB!H6,"")</f>
        <v/>
      </c>
      <c r="I56" s="92">
        <f>IF(PKB!B6&lt;&gt;"",PKB!I6,"")</f>
        <v/>
      </c>
      <c r="J56" s="82">
        <f>IF(PKB!B6&lt;&gt;"",PKB!J6,"")</f>
        <v/>
      </c>
    </row>
    <row r="57" ht="15.75" customHeight="1" s="52">
      <c r="A57" s="97">
        <f>IF(PKB!B7&lt;&gt;"","PKB","")</f>
        <v/>
      </c>
      <c r="B57" s="78">
        <f>IF(PKB!B7&lt;&gt;"",PKB!B7,"")</f>
        <v/>
      </c>
      <c r="C57" s="78">
        <f>IF(PKB!B7&lt;&gt;"",PKB!C7,"")</f>
        <v/>
      </c>
      <c r="D57" s="78">
        <f>IF(PKB!B7&lt;&gt;"",PKB!D7,"")</f>
        <v/>
      </c>
      <c r="E57" s="78">
        <f>IF(PKB!B7&lt;&gt;"",PKB!E7,"")</f>
        <v/>
      </c>
      <c r="F57" s="78">
        <f>IF(PKB!B7&lt;&gt;"",PKB!F7,"")</f>
        <v/>
      </c>
      <c r="G57" s="78">
        <f>IF(PKB!B7&lt;&gt;"",PKB!G7,"")</f>
        <v/>
      </c>
      <c r="H57" s="97">
        <f>IF(PKB!B7&lt;&gt;"",PKB!H7,"")</f>
        <v/>
      </c>
      <c r="I57" s="97">
        <f>IF(PKB!B7&lt;&gt;"",PKB!I7,"")</f>
        <v/>
      </c>
      <c r="J57" s="78">
        <f>IF(PKB!B7&lt;&gt;"",PKB!J7,"")</f>
        <v/>
      </c>
    </row>
    <row r="58" ht="15.75" customHeight="1" s="52">
      <c r="A58" s="92">
        <f>IF(PKB!B8&lt;&gt;"","PKB","")</f>
        <v/>
      </c>
      <c r="B58" s="82">
        <f>IF(PKB!B8&lt;&gt;"",PKB!B8,"")</f>
        <v/>
      </c>
      <c r="C58" s="82">
        <f>IF(PKB!B8&lt;&gt;"",PKB!C8,"")</f>
        <v/>
      </c>
      <c r="D58" s="82">
        <f>IF(PKB!B8&lt;&gt;"",PKB!D8,"")</f>
        <v/>
      </c>
      <c r="E58" s="82">
        <f>IF(PKB!B8&lt;&gt;"",PKB!E8,"")</f>
        <v/>
      </c>
      <c r="F58" s="82">
        <f>IF(PKB!B8&lt;&gt;"",PKB!F8,"")</f>
        <v/>
      </c>
      <c r="G58" s="82">
        <f>IF(PKB!B8&lt;&gt;"",PKB!G8,"")</f>
        <v/>
      </c>
      <c r="H58" s="92">
        <f>IF(PKB!B8&lt;&gt;"",PKB!H8,"")</f>
        <v/>
      </c>
      <c r="I58" s="92">
        <f>IF(PKB!B8&lt;&gt;"",PKB!I8,"")</f>
        <v/>
      </c>
      <c r="J58" s="82">
        <f>IF(PKB!B8&lt;&gt;"",PKB!J8,"")</f>
        <v/>
      </c>
    </row>
    <row r="59" ht="15.75" customHeight="1" s="52">
      <c r="A59" s="97">
        <f>IF(PKB!B9&lt;&gt;"","PKB","")</f>
        <v/>
      </c>
      <c r="B59" s="78">
        <f>IF(PKB!B9&lt;&gt;"",PKB!B9,"")</f>
        <v/>
      </c>
      <c r="C59" s="78">
        <f>IF(PKB!B9&lt;&gt;"",PKB!C9,"")</f>
        <v/>
      </c>
      <c r="D59" s="78">
        <f>IF(PKB!B9&lt;&gt;"",PKB!D9,"")</f>
        <v/>
      </c>
      <c r="E59" s="78">
        <f>IF(PKB!B9&lt;&gt;"",PKB!E9,"")</f>
        <v/>
      </c>
      <c r="F59" s="78">
        <f>IF(PKB!B9&lt;&gt;"",PKB!F9,"")</f>
        <v/>
      </c>
      <c r="G59" s="78">
        <f>IF(PKB!B9&lt;&gt;"",PKB!G9,"")</f>
        <v/>
      </c>
      <c r="H59" s="97">
        <f>IF(PKB!B9&lt;&gt;"",PKB!H9,"")</f>
        <v/>
      </c>
      <c r="I59" s="97">
        <f>IF(PKB!B9&lt;&gt;"",PKB!I9,"")</f>
        <v/>
      </c>
      <c r="J59" s="78">
        <f>IF(PKB!B9&lt;&gt;"",PKB!J9,"")</f>
        <v/>
      </c>
    </row>
    <row r="60" ht="15.75" customHeight="1" s="52">
      <c r="A60" s="92">
        <f>IF(PKB!B10&lt;&gt;"","PKB","")</f>
        <v/>
      </c>
      <c r="B60" s="82">
        <f>IF(PKB!B10&lt;&gt;"",PKB!B10,"")</f>
        <v/>
      </c>
      <c r="C60" s="82">
        <f>IF(PKB!B10&lt;&gt;"",PKB!C10,"")</f>
        <v/>
      </c>
      <c r="D60" s="82">
        <f>IF(PKB!B10&lt;&gt;"",PKB!D10,"")</f>
        <v/>
      </c>
      <c r="E60" s="82">
        <f>IF(PKB!B10&lt;&gt;"",PKB!E10,"")</f>
        <v/>
      </c>
      <c r="F60" s="82">
        <f>IF(PKB!B10&lt;&gt;"",PKB!F10,"")</f>
        <v/>
      </c>
      <c r="G60" s="82">
        <f>IF(PKB!B10&lt;&gt;"",PKB!G10,"")</f>
        <v/>
      </c>
      <c r="H60" s="92">
        <f>IF(PKB!B10&lt;&gt;"",PKB!H10,"")</f>
        <v/>
      </c>
      <c r="I60" s="92">
        <f>IF(PKB!B10&lt;&gt;"",PKB!I10,"")</f>
        <v/>
      </c>
      <c r="J60" s="82">
        <f>IF(PKB!B10&lt;&gt;"",PKB!J10,"")</f>
        <v/>
      </c>
    </row>
    <row r="61" ht="15.75" customHeight="1" s="52">
      <c r="A61" s="97">
        <f>IF(PKB!B11&lt;&gt;"","PKB","")</f>
        <v/>
      </c>
      <c r="B61" s="78">
        <f>IF(PKB!B11&lt;&gt;"",PKB!B11,"")</f>
        <v/>
      </c>
      <c r="C61" s="78">
        <f>IF(PKB!B11&lt;&gt;"",PKB!C11,"")</f>
        <v/>
      </c>
      <c r="D61" s="78">
        <f>IF(PKB!B11&lt;&gt;"",PKB!D11,"")</f>
        <v/>
      </c>
      <c r="E61" s="78">
        <f>IF(PKB!B11&lt;&gt;"",PKB!E11,"")</f>
        <v/>
      </c>
      <c r="F61" s="78">
        <f>IF(PKB!B11&lt;&gt;"",PKB!F11,"")</f>
        <v/>
      </c>
      <c r="G61" s="78">
        <f>IF(PKB!B11&lt;&gt;"",PKB!G11,"")</f>
        <v/>
      </c>
      <c r="H61" s="97">
        <f>IF(PKB!B11&lt;&gt;"",PKB!H11,"")</f>
        <v/>
      </c>
      <c r="I61" s="97">
        <f>IF(PKB!B11&lt;&gt;"",PKB!I11,"")</f>
        <v/>
      </c>
      <c r="J61" s="78">
        <f>IF(PKB!B11&lt;&gt;"",PKB!J11,"")</f>
        <v/>
      </c>
    </row>
    <row r="62" ht="15.75" customHeight="1" s="52">
      <c r="A62" s="92">
        <f>IF(PKB!B12&lt;&gt;"","PKB","")</f>
        <v/>
      </c>
      <c r="B62" s="82">
        <f>IF(PKB!B12&lt;&gt;"",PKB!B12,"")</f>
        <v/>
      </c>
      <c r="C62" s="82">
        <f>IF(PKB!B12&lt;&gt;"",PKB!C12,"")</f>
        <v/>
      </c>
      <c r="D62" s="82">
        <f>IF(PKB!B12&lt;&gt;"",PKB!D12,"")</f>
        <v/>
      </c>
      <c r="E62" s="82">
        <f>IF(PKB!B12&lt;&gt;"",PKB!E12,"")</f>
        <v/>
      </c>
      <c r="F62" s="82">
        <f>IF(PKB!B12&lt;&gt;"",PKB!F12,"")</f>
        <v/>
      </c>
      <c r="G62" s="82">
        <f>IF(PKB!B12&lt;&gt;"",PKB!G12,"")</f>
        <v/>
      </c>
      <c r="H62" s="92">
        <f>IF(PKB!B12&lt;&gt;"",PKB!H12,"")</f>
        <v/>
      </c>
      <c r="I62" s="92">
        <f>IF(PKB!B12&lt;&gt;"",PKB!I12,"")</f>
        <v/>
      </c>
      <c r="J62" s="82">
        <f>IF(PKB!B12&lt;&gt;"",PKB!J12,"")</f>
        <v/>
      </c>
    </row>
    <row r="63" ht="15.75" customHeight="1" s="52">
      <c r="A63" s="97">
        <f>IF(PKB!B13&lt;&gt;"","PKB","")</f>
        <v/>
      </c>
      <c r="B63" s="78">
        <f>IF(PKB!B13&lt;&gt;"",PKB!B13,"")</f>
        <v/>
      </c>
      <c r="C63" s="78">
        <f>IF(PKB!B13&lt;&gt;"",PKB!C13,"")</f>
        <v/>
      </c>
      <c r="D63" s="78">
        <f>IF(PKB!B13&lt;&gt;"",PKB!D13,"")</f>
        <v/>
      </c>
      <c r="E63" s="78">
        <f>IF(PKB!B13&lt;&gt;"",PKB!E13,"")</f>
        <v/>
      </c>
      <c r="F63" s="78">
        <f>IF(PKB!B13&lt;&gt;"",PKB!F13,"")</f>
        <v/>
      </c>
      <c r="G63" s="78">
        <f>IF(PKB!B13&lt;&gt;"",PKB!G13,"")</f>
        <v/>
      </c>
      <c r="H63" s="97">
        <f>IF(PKB!B13&lt;&gt;"",PKB!H13,"")</f>
        <v/>
      </c>
      <c r="I63" s="97">
        <f>IF(PKB!B13&lt;&gt;"",PKB!I13,"")</f>
        <v/>
      </c>
      <c r="J63" s="78">
        <f>IF(PKB!B13&lt;&gt;"",PKB!J13,"")</f>
        <v/>
      </c>
    </row>
    <row r="64" ht="15.75" customHeight="1" s="52">
      <c r="A64" s="92">
        <f>IF(PKB!B14&lt;&gt;"","PKB","")</f>
        <v/>
      </c>
      <c r="B64" s="82">
        <f>IF(PKB!B14&lt;&gt;"",PKB!B14,"")</f>
        <v/>
      </c>
      <c r="C64" s="82">
        <f>IF(PKB!B14&lt;&gt;"",PKB!C14,"")</f>
        <v/>
      </c>
      <c r="D64" s="82">
        <f>IF(PKB!B14&lt;&gt;"",PKB!D14,"")</f>
        <v/>
      </c>
      <c r="E64" s="82">
        <f>IF(PKB!B14&lt;&gt;"",PKB!E14,"")</f>
        <v/>
      </c>
      <c r="F64" s="82">
        <f>IF(PKB!B14&lt;&gt;"",PKB!F14,"")</f>
        <v/>
      </c>
      <c r="G64" s="82">
        <f>IF(PKB!B14&lt;&gt;"",PKB!G14,"")</f>
        <v/>
      </c>
      <c r="H64" s="92">
        <f>IF(PKB!B14&lt;&gt;"",PKB!H14,"")</f>
        <v/>
      </c>
      <c r="I64" s="92">
        <f>IF(PKB!B14&lt;&gt;"",PKB!I14,"")</f>
        <v/>
      </c>
      <c r="J64" s="82">
        <f>IF(PKB!B14&lt;&gt;"",PKB!J14,"")</f>
        <v/>
      </c>
    </row>
    <row r="65" ht="15.75" customHeight="1" s="52">
      <c r="A65" s="97">
        <f>IF(PKB!B15&lt;&gt;"","PKB","")</f>
        <v/>
      </c>
      <c r="B65" s="78">
        <f>IF(PKB!B15&lt;&gt;"",PKB!B15,"")</f>
        <v/>
      </c>
      <c r="C65" s="78">
        <f>IF(PKB!B15&lt;&gt;"",PKB!C15,"")</f>
        <v/>
      </c>
      <c r="D65" s="78">
        <f>IF(PKB!B15&lt;&gt;"",PKB!D15,"")</f>
        <v/>
      </c>
      <c r="E65" s="78">
        <f>IF(PKB!B15&lt;&gt;"",PKB!E15,"")</f>
        <v/>
      </c>
      <c r="F65" s="78">
        <f>IF(PKB!B15&lt;&gt;"",PKB!F15,"")</f>
        <v/>
      </c>
      <c r="G65" s="78">
        <f>IF(PKB!B15&lt;&gt;"",PKB!G15,"")</f>
        <v/>
      </c>
      <c r="H65" s="97">
        <f>IF(PKB!B15&lt;&gt;"",PKB!H15,"")</f>
        <v/>
      </c>
      <c r="I65" s="97">
        <f>IF(PKB!B15&lt;&gt;"",PKB!I15,"")</f>
        <v/>
      </c>
      <c r="J65" s="78">
        <f>IF(PKB!B15&lt;&gt;"",PKB!J15,"")</f>
        <v/>
      </c>
    </row>
    <row r="66" ht="15.75" customHeight="1" s="52">
      <c r="A66" s="92">
        <f>IF(PKB!B16&lt;&gt;"","PKB","")</f>
        <v/>
      </c>
      <c r="B66" s="82">
        <f>IF(PKB!B16&lt;&gt;"",PKB!B16,"")</f>
        <v/>
      </c>
      <c r="C66" s="82">
        <f>IF(PKB!B16&lt;&gt;"",PKB!C16,"")</f>
        <v/>
      </c>
      <c r="D66" s="82">
        <f>IF(PKB!B16&lt;&gt;"",PKB!D16,"")</f>
        <v/>
      </c>
      <c r="E66" s="82">
        <f>IF(PKB!B16&lt;&gt;"",PKB!E16,"")</f>
        <v/>
      </c>
      <c r="F66" s="82">
        <f>IF(PKB!B16&lt;&gt;"",PKB!F16,"")</f>
        <v/>
      </c>
      <c r="G66" s="82">
        <f>IF(PKB!B16&lt;&gt;"",PKB!G16,"")</f>
        <v/>
      </c>
      <c r="H66" s="92">
        <f>IF(PKB!B16&lt;&gt;"",PKB!H16,"")</f>
        <v/>
      </c>
      <c r="I66" s="92">
        <f>IF(PKB!B16&lt;&gt;"",PKB!I16,"")</f>
        <v/>
      </c>
      <c r="J66" s="82">
        <f>IF(PKB!B16&lt;&gt;"",PKB!J16,"")</f>
        <v/>
      </c>
    </row>
    <row r="67" ht="15.75" customHeight="1" s="52">
      <c r="A67" s="97">
        <f>IF(PKB!B17&lt;&gt;"","PKB","")</f>
        <v/>
      </c>
      <c r="B67" s="78">
        <f>IF(PKB!B17&lt;&gt;"",PKB!B17,"")</f>
        <v/>
      </c>
      <c r="C67" s="78">
        <f>IF(PKB!B17&lt;&gt;"",PKB!C17,"")</f>
        <v/>
      </c>
      <c r="D67" s="78">
        <f>IF(PKB!B17&lt;&gt;"",PKB!D17,"")</f>
        <v/>
      </c>
      <c r="E67" s="78">
        <f>IF(PKB!B17&lt;&gt;"",PKB!E17,"")</f>
        <v/>
      </c>
      <c r="F67" s="78">
        <f>IF(PKB!B17&lt;&gt;"",PKB!F17,"")</f>
        <v/>
      </c>
      <c r="G67" s="78">
        <f>IF(PKB!B17&lt;&gt;"",PKB!G17,"")</f>
        <v/>
      </c>
      <c r="H67" s="97">
        <f>IF(PKB!B17&lt;&gt;"",PKB!H17,"")</f>
        <v/>
      </c>
      <c r="I67" s="97">
        <f>IF(PKB!B17&lt;&gt;"",PKB!I17,"")</f>
        <v/>
      </c>
      <c r="J67" s="78">
        <f>IF(PKB!B17&lt;&gt;"",PKB!J17,"")</f>
        <v/>
      </c>
    </row>
    <row r="68" ht="15.75" customHeight="1" s="52">
      <c r="A68" s="92">
        <f>IF(PKB!B18&lt;&gt;"","PKB","")</f>
        <v/>
      </c>
      <c r="B68" s="82">
        <f>IF(PKB!B18&lt;&gt;"",PKB!B18,"")</f>
        <v/>
      </c>
      <c r="C68" s="82">
        <f>IF(PKB!B18&lt;&gt;"",PKB!C18,"")</f>
        <v/>
      </c>
      <c r="D68" s="82">
        <f>IF(PKB!B18&lt;&gt;"",PKB!D18,"")</f>
        <v/>
      </c>
      <c r="E68" s="82">
        <f>IF(PKB!B18&lt;&gt;"",PKB!E18,"")</f>
        <v/>
      </c>
      <c r="F68" s="82">
        <f>IF(PKB!B18&lt;&gt;"",PKB!F18,"")</f>
        <v/>
      </c>
      <c r="G68" s="82">
        <f>IF(PKB!B18&lt;&gt;"",PKB!G18,"")</f>
        <v/>
      </c>
      <c r="H68" s="92">
        <f>IF(PKB!B18&lt;&gt;"",PKB!H18,"")</f>
        <v/>
      </c>
      <c r="I68" s="92">
        <f>IF(PKB!B18&lt;&gt;"",PKB!I18,"")</f>
        <v/>
      </c>
      <c r="J68" s="82">
        <f>IF(PKB!B18&lt;&gt;"",PKB!J18,"")</f>
        <v/>
      </c>
    </row>
    <row r="69" ht="15.75" customHeight="1" s="52">
      <c r="A69" s="97">
        <f>IF(PKB!B19&lt;&gt;"","PKB","")</f>
        <v/>
      </c>
      <c r="B69" s="78">
        <f>IF(PKB!B19&lt;&gt;"",PKB!B19,"")</f>
        <v/>
      </c>
      <c r="C69" s="78">
        <f>IF(PKB!B19&lt;&gt;"",PKB!C19,"")</f>
        <v/>
      </c>
      <c r="D69" s="78">
        <f>IF(PKB!B19&lt;&gt;"",PKB!D19,"")</f>
        <v/>
      </c>
      <c r="E69" s="78">
        <f>IF(PKB!B19&lt;&gt;"",PKB!E19,"")</f>
        <v/>
      </c>
      <c r="F69" s="78">
        <f>IF(PKB!B19&lt;&gt;"",PKB!F19,"")</f>
        <v/>
      </c>
      <c r="G69" s="78">
        <f>IF(PKB!B19&lt;&gt;"",PKB!G19,"")</f>
        <v/>
      </c>
      <c r="H69" s="97">
        <f>IF(PKB!B19&lt;&gt;"",PKB!H19,"")</f>
        <v/>
      </c>
      <c r="I69" s="97">
        <f>IF(PKB!B19&lt;&gt;"",PKB!I19,"")</f>
        <v/>
      </c>
      <c r="J69" s="78">
        <f>IF(PKB!B19&lt;&gt;"",PKB!J19,"")</f>
        <v/>
      </c>
    </row>
    <row r="70" ht="15.75" customHeight="1" s="52">
      <c r="A70" s="92">
        <f>IF(PKB!B20&lt;&gt;"","PKB","")</f>
        <v/>
      </c>
      <c r="B70" s="82">
        <f>IF(PKB!B20&lt;&gt;"",PKB!B20,"")</f>
        <v/>
      </c>
      <c r="C70" s="82">
        <f>IF(PKB!B20&lt;&gt;"",PKB!C20,"")</f>
        <v/>
      </c>
      <c r="D70" s="82">
        <f>IF(PKB!B20&lt;&gt;"",PKB!D20,"")</f>
        <v/>
      </c>
      <c r="E70" s="82">
        <f>IF(PKB!B20&lt;&gt;"",PKB!E20,"")</f>
        <v/>
      </c>
      <c r="F70" s="82">
        <f>IF(PKB!B20&lt;&gt;"",PKB!F20,"")</f>
        <v/>
      </c>
      <c r="G70" s="82">
        <f>IF(PKB!B20&lt;&gt;"",PKB!G20,"")</f>
        <v/>
      </c>
      <c r="H70" s="92">
        <f>IF(PKB!B20&lt;&gt;"",PKB!H20,"")</f>
        <v/>
      </c>
      <c r="I70" s="92">
        <f>IF(PKB!B20&lt;&gt;"",PKB!I20,"")</f>
        <v/>
      </c>
      <c r="J70" s="82">
        <f>IF(PKB!B20&lt;&gt;"",PKB!J20,"")</f>
        <v/>
      </c>
    </row>
    <row r="71" ht="15.75" customHeight="1" s="52">
      <c r="A71" s="97">
        <f>IF(PKB!B21&lt;&gt;"","PKB","")</f>
        <v/>
      </c>
      <c r="B71" s="78">
        <f>IF(PKB!B21&lt;&gt;"",PKB!B21,"")</f>
        <v/>
      </c>
      <c r="C71" s="78">
        <f>IF(PKB!B21&lt;&gt;"",PKB!C21,"")</f>
        <v/>
      </c>
      <c r="D71" s="78">
        <f>IF(PKB!B21&lt;&gt;"",PKB!D21,"")</f>
        <v/>
      </c>
      <c r="E71" s="78">
        <f>IF(PKB!B21&lt;&gt;"",PKB!E21,"")</f>
        <v/>
      </c>
      <c r="F71" s="78">
        <f>IF(PKB!B21&lt;&gt;"",PKB!F21,"")</f>
        <v/>
      </c>
      <c r="G71" s="78">
        <f>IF(PKB!B21&lt;&gt;"",PKB!G21,"")</f>
        <v/>
      </c>
      <c r="H71" s="97">
        <f>IF(PKB!B21&lt;&gt;"",PKB!H21,"")</f>
        <v/>
      </c>
      <c r="I71" s="97">
        <f>IF(PKB!B21&lt;&gt;"",PKB!I21,"")</f>
        <v/>
      </c>
      <c r="J71" s="78">
        <f>IF(PKB!B21&lt;&gt;"",PKB!J21,"")</f>
        <v/>
      </c>
    </row>
    <row r="72" ht="15.75" customHeight="1" s="52">
      <c r="A72" s="92">
        <f>IF(PKB!B22&lt;&gt;"","PKB","")</f>
        <v/>
      </c>
      <c r="B72" s="82">
        <f>IF(PKB!B22&lt;&gt;"",PKB!B22,"")</f>
        <v/>
      </c>
      <c r="C72" s="82">
        <f>IF(PKB!B22&lt;&gt;"",PKB!C22,"")</f>
        <v/>
      </c>
      <c r="D72" s="82">
        <f>IF(PKB!B22&lt;&gt;"",PKB!D22,"")</f>
        <v/>
      </c>
      <c r="E72" s="82">
        <f>IF(PKB!B22&lt;&gt;"",PKB!E22,"")</f>
        <v/>
      </c>
      <c r="F72" s="82">
        <f>IF(PKB!B22&lt;&gt;"",PKB!F22,"")</f>
        <v/>
      </c>
      <c r="G72" s="82">
        <f>IF(PKB!B22&lt;&gt;"",PKB!G22,"")</f>
        <v/>
      </c>
      <c r="H72" s="92">
        <f>IF(PKB!B22&lt;&gt;"",PKB!H22,"")</f>
        <v/>
      </c>
      <c r="I72" s="92">
        <f>IF(PKB!B22&lt;&gt;"",PKB!I22,"")</f>
        <v/>
      </c>
      <c r="J72" s="82">
        <f>IF(PKB!B22&lt;&gt;"",PKB!J22,"")</f>
        <v/>
      </c>
    </row>
    <row r="73" ht="15.75" customHeight="1" s="52">
      <c r="A73" s="97">
        <f>IF(PKB!B23&lt;&gt;"","PKB","")</f>
        <v/>
      </c>
      <c r="B73" s="78">
        <f>IF(PKB!B23&lt;&gt;"",PKB!B23,"")</f>
        <v/>
      </c>
      <c r="C73" s="78">
        <f>IF(PKB!B23&lt;&gt;"",PKB!C23,"")</f>
        <v/>
      </c>
      <c r="D73" s="78">
        <f>IF(PKB!B23&lt;&gt;"",PKB!D23,"")</f>
        <v/>
      </c>
      <c r="E73" s="78">
        <f>IF(PKB!B23&lt;&gt;"",PKB!E23,"")</f>
        <v/>
      </c>
      <c r="F73" s="78">
        <f>IF(PKB!B23&lt;&gt;"",PKB!F23,"")</f>
        <v/>
      </c>
      <c r="G73" s="78">
        <f>IF(PKB!B23&lt;&gt;"",PKB!G23,"")</f>
        <v/>
      </c>
      <c r="H73" s="97">
        <f>IF(PKB!B23&lt;&gt;"",PKB!H23,"")</f>
        <v/>
      </c>
      <c r="I73" s="97">
        <f>IF(PKB!B23&lt;&gt;"",PKB!I23,"")</f>
        <v/>
      </c>
      <c r="J73" s="78">
        <f>IF(PKB!B23&lt;&gt;"",PKB!J23,"")</f>
        <v/>
      </c>
    </row>
    <row r="74" ht="15.75" customHeight="1" s="52">
      <c r="A74" s="92">
        <f>IF(PKB!B24&lt;&gt;"","PKB","")</f>
        <v/>
      </c>
      <c r="B74" s="82">
        <f>IF(PKB!B24&lt;&gt;"",PKB!B24,"")</f>
        <v/>
      </c>
      <c r="C74" s="82">
        <f>IF(PKB!B24&lt;&gt;"",PKB!C24,"")</f>
        <v/>
      </c>
      <c r="D74" s="82">
        <f>IF(PKB!B24&lt;&gt;"",PKB!D24,"")</f>
        <v/>
      </c>
      <c r="E74" s="82">
        <f>IF(PKB!B24&lt;&gt;"",PKB!E24,"")</f>
        <v/>
      </c>
      <c r="F74" s="82">
        <f>IF(PKB!B24&lt;&gt;"",PKB!F24,"")</f>
        <v/>
      </c>
      <c r="G74" s="82">
        <f>IF(PKB!B24&lt;&gt;"",PKB!G24,"")</f>
        <v/>
      </c>
      <c r="H74" s="92">
        <f>IF(PKB!B24&lt;&gt;"",PKB!H24,"")</f>
        <v/>
      </c>
      <c r="I74" s="92">
        <f>IF(PKB!B24&lt;&gt;"",PKB!I24,"")</f>
        <v/>
      </c>
      <c r="J74" s="82">
        <f>IF(PKB!B24&lt;&gt;"",PKB!J24,"")</f>
        <v/>
      </c>
    </row>
    <row r="75" ht="15.75" customHeight="1" s="52">
      <c r="A75" s="97">
        <f>IF(PKB!B25&lt;&gt;"","PKB","")</f>
        <v/>
      </c>
      <c r="B75" s="78">
        <f>IF(PKB!B25&lt;&gt;"",PKB!B25,"")</f>
        <v/>
      </c>
      <c r="C75" s="78">
        <f>IF(PKB!B25&lt;&gt;"",PKB!C25,"")</f>
        <v/>
      </c>
      <c r="D75" s="78">
        <f>IF(PKB!B25&lt;&gt;"",PKB!D25,"")</f>
        <v/>
      </c>
      <c r="E75" s="78">
        <f>IF(PKB!B25&lt;&gt;"",PKB!E25,"")</f>
        <v/>
      </c>
      <c r="F75" s="78">
        <f>IF(PKB!B25&lt;&gt;"",PKB!F25,"")</f>
        <v/>
      </c>
      <c r="G75" s="78">
        <f>IF(PKB!B25&lt;&gt;"",PKB!G25,"")</f>
        <v/>
      </c>
      <c r="H75" s="97">
        <f>IF(PKB!B25&lt;&gt;"",PKB!H25,"")</f>
        <v/>
      </c>
      <c r="I75" s="97">
        <f>IF(PKB!B25&lt;&gt;"",PKB!I25,"")</f>
        <v/>
      </c>
      <c r="J75" s="78">
        <f>IF(PKB!B25&lt;&gt;"",PKB!J25,"")</f>
        <v/>
      </c>
    </row>
    <row r="76" ht="15.75" customHeight="1" s="52">
      <c r="A76" s="92">
        <f>IF(PKB!B26&lt;&gt;"","PKB","")</f>
        <v/>
      </c>
      <c r="B76" s="82">
        <f>IF(PKB!B26&lt;&gt;"",PKB!B26,"")</f>
        <v/>
      </c>
      <c r="C76" s="82">
        <f>IF(PKB!B26&lt;&gt;"",PKB!C26,"")</f>
        <v/>
      </c>
      <c r="D76" s="82">
        <f>IF(PKB!B26&lt;&gt;"",PKB!D26,"")</f>
        <v/>
      </c>
      <c r="E76" s="82">
        <f>IF(PKB!B26&lt;&gt;"",PKB!E26,"")</f>
        <v/>
      </c>
      <c r="F76" s="82">
        <f>IF(PKB!B26&lt;&gt;"",PKB!F26,"")</f>
        <v/>
      </c>
      <c r="G76" s="82">
        <f>IF(PKB!B26&lt;&gt;"",PKB!G26,"")</f>
        <v/>
      </c>
      <c r="H76" s="92">
        <f>IF(PKB!B26&lt;&gt;"",PKB!H26,"")</f>
        <v/>
      </c>
      <c r="I76" s="92">
        <f>IF(PKB!B26&lt;&gt;"",PKB!I26,"")</f>
        <v/>
      </c>
      <c r="J76" s="82">
        <f>IF(PKB!B26&lt;&gt;"",PKB!J26,"")</f>
        <v/>
      </c>
    </row>
    <row r="77" ht="15.75" customHeight="1" s="52">
      <c r="A77" s="97">
        <f>IF(PKB!B27&lt;&gt;"","PKB","")</f>
        <v/>
      </c>
      <c r="B77" s="78">
        <f>IF(PKB!B27&lt;&gt;"",PKB!B27,"")</f>
        <v/>
      </c>
      <c r="C77" s="78">
        <f>IF(PKB!B27&lt;&gt;"",PKB!C27,"")</f>
        <v/>
      </c>
      <c r="D77" s="78">
        <f>IF(PKB!B27&lt;&gt;"",PKB!D27,"")</f>
        <v/>
      </c>
      <c r="E77" s="78">
        <f>IF(PKB!B27&lt;&gt;"",PKB!E27,"")</f>
        <v/>
      </c>
      <c r="F77" s="78">
        <f>IF(PKB!B27&lt;&gt;"",PKB!F27,"")</f>
        <v/>
      </c>
      <c r="G77" s="78">
        <f>IF(PKB!B27&lt;&gt;"",PKB!G27,"")</f>
        <v/>
      </c>
      <c r="H77" s="97">
        <f>IF(PKB!B27&lt;&gt;"",PKB!H27,"")</f>
        <v/>
      </c>
      <c r="I77" s="97">
        <f>IF(PKB!B27&lt;&gt;"",PKB!I27,"")</f>
        <v/>
      </c>
      <c r="J77" s="78">
        <f>IF(PKB!B27&lt;&gt;"",PKB!J27,"")</f>
        <v/>
      </c>
    </row>
    <row r="78" ht="15.75" customHeight="1" s="52">
      <c r="A78" s="92">
        <f>IF(PKB!B28&lt;&gt;"","PKB","")</f>
        <v/>
      </c>
      <c r="B78" s="82">
        <f>IF(PKB!B28&lt;&gt;"",PKB!B28,"")</f>
        <v/>
      </c>
      <c r="C78" s="82">
        <f>IF(PKB!B28&lt;&gt;"",PKB!C28,"")</f>
        <v/>
      </c>
      <c r="D78" s="82">
        <f>IF(PKB!B28&lt;&gt;"",PKB!D28,"")</f>
        <v/>
      </c>
      <c r="E78" s="82">
        <f>IF(PKB!B28&lt;&gt;"",PKB!E28,"")</f>
        <v/>
      </c>
      <c r="F78" s="82">
        <f>IF(PKB!B28&lt;&gt;"",PKB!F28,"")</f>
        <v/>
      </c>
      <c r="G78" s="82">
        <f>IF(PKB!B28&lt;&gt;"",PKB!G28,"")</f>
        <v/>
      </c>
      <c r="H78" s="92">
        <f>IF(PKB!B28&lt;&gt;"",PKB!H28,"")</f>
        <v/>
      </c>
      <c r="I78" s="92">
        <f>IF(PKB!B28&lt;&gt;"",PKB!I28,"")</f>
        <v/>
      </c>
      <c r="J78" s="82">
        <f>IF(PKB!B28&lt;&gt;"",PKB!J28,"")</f>
        <v/>
      </c>
    </row>
    <row r="79" ht="15.75" customHeight="1" s="52">
      <c r="A79" s="97">
        <f>IF(PKB!B29&lt;&gt;"","PKB","")</f>
        <v/>
      </c>
      <c r="B79" s="78">
        <f>IF(PKB!B29&lt;&gt;"",PKB!B29,"")</f>
        <v/>
      </c>
      <c r="C79" s="78">
        <f>IF(PKB!B29&lt;&gt;"",PKB!C29,"")</f>
        <v/>
      </c>
      <c r="D79" s="78">
        <f>IF(PKB!B29&lt;&gt;"",PKB!D29,"")</f>
        <v/>
      </c>
      <c r="E79" s="78">
        <f>IF(PKB!B29&lt;&gt;"",PKB!E29,"")</f>
        <v/>
      </c>
      <c r="F79" s="78">
        <f>IF(PKB!B29&lt;&gt;"",PKB!F29,"")</f>
        <v/>
      </c>
      <c r="G79" s="78">
        <f>IF(PKB!B29&lt;&gt;"",PKB!G29,"")</f>
        <v/>
      </c>
      <c r="H79" s="97">
        <f>IF(PKB!B29&lt;&gt;"",PKB!H29,"")</f>
        <v/>
      </c>
      <c r="I79" s="97">
        <f>IF(PKB!B29&lt;&gt;"",PKB!I29,"")</f>
        <v/>
      </c>
      <c r="J79" s="78">
        <f>IF(PKB!B29&lt;&gt;"",PKB!J29,"")</f>
        <v/>
      </c>
    </row>
    <row r="80" ht="15.75" customHeight="1" s="52">
      <c r="A80" s="92">
        <f>IF(PKB!B30&lt;&gt;"","PKB","")</f>
        <v/>
      </c>
      <c r="B80" s="82">
        <f>IF(PKB!B30&lt;&gt;"",PKB!B30,"")</f>
        <v/>
      </c>
      <c r="C80" s="82">
        <f>IF(PKB!B30&lt;&gt;"",PKB!C30,"")</f>
        <v/>
      </c>
      <c r="D80" s="82">
        <f>IF(PKB!B30&lt;&gt;"",PKB!D30,"")</f>
        <v/>
      </c>
      <c r="E80" s="82">
        <f>IF(PKB!B30&lt;&gt;"",PKB!E30,"")</f>
        <v/>
      </c>
      <c r="F80" s="82">
        <f>IF(PKB!B30&lt;&gt;"",PKB!F30,"")</f>
        <v/>
      </c>
      <c r="G80" s="82">
        <f>IF(PKB!B30&lt;&gt;"",PKB!G30,"")</f>
        <v/>
      </c>
      <c r="H80" s="92">
        <f>IF(PKB!B30&lt;&gt;"",PKB!H30,"")</f>
        <v/>
      </c>
      <c r="I80" s="92">
        <f>IF(PKB!B30&lt;&gt;"",PKB!I30,"")</f>
        <v/>
      </c>
      <c r="J80" s="82">
        <f>IF(PKB!B30&lt;&gt;"",PKB!J30,"")</f>
        <v/>
      </c>
    </row>
    <row r="81" ht="15.75" customHeight="1" s="52">
      <c r="A81" s="97">
        <f>IF(PKB!B31&lt;&gt;"","PKB","")</f>
        <v/>
      </c>
      <c r="B81" s="78">
        <f>IF(PKB!B31&lt;&gt;"",PKB!B31,"")</f>
        <v/>
      </c>
      <c r="C81" s="78">
        <f>IF(PKB!B31&lt;&gt;"",PKB!C31,"")</f>
        <v/>
      </c>
      <c r="D81" s="78">
        <f>IF(PKB!B31&lt;&gt;"",PKB!D31,"")</f>
        <v/>
      </c>
      <c r="E81" s="78">
        <f>IF(PKB!B31&lt;&gt;"",PKB!E31,"")</f>
        <v/>
      </c>
      <c r="F81" s="78">
        <f>IF(PKB!B31&lt;&gt;"",PKB!F31,"")</f>
        <v/>
      </c>
      <c r="G81" s="78">
        <f>IF(PKB!B31&lt;&gt;"",PKB!G31,"")</f>
        <v/>
      </c>
      <c r="H81" s="97">
        <f>IF(PKB!B31&lt;&gt;"",PKB!H31,"")</f>
        <v/>
      </c>
      <c r="I81" s="97">
        <f>IF(PKB!B31&lt;&gt;"",PKB!I31,"")</f>
        <v/>
      </c>
      <c r="J81" s="78">
        <f>IF(PKB!B31&lt;&gt;"",PKB!J31,"")</f>
        <v/>
      </c>
    </row>
    <row r="82" ht="15.75" customHeight="1" s="52">
      <c r="A82" s="92">
        <f>IF(PKB!B32&lt;&gt;"","PKB","")</f>
        <v/>
      </c>
      <c r="B82" s="82">
        <f>IF(PKB!B32&lt;&gt;"",PKB!B32,"")</f>
        <v/>
      </c>
      <c r="C82" s="82">
        <f>IF(PKB!B32&lt;&gt;"",PKB!C32,"")</f>
        <v/>
      </c>
      <c r="D82" s="82">
        <f>IF(PKB!B32&lt;&gt;"",PKB!D32,"")</f>
        <v/>
      </c>
      <c r="E82" s="82">
        <f>IF(PKB!B32&lt;&gt;"",PKB!E32,"")</f>
        <v/>
      </c>
      <c r="F82" s="82">
        <f>IF(PKB!B32&lt;&gt;"",PKB!F32,"")</f>
        <v/>
      </c>
      <c r="G82" s="82">
        <f>IF(PKB!B32&lt;&gt;"",PKB!G32,"")</f>
        <v/>
      </c>
      <c r="H82" s="92">
        <f>IF(PKB!B32&lt;&gt;"",PKB!H32,"")</f>
        <v/>
      </c>
      <c r="I82" s="92">
        <f>IF(PKB!B32&lt;&gt;"",PKB!I32,"")</f>
        <v/>
      </c>
      <c r="J82" s="82">
        <f>IF(PKB!B32&lt;&gt;"",PKB!J32,"")</f>
        <v/>
      </c>
    </row>
    <row r="83" ht="15.75" customHeight="1" s="52">
      <c r="A83" s="97">
        <f>IF(PKB!B33&lt;&gt;"","PKB","")</f>
        <v/>
      </c>
      <c r="B83" s="78">
        <f>IF(PKB!B33&lt;&gt;"",PKB!B33,"")</f>
        <v/>
      </c>
      <c r="C83" s="78">
        <f>IF(PKB!B33&lt;&gt;"",PKB!C33,"")</f>
        <v/>
      </c>
      <c r="D83" s="78">
        <f>IF(PKB!B33&lt;&gt;"",PKB!D33,"")</f>
        <v/>
      </c>
      <c r="E83" s="78">
        <f>IF(PKB!B33&lt;&gt;"",PKB!E33,"")</f>
        <v/>
      </c>
      <c r="F83" s="78">
        <f>IF(PKB!B33&lt;&gt;"",PKB!F33,"")</f>
        <v/>
      </c>
      <c r="G83" s="78">
        <f>IF(PKB!B33&lt;&gt;"",PKB!G33,"")</f>
        <v/>
      </c>
      <c r="H83" s="97">
        <f>IF(PKB!B33&lt;&gt;"",PKB!H33,"")</f>
        <v/>
      </c>
      <c r="I83" s="97">
        <f>IF(PKB!B33&lt;&gt;"",PKB!I33,"")</f>
        <v/>
      </c>
      <c r="J83" s="78">
        <f>IF(PKB!B33&lt;&gt;"",PKB!J33,"")</f>
        <v/>
      </c>
    </row>
    <row r="84" ht="15.75" customHeight="1" s="52">
      <c r="A84" s="92">
        <f>IF(PKB!B34&lt;&gt;"","PKB","")</f>
        <v/>
      </c>
      <c r="B84" s="82">
        <f>IF(PKB!B34&lt;&gt;"",PKB!B34,"")</f>
        <v/>
      </c>
      <c r="C84" s="82">
        <f>IF(PKB!B34&lt;&gt;"",PKB!C34,"")</f>
        <v/>
      </c>
      <c r="D84" s="82">
        <f>IF(PKB!B34&lt;&gt;"",PKB!D34,"")</f>
        <v/>
      </c>
      <c r="E84" s="82">
        <f>IF(PKB!B34&lt;&gt;"",PKB!E34,"")</f>
        <v/>
      </c>
      <c r="F84" s="82">
        <f>IF(PKB!B34&lt;&gt;"",PKB!F34,"")</f>
        <v/>
      </c>
      <c r="G84" s="82">
        <f>IF(PKB!B34&lt;&gt;"",PKB!G34,"")</f>
        <v/>
      </c>
      <c r="H84" s="92">
        <f>IF(PKB!B34&lt;&gt;"",PKB!H34,"")</f>
        <v/>
      </c>
      <c r="I84" s="92">
        <f>IF(PKB!B34&lt;&gt;"",PKB!I34,"")</f>
        <v/>
      </c>
      <c r="J84" s="82">
        <f>IF(PKB!B34&lt;&gt;"",PKB!J34,"")</f>
        <v/>
      </c>
    </row>
    <row r="85" ht="15.75" customHeight="1" s="52">
      <c r="A85" s="97">
        <f>IF(PKB!B35&lt;&gt;"","PKB","")</f>
        <v/>
      </c>
      <c r="B85" s="78">
        <f>IF(PKB!B35&lt;&gt;"",PKB!B35,"")</f>
        <v/>
      </c>
      <c r="C85" s="78">
        <f>IF(PKB!B35&lt;&gt;"",PKB!C35,"")</f>
        <v/>
      </c>
      <c r="D85" s="78">
        <f>IF(PKB!B35&lt;&gt;"",PKB!D35,"")</f>
        <v/>
      </c>
      <c r="E85" s="78">
        <f>IF(PKB!B35&lt;&gt;"",PKB!E35,"")</f>
        <v/>
      </c>
      <c r="F85" s="78">
        <f>IF(PKB!B35&lt;&gt;"",PKB!F35,"")</f>
        <v/>
      </c>
      <c r="G85" s="78">
        <f>IF(PKB!B35&lt;&gt;"",PKB!G35,"")</f>
        <v/>
      </c>
      <c r="H85" s="97">
        <f>IF(PKB!B35&lt;&gt;"",PKB!H35,"")</f>
        <v/>
      </c>
      <c r="I85" s="97">
        <f>IF(PKB!B35&lt;&gt;"",PKB!I35,"")</f>
        <v/>
      </c>
      <c r="J85" s="78">
        <f>IF(PKB!B35&lt;&gt;"",PKB!J35,"")</f>
        <v/>
      </c>
    </row>
    <row r="86" ht="15.75" customHeight="1" s="52">
      <c r="A86" s="92">
        <f>IF(PKB!B36&lt;&gt;"","PKB","")</f>
        <v/>
      </c>
      <c r="B86" s="82">
        <f>IF(PKB!B36&lt;&gt;"",PKB!B36,"")</f>
        <v/>
      </c>
      <c r="C86" s="82">
        <f>IF(PKB!B36&lt;&gt;"",PKB!C36,"")</f>
        <v/>
      </c>
      <c r="D86" s="82">
        <f>IF(PKB!B36&lt;&gt;"",PKB!D36,"")</f>
        <v/>
      </c>
      <c r="E86" s="82">
        <f>IF(PKB!B36&lt;&gt;"",PKB!E36,"")</f>
        <v/>
      </c>
      <c r="F86" s="82">
        <f>IF(PKB!B36&lt;&gt;"",PKB!F36,"")</f>
        <v/>
      </c>
      <c r="G86" s="82">
        <f>IF(PKB!B36&lt;&gt;"",PKB!G36,"")</f>
        <v/>
      </c>
      <c r="H86" s="92">
        <f>IF(PKB!B36&lt;&gt;"",PKB!H36,"")</f>
        <v/>
      </c>
      <c r="I86" s="92">
        <f>IF(PKB!B36&lt;&gt;"",PKB!I36,"")</f>
        <v/>
      </c>
      <c r="J86" s="82">
        <f>IF(PKB!B36&lt;&gt;"",PKB!J36,"")</f>
        <v/>
      </c>
    </row>
    <row r="87" ht="15.75" customHeight="1" s="52">
      <c r="A87" s="97">
        <f>IF(PKB!B37&lt;&gt;"","PKB","")</f>
        <v/>
      </c>
      <c r="B87" s="78">
        <f>IF(PKB!B37&lt;&gt;"",PKB!B37,"")</f>
        <v/>
      </c>
      <c r="C87" s="78">
        <f>IF(PKB!B37&lt;&gt;"",PKB!C37,"")</f>
        <v/>
      </c>
      <c r="D87" s="78">
        <f>IF(PKB!B37&lt;&gt;"",PKB!D37,"")</f>
        <v/>
      </c>
      <c r="E87" s="78">
        <f>IF(PKB!B37&lt;&gt;"",PKB!E37,"")</f>
        <v/>
      </c>
      <c r="F87" s="78">
        <f>IF(PKB!B37&lt;&gt;"",PKB!F37,"")</f>
        <v/>
      </c>
      <c r="G87" s="78">
        <f>IF(PKB!B37&lt;&gt;"",PKB!G37,"")</f>
        <v/>
      </c>
      <c r="H87" s="97">
        <f>IF(PKB!B37&lt;&gt;"",PKB!H37,"")</f>
        <v/>
      </c>
      <c r="I87" s="97">
        <f>IF(PKB!B37&lt;&gt;"",PKB!I37,"")</f>
        <v/>
      </c>
      <c r="J87" s="78">
        <f>IF(PKB!B37&lt;&gt;"",PKB!J37,"")</f>
        <v/>
      </c>
    </row>
    <row r="88" ht="15.75" customHeight="1" s="52">
      <c r="A88" s="92">
        <f>IF(PKB!B38&lt;&gt;"","PKB","")</f>
        <v/>
      </c>
      <c r="B88" s="82">
        <f>IF(PKB!B38&lt;&gt;"",PKB!B38,"")</f>
        <v/>
      </c>
      <c r="C88" s="82">
        <f>IF(PKB!B38&lt;&gt;"",PKB!C38,"")</f>
        <v/>
      </c>
      <c r="D88" s="82">
        <f>IF(PKB!B38&lt;&gt;"",PKB!D38,"")</f>
        <v/>
      </c>
      <c r="E88" s="82">
        <f>IF(PKB!B38&lt;&gt;"",PKB!E38,"")</f>
        <v/>
      </c>
      <c r="F88" s="82">
        <f>IF(PKB!B38&lt;&gt;"",PKB!F38,"")</f>
        <v/>
      </c>
      <c r="G88" s="82">
        <f>IF(PKB!B38&lt;&gt;"",PKB!G38,"")</f>
        <v/>
      </c>
      <c r="H88" s="92">
        <f>IF(PKB!B38&lt;&gt;"",PKB!H38,"")</f>
        <v/>
      </c>
      <c r="I88" s="92">
        <f>IF(PKB!B38&lt;&gt;"",PKB!I38,"")</f>
        <v/>
      </c>
      <c r="J88" s="82">
        <f>IF(PKB!B38&lt;&gt;"",PKB!J38,"")</f>
        <v/>
      </c>
    </row>
    <row r="89" ht="15.75" customHeight="1" s="52">
      <c r="A89" s="97">
        <f>IF(PKB!B39&lt;&gt;"","PKB","")</f>
        <v/>
      </c>
      <c r="B89" s="78">
        <f>IF(PKB!B39&lt;&gt;"",PKB!B39,"")</f>
        <v/>
      </c>
      <c r="C89" s="78">
        <f>IF(PKB!B39&lt;&gt;"",PKB!C39,"")</f>
        <v/>
      </c>
      <c r="D89" s="78">
        <f>IF(PKB!B39&lt;&gt;"",PKB!D39,"")</f>
        <v/>
      </c>
      <c r="E89" s="78">
        <f>IF(PKB!B39&lt;&gt;"",PKB!E39,"")</f>
        <v/>
      </c>
      <c r="F89" s="78">
        <f>IF(PKB!B39&lt;&gt;"",PKB!F39,"")</f>
        <v/>
      </c>
      <c r="G89" s="78">
        <f>IF(PKB!B39&lt;&gt;"",PKB!G39,"")</f>
        <v/>
      </c>
      <c r="H89" s="97">
        <f>IF(PKB!B39&lt;&gt;"",PKB!H39,"")</f>
        <v/>
      </c>
      <c r="I89" s="97">
        <f>IF(PKB!B39&lt;&gt;"",PKB!I39,"")</f>
        <v/>
      </c>
      <c r="J89" s="78">
        <f>IF(PKB!B39&lt;&gt;"",PKB!J39,"")</f>
        <v/>
      </c>
    </row>
    <row r="90" ht="15.75" customHeight="1" s="52">
      <c r="A90" s="92">
        <f>IF(PKB!B40&lt;&gt;"","PKB","")</f>
        <v/>
      </c>
      <c r="B90" s="82">
        <f>IF(PKB!B40&lt;&gt;"",PKB!B40,"")</f>
        <v/>
      </c>
      <c r="C90" s="82">
        <f>IF(PKB!B40&lt;&gt;"",PKB!C40,"")</f>
        <v/>
      </c>
      <c r="D90" s="82">
        <f>IF(PKB!B40&lt;&gt;"",PKB!D40,"")</f>
        <v/>
      </c>
      <c r="E90" s="82">
        <f>IF(PKB!B40&lt;&gt;"",PKB!E40,"")</f>
        <v/>
      </c>
      <c r="F90" s="82">
        <f>IF(PKB!B40&lt;&gt;"",PKB!F40,"")</f>
        <v/>
      </c>
      <c r="G90" s="82">
        <f>IF(PKB!B40&lt;&gt;"",PKB!G40,"")</f>
        <v/>
      </c>
      <c r="H90" s="92">
        <f>IF(PKB!B40&lt;&gt;"",PKB!H40,"")</f>
        <v/>
      </c>
      <c r="I90" s="92">
        <f>IF(PKB!B40&lt;&gt;"",PKB!I40,"")</f>
        <v/>
      </c>
      <c r="J90" s="82">
        <f>IF(PKB!B40&lt;&gt;"",PKB!J40,"")</f>
        <v/>
      </c>
    </row>
    <row r="91" ht="15.75" customHeight="1" s="52">
      <c r="A91" s="97">
        <f>IF(PKB!B41&lt;&gt;"","PKB","")</f>
        <v/>
      </c>
      <c r="B91" s="78">
        <f>IF(PKB!B41&lt;&gt;"",PKB!B41,"")</f>
        <v/>
      </c>
      <c r="C91" s="78">
        <f>IF(PKB!B41&lt;&gt;"",PKB!C41,"")</f>
        <v/>
      </c>
      <c r="D91" s="78">
        <f>IF(PKB!B41&lt;&gt;"",PKB!D41,"")</f>
        <v/>
      </c>
      <c r="E91" s="78">
        <f>IF(PKB!B41&lt;&gt;"",PKB!E41,"")</f>
        <v/>
      </c>
      <c r="F91" s="78">
        <f>IF(PKB!B41&lt;&gt;"",PKB!F41,"")</f>
        <v/>
      </c>
      <c r="G91" s="78">
        <f>IF(PKB!B41&lt;&gt;"",PKB!G41,"")</f>
        <v/>
      </c>
      <c r="H91" s="97">
        <f>IF(PKB!B41&lt;&gt;"",PKB!H41,"")</f>
        <v/>
      </c>
      <c r="I91" s="97">
        <f>IF(PKB!B41&lt;&gt;"",PKB!I41,"")</f>
        <v/>
      </c>
      <c r="J91" s="78">
        <f>IF(PKB!B41&lt;&gt;"",PKB!J41,"")</f>
        <v/>
      </c>
    </row>
    <row r="92" ht="15.75" customHeight="1" s="52">
      <c r="A92" s="92">
        <f>IF(PKB!B42&lt;&gt;"","PKB","")</f>
        <v/>
      </c>
      <c r="B92" s="82">
        <f>IF(PKB!B42&lt;&gt;"",PKB!B42,"")</f>
        <v/>
      </c>
      <c r="C92" s="82">
        <f>IF(PKB!B42&lt;&gt;"",PKB!C42,"")</f>
        <v/>
      </c>
      <c r="D92" s="82">
        <f>IF(PKB!B42&lt;&gt;"",PKB!D42,"")</f>
        <v/>
      </c>
      <c r="E92" s="82">
        <f>IF(PKB!B42&lt;&gt;"",PKB!E42,"")</f>
        <v/>
      </c>
      <c r="F92" s="82">
        <f>IF(PKB!B42&lt;&gt;"",PKB!F42,"")</f>
        <v/>
      </c>
      <c r="G92" s="82">
        <f>IF(PKB!B42&lt;&gt;"",PKB!G42,"")</f>
        <v/>
      </c>
      <c r="H92" s="92">
        <f>IF(PKB!B42&lt;&gt;"",PKB!H42,"")</f>
        <v/>
      </c>
      <c r="I92" s="92">
        <f>IF(PKB!B42&lt;&gt;"",PKB!I42,"")</f>
        <v/>
      </c>
      <c r="J92" s="82">
        <f>IF(PKB!B42&lt;&gt;"",PKB!J42,"")</f>
        <v/>
      </c>
    </row>
    <row r="93" ht="15.75" customHeight="1" s="52">
      <c r="A93" s="97">
        <f>IF(PKB!B43&lt;&gt;"","PKB","")</f>
        <v/>
      </c>
      <c r="B93" s="78">
        <f>IF(PKB!B43&lt;&gt;"",PKB!B43,"")</f>
        <v/>
      </c>
      <c r="C93" s="78">
        <f>IF(PKB!B43&lt;&gt;"",PKB!C43,"")</f>
        <v/>
      </c>
      <c r="D93" s="78">
        <f>IF(PKB!B43&lt;&gt;"",PKB!D43,"")</f>
        <v/>
      </c>
      <c r="E93" s="78">
        <f>IF(PKB!B43&lt;&gt;"",PKB!E43,"")</f>
        <v/>
      </c>
      <c r="F93" s="78">
        <f>IF(PKB!B43&lt;&gt;"",PKB!F43,"")</f>
        <v/>
      </c>
      <c r="G93" s="78">
        <f>IF(PKB!B43&lt;&gt;"",PKB!G43,"")</f>
        <v/>
      </c>
      <c r="H93" s="97">
        <f>IF(PKB!B43&lt;&gt;"",PKB!H43,"")</f>
        <v/>
      </c>
      <c r="I93" s="97">
        <f>IF(PKB!B43&lt;&gt;"",PKB!I43,"")</f>
        <v/>
      </c>
      <c r="J93" s="78">
        <f>IF(PKB!B43&lt;&gt;"",PKB!J43,"")</f>
        <v/>
      </c>
    </row>
    <row r="94" ht="15.75" customHeight="1" s="52">
      <c r="A94" s="92">
        <f>IF(PKB!B44&lt;&gt;"","PKB","")</f>
        <v/>
      </c>
      <c r="B94" s="82">
        <f>IF(PKB!B44&lt;&gt;"",PKB!B44,"")</f>
        <v/>
      </c>
      <c r="C94" s="82">
        <f>IF(PKB!B44&lt;&gt;"",PKB!C44,"")</f>
        <v/>
      </c>
      <c r="D94" s="82">
        <f>IF(PKB!B44&lt;&gt;"",PKB!D44,"")</f>
        <v/>
      </c>
      <c r="E94" s="82">
        <f>IF(PKB!B44&lt;&gt;"",PKB!E44,"")</f>
        <v/>
      </c>
      <c r="F94" s="82">
        <f>IF(PKB!B44&lt;&gt;"",PKB!F44,"")</f>
        <v/>
      </c>
      <c r="G94" s="82">
        <f>IF(PKB!B44&lt;&gt;"",PKB!G44,"")</f>
        <v/>
      </c>
      <c r="H94" s="92">
        <f>IF(PKB!B44&lt;&gt;"",PKB!H44,"")</f>
        <v/>
      </c>
      <c r="I94" s="92">
        <f>IF(PKB!B44&lt;&gt;"",PKB!I44,"")</f>
        <v/>
      </c>
      <c r="J94" s="82">
        <f>IF(PKB!B44&lt;&gt;"",PKB!J44,"")</f>
        <v/>
      </c>
    </row>
    <row r="95" ht="15.75" customHeight="1" s="52">
      <c r="A95" s="97">
        <f>IF(PKB!B45&lt;&gt;"","PKB","")</f>
        <v/>
      </c>
      <c r="B95" s="78">
        <f>IF(PKB!B45&lt;&gt;"",PKB!B45,"")</f>
        <v/>
      </c>
      <c r="C95" s="78">
        <f>IF(PKB!B45&lt;&gt;"",PKB!C45,"")</f>
        <v/>
      </c>
      <c r="D95" s="78">
        <f>IF(PKB!B45&lt;&gt;"",PKB!D45,"")</f>
        <v/>
      </c>
      <c r="E95" s="78">
        <f>IF(PKB!B45&lt;&gt;"",PKB!E45,"")</f>
        <v/>
      </c>
      <c r="F95" s="78">
        <f>IF(PKB!B45&lt;&gt;"",PKB!F45,"")</f>
        <v/>
      </c>
      <c r="G95" s="78">
        <f>IF(PKB!B45&lt;&gt;"",PKB!G45,"")</f>
        <v/>
      </c>
      <c r="H95" s="97">
        <f>IF(PKB!B45&lt;&gt;"",PKB!H45,"")</f>
        <v/>
      </c>
      <c r="I95" s="97">
        <f>IF(PKB!B45&lt;&gt;"",PKB!I45,"")</f>
        <v/>
      </c>
      <c r="J95" s="78">
        <f>IF(PKB!B45&lt;&gt;"",PKB!J45,"")</f>
        <v/>
      </c>
    </row>
    <row r="96" ht="15.75" customHeight="1" s="52">
      <c r="A96" s="92">
        <f>IF(PKB!B46&lt;&gt;"","PKB","")</f>
        <v/>
      </c>
      <c r="B96" s="82">
        <f>IF(PKB!B46&lt;&gt;"",PKB!B46,"")</f>
        <v/>
      </c>
      <c r="C96" s="82">
        <f>IF(PKB!B46&lt;&gt;"",PKB!C46,"")</f>
        <v/>
      </c>
      <c r="D96" s="82">
        <f>IF(PKB!B46&lt;&gt;"",PKB!D46,"")</f>
        <v/>
      </c>
      <c r="E96" s="82">
        <f>IF(PKB!B46&lt;&gt;"",PKB!E46,"")</f>
        <v/>
      </c>
      <c r="F96" s="82">
        <f>IF(PKB!B46&lt;&gt;"",PKB!F46,"")</f>
        <v/>
      </c>
      <c r="G96" s="82">
        <f>IF(PKB!B46&lt;&gt;"",PKB!G46,"")</f>
        <v/>
      </c>
      <c r="H96" s="92">
        <f>IF(PKB!B46&lt;&gt;"",PKB!H46,"")</f>
        <v/>
      </c>
      <c r="I96" s="92">
        <f>IF(PKB!B46&lt;&gt;"",PKB!I46,"")</f>
        <v/>
      </c>
      <c r="J96" s="82">
        <f>IF(PKB!B46&lt;&gt;"",PKB!J46,"")</f>
        <v/>
      </c>
    </row>
    <row r="97" ht="15.75" customHeight="1" s="52">
      <c r="A97" s="97">
        <f>IF(PKB!B47&lt;&gt;"","PKB","")</f>
        <v/>
      </c>
      <c r="B97" s="78">
        <f>IF(PKB!B47&lt;&gt;"",PKB!B47,"")</f>
        <v/>
      </c>
      <c r="C97" s="78">
        <f>IF(PKB!B47&lt;&gt;"",PKB!C47,"")</f>
        <v/>
      </c>
      <c r="D97" s="78">
        <f>IF(PKB!B47&lt;&gt;"",PKB!D47,"")</f>
        <v/>
      </c>
      <c r="E97" s="78">
        <f>IF(PKB!B47&lt;&gt;"",PKB!E47,"")</f>
        <v/>
      </c>
      <c r="F97" s="78">
        <f>IF(PKB!B47&lt;&gt;"",PKB!F47,"")</f>
        <v/>
      </c>
      <c r="G97" s="78">
        <f>IF(PKB!B47&lt;&gt;"",PKB!G47,"")</f>
        <v/>
      </c>
      <c r="H97" s="97">
        <f>IF(PKB!B47&lt;&gt;"",PKB!H47,"")</f>
        <v/>
      </c>
      <c r="I97" s="97">
        <f>IF(PKB!B47&lt;&gt;"",PKB!I47,"")</f>
        <v/>
      </c>
      <c r="J97" s="78">
        <f>IF(PKB!B47&lt;&gt;"",PKB!J47,"")</f>
        <v/>
      </c>
    </row>
    <row r="98" ht="15.75" customHeight="1" s="52">
      <c r="A98" s="92">
        <f>IF(PKB!B48&lt;&gt;"","PKB","")</f>
        <v/>
      </c>
      <c r="B98" s="82">
        <f>IF(PKB!B48&lt;&gt;"",PKB!B48,"")</f>
        <v/>
      </c>
      <c r="C98" s="82">
        <f>IF(PKB!B48&lt;&gt;"",PKB!C48,"")</f>
        <v/>
      </c>
      <c r="D98" s="82">
        <f>IF(PKB!B48&lt;&gt;"",PKB!D48,"")</f>
        <v/>
      </c>
      <c r="E98" s="82">
        <f>IF(PKB!B48&lt;&gt;"",PKB!E48,"")</f>
        <v/>
      </c>
      <c r="F98" s="82">
        <f>IF(PKB!B48&lt;&gt;"",PKB!F48,"")</f>
        <v/>
      </c>
      <c r="G98" s="82">
        <f>IF(PKB!B48&lt;&gt;"",PKB!G48,"")</f>
        <v/>
      </c>
      <c r="H98" s="92">
        <f>IF(PKB!B48&lt;&gt;"",PKB!H48,"")</f>
        <v/>
      </c>
      <c r="I98" s="92">
        <f>IF(PKB!B48&lt;&gt;"",PKB!I48,"")</f>
        <v/>
      </c>
      <c r="J98" s="82">
        <f>IF(PKB!B48&lt;&gt;"",PKB!J48,"")</f>
        <v/>
      </c>
    </row>
    <row r="99" ht="15.75" customHeight="1" s="52">
      <c r="A99" s="97">
        <f>IF(PKB!B49&lt;&gt;"","PKB","")</f>
        <v/>
      </c>
      <c r="B99" s="78">
        <f>IF(PKB!B49&lt;&gt;"",PKB!B49,"")</f>
        <v/>
      </c>
      <c r="C99" s="78">
        <f>IF(PKB!B49&lt;&gt;"",PKB!C49,"")</f>
        <v/>
      </c>
      <c r="D99" s="78">
        <f>IF(PKB!B49&lt;&gt;"",PKB!D49,"")</f>
        <v/>
      </c>
      <c r="E99" s="78">
        <f>IF(PKB!B49&lt;&gt;"",PKB!E49,"")</f>
        <v/>
      </c>
      <c r="F99" s="78">
        <f>IF(PKB!B49&lt;&gt;"",PKB!F49,"")</f>
        <v/>
      </c>
      <c r="G99" s="78">
        <f>IF(PKB!B49&lt;&gt;"",PKB!G49,"")</f>
        <v/>
      </c>
      <c r="H99" s="97">
        <f>IF(PKB!B49&lt;&gt;"",PKB!H49,"")</f>
        <v/>
      </c>
      <c r="I99" s="97">
        <f>IF(PKB!B49&lt;&gt;"",PKB!I49,"")</f>
        <v/>
      </c>
      <c r="J99" s="78">
        <f>IF(PKB!B49&lt;&gt;"",PKB!J49,"")</f>
        <v/>
      </c>
    </row>
    <row r="100" ht="15.75" customHeight="1" s="52">
      <c r="A100" s="92">
        <f>IF(PKB!B50&lt;&gt;"","PKB","")</f>
        <v/>
      </c>
      <c r="B100" s="82">
        <f>IF(PKB!B50&lt;&gt;"",PKB!B50,"")</f>
        <v/>
      </c>
      <c r="C100" s="82">
        <f>IF(PKB!B50&lt;&gt;"",PKB!C50,"")</f>
        <v/>
      </c>
      <c r="D100" s="82">
        <f>IF(PKB!B50&lt;&gt;"",PKB!D50,"")</f>
        <v/>
      </c>
      <c r="E100" s="82">
        <f>IF(PKB!B50&lt;&gt;"",PKB!E50,"")</f>
        <v/>
      </c>
      <c r="F100" s="82">
        <f>IF(PKB!B50&lt;&gt;"",PKB!F50,"")</f>
        <v/>
      </c>
      <c r="G100" s="82">
        <f>IF(PKB!B50&lt;&gt;"",PKB!G50,"")</f>
        <v/>
      </c>
      <c r="H100" s="92">
        <f>IF(PKB!B50&lt;&gt;"",PKB!H50,"")</f>
        <v/>
      </c>
      <c r="I100" s="92">
        <f>IF(PKB!B50&lt;&gt;"",PKB!I50,"")</f>
        <v/>
      </c>
      <c r="J100" s="82">
        <f>IF(PKB!B50&lt;&gt;"",PKB!J50,"")</f>
        <v/>
      </c>
    </row>
    <row r="101" ht="15.75" customHeight="1" s="52">
      <c r="A101" s="97">
        <f>IF(PKB!B51&lt;&gt;"","PKB","")</f>
        <v/>
      </c>
      <c r="B101" s="78">
        <f>IF(PKB!B51&lt;&gt;"",PKB!B51,"")</f>
        <v/>
      </c>
      <c r="C101" s="78">
        <f>IF(PKB!B51&lt;&gt;"",PKB!C51,"")</f>
        <v/>
      </c>
      <c r="D101" s="78">
        <f>IF(PKB!B51&lt;&gt;"",PKB!D51,"")</f>
        <v/>
      </c>
      <c r="E101" s="78">
        <f>IF(PKB!B51&lt;&gt;"",PKB!E51,"")</f>
        <v/>
      </c>
      <c r="F101" s="78">
        <f>IF(PKB!B51&lt;&gt;"",PKB!F51,"")</f>
        <v/>
      </c>
      <c r="G101" s="78">
        <f>IF(PKB!B51&lt;&gt;"",PKB!G51,"")</f>
        <v/>
      </c>
      <c r="H101" s="97">
        <f>IF(PKB!B51&lt;&gt;"",PKB!H51,"")</f>
        <v/>
      </c>
      <c r="I101" s="97">
        <f>IF(PKB!B51&lt;&gt;"",PKB!I51,"")</f>
        <v/>
      </c>
      <c r="J101" s="78">
        <f>IF(PKB!B51&lt;&gt;"",PKB!J51,"")</f>
        <v/>
      </c>
    </row>
    <row r="102" ht="15.75" customHeight="1" s="52">
      <c r="A102" s="92">
        <f>IF(PKB!B52&lt;&gt;"","PKB","")</f>
        <v/>
      </c>
      <c r="B102" s="82">
        <f>IF(PKB!B52&lt;&gt;"",PKB!B52,"")</f>
        <v/>
      </c>
      <c r="C102" s="82">
        <f>IF(PKB!B52&lt;&gt;"",PKB!C52,"")</f>
        <v/>
      </c>
      <c r="D102" s="82">
        <f>IF(PKB!B52&lt;&gt;"",PKB!D52,"")</f>
        <v/>
      </c>
      <c r="E102" s="82">
        <f>IF(PKB!B52&lt;&gt;"",PKB!E52,"")</f>
        <v/>
      </c>
      <c r="F102" s="82">
        <f>IF(PKB!B52&lt;&gt;"",PKB!F52,"")</f>
        <v/>
      </c>
      <c r="G102" s="82">
        <f>IF(PKB!B52&lt;&gt;"",PKB!G52,"")</f>
        <v/>
      </c>
      <c r="H102" s="92">
        <f>IF(PKB!B52&lt;&gt;"",PKB!H52,"")</f>
        <v/>
      </c>
      <c r="I102" s="92">
        <f>IF(PKB!B52&lt;&gt;"",PKB!I52,"")</f>
        <v/>
      </c>
      <c r="J102" s="82">
        <f>IF(PKB!B52&lt;&gt;"",PKB!J52,"")</f>
        <v/>
      </c>
    </row>
    <row r="103" ht="15.75" customHeight="1" s="52">
      <c r="A103" s="97">
        <f>IF(PKB!B53&lt;&gt;"","PKB","")</f>
        <v/>
      </c>
      <c r="B103" s="78">
        <f>IF(PKB!B53&lt;&gt;"",PKB!B53,"")</f>
        <v/>
      </c>
      <c r="C103" s="78">
        <f>IF(PKB!B53&lt;&gt;"",PKB!C53,"")</f>
        <v/>
      </c>
      <c r="D103" s="78">
        <f>IF(PKB!B53&lt;&gt;"",PKB!D53,"")</f>
        <v/>
      </c>
      <c r="E103" s="78">
        <f>IF(PKB!B53&lt;&gt;"",PKB!E53,"")</f>
        <v/>
      </c>
      <c r="F103" s="78">
        <f>IF(PKB!B53&lt;&gt;"",PKB!F53,"")</f>
        <v/>
      </c>
      <c r="G103" s="78">
        <f>IF(PKB!B53&lt;&gt;"",PKB!G53,"")</f>
        <v/>
      </c>
      <c r="H103" s="97">
        <f>IF(PKB!B53&lt;&gt;"",PKB!H53,"")</f>
        <v/>
      </c>
      <c r="I103" s="97">
        <f>IF(PKB!B53&lt;&gt;"",PKB!I53,"")</f>
        <v/>
      </c>
      <c r="J103" s="78">
        <f>IF(PKB!B53&lt;&gt;"",PKB!J53,"")</f>
        <v/>
      </c>
    </row>
    <row r="104" ht="15.75" customHeight="1" s="52">
      <c r="A104" s="92">
        <f>IF(PKB!B54&lt;&gt;"","PKB","")</f>
        <v/>
      </c>
      <c r="B104" s="82">
        <f>IF(PKB!B54&lt;&gt;"",PKB!B54,"")</f>
        <v/>
      </c>
      <c r="C104" s="82">
        <f>IF(PKB!B54&lt;&gt;"",PKB!C54,"")</f>
        <v/>
      </c>
      <c r="D104" s="82">
        <f>IF(PKB!B54&lt;&gt;"",PKB!D54,"")</f>
        <v/>
      </c>
      <c r="E104" s="82">
        <f>IF(PKB!B54&lt;&gt;"",PKB!E54,"")</f>
        <v/>
      </c>
      <c r="F104" s="82">
        <f>IF(PKB!B54&lt;&gt;"",PKB!F54,"")</f>
        <v/>
      </c>
      <c r="G104" s="82">
        <f>IF(PKB!B54&lt;&gt;"",PKB!G54,"")</f>
        <v/>
      </c>
      <c r="H104" s="92">
        <f>IF(PKB!B54&lt;&gt;"",PKB!H54,"")</f>
        <v/>
      </c>
      <c r="I104" s="92">
        <f>IF(PKB!B54&lt;&gt;"",PKB!I54,"")</f>
        <v/>
      </c>
      <c r="J104" s="82">
        <f>IF(PKB!B54&lt;&gt;"",PKB!J54,"")</f>
        <v/>
      </c>
    </row>
    <row r="105" ht="15.75" customHeight="1" s="52">
      <c r="A105" s="97">
        <f>IF(PKC!B5&lt;&gt;"","PKC","")</f>
        <v/>
      </c>
      <c r="B105" s="78">
        <f>IF(PKC!B5&lt;&gt;"",PKC!B5,"")</f>
        <v/>
      </c>
      <c r="C105" s="78">
        <f>IF(PKC!B5&lt;&gt;"",PKC!C5,"")</f>
        <v/>
      </c>
      <c r="D105" s="78">
        <f>IF(PKC!B5&lt;&gt;"",PKC!D5,"")</f>
        <v/>
      </c>
      <c r="E105" s="78">
        <f>IF(PKC!B5&lt;&gt;"",PKC!E5,"")</f>
        <v/>
      </c>
      <c r="F105" s="78">
        <f>IF(PKC!B5&lt;&gt;"",PKC!F5,"")</f>
        <v/>
      </c>
      <c r="G105" s="78">
        <f>IF(PKC!B5&lt;&gt;"",PKC!G5,"")</f>
        <v/>
      </c>
      <c r="H105" s="97">
        <f>IF(PKC!B5&lt;&gt;"",PKC!H5,"")</f>
        <v/>
      </c>
      <c r="I105" s="97">
        <f>IF(PKC!B5&lt;&gt;"",PKC!I5,"")</f>
        <v/>
      </c>
      <c r="J105" s="78">
        <f>IF(PKC!B5&lt;&gt;"",PKC!J5,"")</f>
        <v/>
      </c>
    </row>
    <row r="106" ht="15.75" customHeight="1" s="52">
      <c r="A106" s="92">
        <f>IF(PKC!B6&lt;&gt;"","PKC","")</f>
        <v/>
      </c>
      <c r="B106" s="82">
        <f>IF(PKC!B6&lt;&gt;"",PKC!B6,"")</f>
        <v/>
      </c>
      <c r="C106" s="82">
        <f>IF(PKC!B6&lt;&gt;"",PKC!C6,"")</f>
        <v/>
      </c>
      <c r="D106" s="82">
        <f>IF(PKC!B6&lt;&gt;"",PKC!D6,"")</f>
        <v/>
      </c>
      <c r="E106" s="82">
        <f>IF(PKC!B6&lt;&gt;"",PKC!E6,"")</f>
        <v/>
      </c>
      <c r="F106" s="82">
        <f>IF(PKC!B6&lt;&gt;"",PKC!F6,"")</f>
        <v/>
      </c>
      <c r="G106" s="82">
        <f>IF(PKC!B6&lt;&gt;"",PKC!G6,"")</f>
        <v/>
      </c>
      <c r="H106" s="92">
        <f>IF(PKC!B6&lt;&gt;"",PKC!H6,"")</f>
        <v/>
      </c>
      <c r="I106" s="92">
        <f>IF(PKC!B6&lt;&gt;"",PKC!I6,"")</f>
        <v/>
      </c>
      <c r="J106" s="82">
        <f>IF(PKC!B6&lt;&gt;"",PKC!J6,"")</f>
        <v/>
      </c>
    </row>
    <row r="107" ht="15.75" customHeight="1" s="52">
      <c r="A107" s="97">
        <f>IF(PKC!B7&lt;&gt;"","PKC","")</f>
        <v/>
      </c>
      <c r="B107" s="78">
        <f>IF(PKC!B7&lt;&gt;"",PKC!B7,"")</f>
        <v/>
      </c>
      <c r="C107" s="78">
        <f>IF(PKC!B7&lt;&gt;"",PKC!C7,"")</f>
        <v/>
      </c>
      <c r="D107" s="78">
        <f>IF(PKC!B7&lt;&gt;"",PKC!D7,"")</f>
        <v/>
      </c>
      <c r="E107" s="78">
        <f>IF(PKC!B7&lt;&gt;"",PKC!E7,"")</f>
        <v/>
      </c>
      <c r="F107" s="78">
        <f>IF(PKC!B7&lt;&gt;"",PKC!F7,"")</f>
        <v/>
      </c>
      <c r="G107" s="78">
        <f>IF(PKC!B7&lt;&gt;"",PKC!G7,"")</f>
        <v/>
      </c>
      <c r="H107" s="97">
        <f>IF(PKC!B7&lt;&gt;"",PKC!H7,"")</f>
        <v/>
      </c>
      <c r="I107" s="97">
        <f>IF(PKC!B7&lt;&gt;"",PKC!I7,"")</f>
        <v/>
      </c>
      <c r="J107" s="78">
        <f>IF(PKC!B7&lt;&gt;"",PKC!J7,"")</f>
        <v/>
      </c>
    </row>
    <row r="108" ht="15.75" customHeight="1" s="52">
      <c r="A108" s="92">
        <f>IF(PKC!B8&lt;&gt;"","PKC","")</f>
        <v/>
      </c>
      <c r="B108" s="82">
        <f>IF(PKC!B8&lt;&gt;"",PKC!B8,"")</f>
        <v/>
      </c>
      <c r="C108" s="82">
        <f>IF(PKC!B8&lt;&gt;"",PKC!C8,"")</f>
        <v/>
      </c>
      <c r="D108" s="82">
        <f>IF(PKC!B8&lt;&gt;"",PKC!D8,"")</f>
        <v/>
      </c>
      <c r="E108" s="82">
        <f>IF(PKC!B8&lt;&gt;"",PKC!E8,"")</f>
        <v/>
      </c>
      <c r="F108" s="82">
        <f>IF(PKC!B8&lt;&gt;"",PKC!F8,"")</f>
        <v/>
      </c>
      <c r="G108" s="82">
        <f>IF(PKC!B8&lt;&gt;"",PKC!G8,"")</f>
        <v/>
      </c>
      <c r="H108" s="92">
        <f>IF(PKC!B8&lt;&gt;"",PKC!H8,"")</f>
        <v/>
      </c>
      <c r="I108" s="92">
        <f>IF(PKC!B8&lt;&gt;"",PKC!I8,"")</f>
        <v/>
      </c>
      <c r="J108" s="82">
        <f>IF(PKC!B8&lt;&gt;"",PKC!J8,"")</f>
        <v/>
      </c>
    </row>
    <row r="109" ht="15.75" customHeight="1" s="52">
      <c r="A109" s="97">
        <f>IF(PKC!B9&lt;&gt;"","PKC","")</f>
        <v/>
      </c>
      <c r="B109" s="78">
        <f>IF(PKC!B9&lt;&gt;"",PKC!B9,"")</f>
        <v/>
      </c>
      <c r="C109" s="78">
        <f>IF(PKC!B9&lt;&gt;"",PKC!C9,"")</f>
        <v/>
      </c>
      <c r="D109" s="78">
        <f>IF(PKC!B9&lt;&gt;"",PKC!D9,"")</f>
        <v/>
      </c>
      <c r="E109" s="78">
        <f>IF(PKC!B9&lt;&gt;"",PKC!E9,"")</f>
        <v/>
      </c>
      <c r="F109" s="78">
        <f>IF(PKC!B9&lt;&gt;"",PKC!F9,"")</f>
        <v/>
      </c>
      <c r="G109" s="78">
        <f>IF(PKC!B9&lt;&gt;"",PKC!G9,"")</f>
        <v/>
      </c>
      <c r="H109" s="97">
        <f>IF(PKC!B9&lt;&gt;"",PKC!H9,"")</f>
        <v/>
      </c>
      <c r="I109" s="97">
        <f>IF(PKC!B9&lt;&gt;"",PKC!I9,"")</f>
        <v/>
      </c>
      <c r="J109" s="78">
        <f>IF(PKC!B9&lt;&gt;"",PKC!J9,"")</f>
        <v/>
      </c>
    </row>
    <row r="110" ht="15.75" customHeight="1" s="52">
      <c r="A110" s="92">
        <f>IF(PKC!B10&lt;&gt;"","PKC","")</f>
        <v/>
      </c>
      <c r="B110" s="82">
        <f>IF(PKC!B10&lt;&gt;"",PKC!B10,"")</f>
        <v/>
      </c>
      <c r="C110" s="82">
        <f>IF(PKC!B10&lt;&gt;"",PKC!C10,"")</f>
        <v/>
      </c>
      <c r="D110" s="82">
        <f>IF(PKC!B10&lt;&gt;"",PKC!D10,"")</f>
        <v/>
      </c>
      <c r="E110" s="82">
        <f>IF(PKC!B10&lt;&gt;"",PKC!E10,"")</f>
        <v/>
      </c>
      <c r="F110" s="82">
        <f>IF(PKC!B10&lt;&gt;"",PKC!F10,"")</f>
        <v/>
      </c>
      <c r="G110" s="82">
        <f>IF(PKC!B10&lt;&gt;"",PKC!G10,"")</f>
        <v/>
      </c>
      <c r="H110" s="92">
        <f>IF(PKC!B10&lt;&gt;"",PKC!H10,"")</f>
        <v/>
      </c>
      <c r="I110" s="92">
        <f>IF(PKC!B10&lt;&gt;"",PKC!I10,"")</f>
        <v/>
      </c>
      <c r="J110" s="82">
        <f>IF(PKC!B10&lt;&gt;"",PKC!J10,"")</f>
        <v/>
      </c>
    </row>
    <row r="111" ht="15.75" customHeight="1" s="52">
      <c r="A111" s="97">
        <f>IF(PKC!B11&lt;&gt;"","PKC","")</f>
        <v/>
      </c>
      <c r="B111" s="78">
        <f>IF(PKC!B11&lt;&gt;"",PKC!B11,"")</f>
        <v/>
      </c>
      <c r="C111" s="78">
        <f>IF(PKC!B11&lt;&gt;"",PKC!C11,"")</f>
        <v/>
      </c>
      <c r="D111" s="78">
        <f>IF(PKC!B11&lt;&gt;"",PKC!D11,"")</f>
        <v/>
      </c>
      <c r="E111" s="78">
        <f>IF(PKC!B11&lt;&gt;"",PKC!E11,"")</f>
        <v/>
      </c>
      <c r="F111" s="78">
        <f>IF(PKC!B11&lt;&gt;"",PKC!F11,"")</f>
        <v/>
      </c>
      <c r="G111" s="78">
        <f>IF(PKC!B11&lt;&gt;"",PKC!G11,"")</f>
        <v/>
      </c>
      <c r="H111" s="97">
        <f>IF(PKC!B11&lt;&gt;"",PKC!H11,"")</f>
        <v/>
      </c>
      <c r="I111" s="97">
        <f>IF(PKC!B11&lt;&gt;"",PKC!I11,"")</f>
        <v/>
      </c>
      <c r="J111" s="78">
        <f>IF(PKC!B11&lt;&gt;"",PKC!J11,"")</f>
        <v/>
      </c>
    </row>
    <row r="112" ht="15.75" customHeight="1" s="52">
      <c r="A112" s="92">
        <f>IF(PKC!B12&lt;&gt;"","PKC","")</f>
        <v/>
      </c>
      <c r="B112" s="82">
        <f>IF(PKC!B12&lt;&gt;"",PKC!B12,"")</f>
        <v/>
      </c>
      <c r="C112" s="82">
        <f>IF(PKC!B12&lt;&gt;"",PKC!C12,"")</f>
        <v/>
      </c>
      <c r="D112" s="82">
        <f>IF(PKC!B12&lt;&gt;"",PKC!D12,"")</f>
        <v/>
      </c>
      <c r="E112" s="82">
        <f>IF(PKC!B12&lt;&gt;"",PKC!E12,"")</f>
        <v/>
      </c>
      <c r="F112" s="82">
        <f>IF(PKC!B12&lt;&gt;"",PKC!F12,"")</f>
        <v/>
      </c>
      <c r="G112" s="82">
        <f>IF(PKC!B12&lt;&gt;"",PKC!G12,"")</f>
        <v/>
      </c>
      <c r="H112" s="92">
        <f>IF(PKC!B12&lt;&gt;"",PKC!H12,"")</f>
        <v/>
      </c>
      <c r="I112" s="92">
        <f>IF(PKC!B12&lt;&gt;"",PKC!I12,"")</f>
        <v/>
      </c>
      <c r="J112" s="82">
        <f>IF(PKC!B12&lt;&gt;"",PKC!J12,"")</f>
        <v/>
      </c>
    </row>
    <row r="113" ht="15.75" customHeight="1" s="52">
      <c r="A113" s="97">
        <f>IF(PKC!B13&lt;&gt;"","PKC","")</f>
        <v/>
      </c>
      <c r="B113" s="78">
        <f>IF(PKC!B13&lt;&gt;"",PKC!B13,"")</f>
        <v/>
      </c>
      <c r="C113" s="78">
        <f>IF(PKC!B13&lt;&gt;"",PKC!C13,"")</f>
        <v/>
      </c>
      <c r="D113" s="78">
        <f>IF(PKC!B13&lt;&gt;"",PKC!D13,"")</f>
        <v/>
      </c>
      <c r="E113" s="78">
        <f>IF(PKC!B13&lt;&gt;"",PKC!E13,"")</f>
        <v/>
      </c>
      <c r="F113" s="78">
        <f>IF(PKC!B13&lt;&gt;"",PKC!F13,"")</f>
        <v/>
      </c>
      <c r="G113" s="78">
        <f>IF(PKC!B13&lt;&gt;"",PKC!G13,"")</f>
        <v/>
      </c>
      <c r="H113" s="97">
        <f>IF(PKC!B13&lt;&gt;"",PKC!H13,"")</f>
        <v/>
      </c>
      <c r="I113" s="97">
        <f>IF(PKC!B13&lt;&gt;"",PKC!I13,"")</f>
        <v/>
      </c>
      <c r="J113" s="78">
        <f>IF(PKC!B13&lt;&gt;"",PKC!J13,"")</f>
        <v/>
      </c>
    </row>
    <row r="114" ht="15.75" customHeight="1" s="52">
      <c r="A114" s="92">
        <f>IF(PKC!B14&lt;&gt;"","PKC","")</f>
        <v/>
      </c>
      <c r="B114" s="82">
        <f>IF(PKC!B14&lt;&gt;"",PKC!B14,"")</f>
        <v/>
      </c>
      <c r="C114" s="82">
        <f>IF(PKC!B14&lt;&gt;"",PKC!C14,"")</f>
        <v/>
      </c>
      <c r="D114" s="82">
        <f>IF(PKC!B14&lt;&gt;"",PKC!D14,"")</f>
        <v/>
      </c>
      <c r="E114" s="82">
        <f>IF(PKC!B14&lt;&gt;"",PKC!E14,"")</f>
        <v/>
      </c>
      <c r="F114" s="82">
        <f>IF(PKC!B14&lt;&gt;"",PKC!F14,"")</f>
        <v/>
      </c>
      <c r="G114" s="82">
        <f>IF(PKC!B14&lt;&gt;"",PKC!G14,"")</f>
        <v/>
      </c>
      <c r="H114" s="92">
        <f>IF(PKC!B14&lt;&gt;"",PKC!H14,"")</f>
        <v/>
      </c>
      <c r="I114" s="92">
        <f>IF(PKC!B14&lt;&gt;"",PKC!I14,"")</f>
        <v/>
      </c>
      <c r="J114" s="82">
        <f>IF(PKC!B14&lt;&gt;"",PKC!J14,"")</f>
        <v/>
      </c>
    </row>
    <row r="115" ht="15.75" customHeight="1" s="52">
      <c r="A115" s="97">
        <f>IF(PKC!B15&lt;&gt;"","PKC","")</f>
        <v/>
      </c>
      <c r="B115" s="78">
        <f>IF(PKC!B15&lt;&gt;"",PKC!B15,"")</f>
        <v/>
      </c>
      <c r="C115" s="78">
        <f>IF(PKC!B15&lt;&gt;"",PKC!C15,"")</f>
        <v/>
      </c>
      <c r="D115" s="78">
        <f>IF(PKC!B15&lt;&gt;"",PKC!D15,"")</f>
        <v/>
      </c>
      <c r="E115" s="78">
        <f>IF(PKC!B15&lt;&gt;"",PKC!E15,"")</f>
        <v/>
      </c>
      <c r="F115" s="78">
        <f>IF(PKC!B15&lt;&gt;"",PKC!F15,"")</f>
        <v/>
      </c>
      <c r="G115" s="78">
        <f>IF(PKC!B15&lt;&gt;"",PKC!G15,"")</f>
        <v/>
      </c>
      <c r="H115" s="97">
        <f>IF(PKC!B15&lt;&gt;"",PKC!H15,"")</f>
        <v/>
      </c>
      <c r="I115" s="97">
        <f>IF(PKC!B15&lt;&gt;"",PKC!I15,"")</f>
        <v/>
      </c>
      <c r="J115" s="78">
        <f>IF(PKC!B15&lt;&gt;"",PKC!J15,"")</f>
        <v/>
      </c>
    </row>
    <row r="116" ht="15.75" customHeight="1" s="52">
      <c r="A116" s="92">
        <f>IF(PKC!B16&lt;&gt;"","PKC","")</f>
        <v/>
      </c>
      <c r="B116" s="82">
        <f>IF(PKC!B16&lt;&gt;"",PKC!B16,"")</f>
        <v/>
      </c>
      <c r="C116" s="82">
        <f>IF(PKC!B16&lt;&gt;"",PKC!C16,"")</f>
        <v/>
      </c>
      <c r="D116" s="82">
        <f>IF(PKC!B16&lt;&gt;"",PKC!D16,"")</f>
        <v/>
      </c>
      <c r="E116" s="82">
        <f>IF(PKC!B16&lt;&gt;"",PKC!E16,"")</f>
        <v/>
      </c>
      <c r="F116" s="82">
        <f>IF(PKC!B16&lt;&gt;"",PKC!F16,"")</f>
        <v/>
      </c>
      <c r="G116" s="82">
        <f>IF(PKC!B16&lt;&gt;"",PKC!G16,"")</f>
        <v/>
      </c>
      <c r="H116" s="92">
        <f>IF(PKC!B16&lt;&gt;"",PKC!H16,"")</f>
        <v/>
      </c>
      <c r="I116" s="92">
        <f>IF(PKC!B16&lt;&gt;"",PKC!I16,"")</f>
        <v/>
      </c>
      <c r="J116" s="82">
        <f>IF(PKC!B16&lt;&gt;"",PKC!J16,"")</f>
        <v/>
      </c>
    </row>
    <row r="117" ht="15.75" customHeight="1" s="52">
      <c r="A117" s="97">
        <f>IF(PKC!B17&lt;&gt;"","PKC","")</f>
        <v/>
      </c>
      <c r="B117" s="78">
        <f>IF(PKC!B17&lt;&gt;"",PKC!B17,"")</f>
        <v/>
      </c>
      <c r="C117" s="78">
        <f>IF(PKC!B17&lt;&gt;"",PKC!C17,"")</f>
        <v/>
      </c>
      <c r="D117" s="78">
        <f>IF(PKC!B17&lt;&gt;"",PKC!D17,"")</f>
        <v/>
      </c>
      <c r="E117" s="78">
        <f>IF(PKC!B17&lt;&gt;"",PKC!E17,"")</f>
        <v/>
      </c>
      <c r="F117" s="78">
        <f>IF(PKC!B17&lt;&gt;"",PKC!F17,"")</f>
        <v/>
      </c>
      <c r="G117" s="78">
        <f>IF(PKC!B17&lt;&gt;"",PKC!G17,"")</f>
        <v/>
      </c>
      <c r="H117" s="97">
        <f>IF(PKC!B17&lt;&gt;"",PKC!H17,"")</f>
        <v/>
      </c>
      <c r="I117" s="97">
        <f>IF(PKC!B17&lt;&gt;"",PKC!I17,"")</f>
        <v/>
      </c>
      <c r="J117" s="78">
        <f>IF(PKC!B17&lt;&gt;"",PKC!J17,"")</f>
        <v/>
      </c>
    </row>
    <row r="118" ht="15.75" customHeight="1" s="52">
      <c r="A118" s="92">
        <f>IF(PKC!B18&lt;&gt;"","PKC","")</f>
        <v/>
      </c>
      <c r="B118" s="82">
        <f>IF(PKC!B18&lt;&gt;"",PKC!B18,"")</f>
        <v/>
      </c>
      <c r="C118" s="82">
        <f>IF(PKC!B18&lt;&gt;"",PKC!C18,"")</f>
        <v/>
      </c>
      <c r="D118" s="82">
        <f>IF(PKC!B18&lt;&gt;"",PKC!D18,"")</f>
        <v/>
      </c>
      <c r="E118" s="82">
        <f>IF(PKC!B18&lt;&gt;"",PKC!E18,"")</f>
        <v/>
      </c>
      <c r="F118" s="82">
        <f>IF(PKC!B18&lt;&gt;"",PKC!F18,"")</f>
        <v/>
      </c>
      <c r="G118" s="82">
        <f>IF(PKC!B18&lt;&gt;"",PKC!G18,"")</f>
        <v/>
      </c>
      <c r="H118" s="92">
        <f>IF(PKC!B18&lt;&gt;"",PKC!H18,"")</f>
        <v/>
      </c>
      <c r="I118" s="92">
        <f>IF(PKC!B18&lt;&gt;"",PKC!I18,"")</f>
        <v/>
      </c>
      <c r="J118" s="82">
        <f>IF(PKC!B18&lt;&gt;"",PKC!J18,"")</f>
        <v/>
      </c>
    </row>
    <row r="119" ht="15.75" customHeight="1" s="52">
      <c r="A119" s="97">
        <f>IF(PKC!B19&lt;&gt;"","PKC","")</f>
        <v/>
      </c>
      <c r="B119" s="78">
        <f>IF(PKC!B19&lt;&gt;"",PKC!B19,"")</f>
        <v/>
      </c>
      <c r="C119" s="78">
        <f>IF(PKC!B19&lt;&gt;"",PKC!C19,"")</f>
        <v/>
      </c>
      <c r="D119" s="78">
        <f>IF(PKC!B19&lt;&gt;"",PKC!D19,"")</f>
        <v/>
      </c>
      <c r="E119" s="78">
        <f>IF(PKC!B19&lt;&gt;"",PKC!E19,"")</f>
        <v/>
      </c>
      <c r="F119" s="78">
        <f>IF(PKC!B19&lt;&gt;"",PKC!F19,"")</f>
        <v/>
      </c>
      <c r="G119" s="78">
        <f>IF(PKC!B19&lt;&gt;"",PKC!G19,"")</f>
        <v/>
      </c>
      <c r="H119" s="97">
        <f>IF(PKC!B19&lt;&gt;"",PKC!H19,"")</f>
        <v/>
      </c>
      <c r="I119" s="97">
        <f>IF(PKC!B19&lt;&gt;"",PKC!I19,"")</f>
        <v/>
      </c>
      <c r="J119" s="78">
        <f>IF(PKC!B19&lt;&gt;"",PKC!J19,"")</f>
        <v/>
      </c>
    </row>
    <row r="120" ht="15.75" customHeight="1" s="52">
      <c r="A120" s="92">
        <f>IF(PKC!B20&lt;&gt;"","PKC","")</f>
        <v/>
      </c>
      <c r="B120" s="82">
        <f>IF(PKC!B20&lt;&gt;"",PKC!B20,"")</f>
        <v/>
      </c>
      <c r="C120" s="82">
        <f>IF(PKC!B20&lt;&gt;"",PKC!C20,"")</f>
        <v/>
      </c>
      <c r="D120" s="82">
        <f>IF(PKC!B20&lt;&gt;"",PKC!D20,"")</f>
        <v/>
      </c>
      <c r="E120" s="82">
        <f>IF(PKC!B20&lt;&gt;"",PKC!E20,"")</f>
        <v/>
      </c>
      <c r="F120" s="82">
        <f>IF(PKC!B20&lt;&gt;"",PKC!F20,"")</f>
        <v/>
      </c>
      <c r="G120" s="82">
        <f>IF(PKC!B20&lt;&gt;"",PKC!G20,"")</f>
        <v/>
      </c>
      <c r="H120" s="92">
        <f>IF(PKC!B20&lt;&gt;"",PKC!H20,"")</f>
        <v/>
      </c>
      <c r="I120" s="92">
        <f>IF(PKC!B20&lt;&gt;"",PKC!I20,"")</f>
        <v/>
      </c>
      <c r="J120" s="82">
        <f>IF(PKC!B20&lt;&gt;"",PKC!J20,"")</f>
        <v/>
      </c>
    </row>
    <row r="121" ht="15.75" customHeight="1" s="52">
      <c r="A121" s="97">
        <f>IF(PKC!B21&lt;&gt;"","PKC","")</f>
        <v/>
      </c>
      <c r="B121" s="78">
        <f>IF(PKC!B21&lt;&gt;"",PKC!B21,"")</f>
        <v/>
      </c>
      <c r="C121" s="78">
        <f>IF(PKC!B21&lt;&gt;"",PKC!C21,"")</f>
        <v/>
      </c>
      <c r="D121" s="78">
        <f>IF(PKC!B21&lt;&gt;"",PKC!D21,"")</f>
        <v/>
      </c>
      <c r="E121" s="78">
        <f>IF(PKC!B21&lt;&gt;"",PKC!E21,"")</f>
        <v/>
      </c>
      <c r="F121" s="78">
        <f>IF(PKC!B21&lt;&gt;"",PKC!F21,"")</f>
        <v/>
      </c>
      <c r="G121" s="78">
        <f>IF(PKC!B21&lt;&gt;"",PKC!G21,"")</f>
        <v/>
      </c>
      <c r="H121" s="97">
        <f>IF(PKC!B21&lt;&gt;"",PKC!H21,"")</f>
        <v/>
      </c>
      <c r="I121" s="97">
        <f>IF(PKC!B21&lt;&gt;"",PKC!I21,"")</f>
        <v/>
      </c>
      <c r="J121" s="78">
        <f>IF(PKC!B21&lt;&gt;"",PKC!J21,"")</f>
        <v/>
      </c>
    </row>
    <row r="122" ht="15.75" customHeight="1" s="52">
      <c r="A122" s="92">
        <f>IF(PKC!B22&lt;&gt;"","PKC","")</f>
        <v/>
      </c>
      <c r="B122" s="82">
        <f>IF(PKC!B22&lt;&gt;"",PKC!B22,"")</f>
        <v/>
      </c>
      <c r="C122" s="82">
        <f>IF(PKC!B22&lt;&gt;"",PKC!C22,"")</f>
        <v/>
      </c>
      <c r="D122" s="82">
        <f>IF(PKC!B22&lt;&gt;"",PKC!D22,"")</f>
        <v/>
      </c>
      <c r="E122" s="82">
        <f>IF(PKC!B22&lt;&gt;"",PKC!E22,"")</f>
        <v/>
      </c>
      <c r="F122" s="82">
        <f>IF(PKC!B22&lt;&gt;"",PKC!F22,"")</f>
        <v/>
      </c>
      <c r="G122" s="82">
        <f>IF(PKC!B22&lt;&gt;"",PKC!G22,"")</f>
        <v/>
      </c>
      <c r="H122" s="92">
        <f>IF(PKC!B22&lt;&gt;"",PKC!H22,"")</f>
        <v/>
      </c>
      <c r="I122" s="92">
        <f>IF(PKC!B22&lt;&gt;"",PKC!I22,"")</f>
        <v/>
      </c>
      <c r="J122" s="82">
        <f>IF(PKC!B22&lt;&gt;"",PKC!J22,"")</f>
        <v/>
      </c>
    </row>
    <row r="123" ht="15.75" customHeight="1" s="52">
      <c r="A123" s="97">
        <f>IF(PKC!B23&lt;&gt;"","PKC","")</f>
        <v/>
      </c>
      <c r="B123" s="78">
        <f>IF(PKC!B23&lt;&gt;"",PKC!B23,"")</f>
        <v/>
      </c>
      <c r="C123" s="78">
        <f>IF(PKC!B23&lt;&gt;"",PKC!C23,"")</f>
        <v/>
      </c>
      <c r="D123" s="78">
        <f>IF(PKC!B23&lt;&gt;"",PKC!D23,"")</f>
        <v/>
      </c>
      <c r="E123" s="78">
        <f>IF(PKC!B23&lt;&gt;"",PKC!E23,"")</f>
        <v/>
      </c>
      <c r="F123" s="78">
        <f>IF(PKC!B23&lt;&gt;"",PKC!F23,"")</f>
        <v/>
      </c>
      <c r="G123" s="78">
        <f>IF(PKC!B23&lt;&gt;"",PKC!G23,"")</f>
        <v/>
      </c>
      <c r="H123" s="97">
        <f>IF(PKC!B23&lt;&gt;"",PKC!H23,"")</f>
        <v/>
      </c>
      <c r="I123" s="97">
        <f>IF(PKC!B23&lt;&gt;"",PKC!I23,"")</f>
        <v/>
      </c>
      <c r="J123" s="78">
        <f>IF(PKC!B23&lt;&gt;"",PKC!J23,"")</f>
        <v/>
      </c>
    </row>
    <row r="124" ht="15.75" customHeight="1" s="52">
      <c r="A124" s="92">
        <f>IF(PKC!B24&lt;&gt;"","PKC","")</f>
        <v/>
      </c>
      <c r="B124" s="82">
        <f>IF(PKC!B24&lt;&gt;"",PKC!B24,"")</f>
        <v/>
      </c>
      <c r="C124" s="82">
        <f>IF(PKC!B24&lt;&gt;"",PKC!C24,"")</f>
        <v/>
      </c>
      <c r="D124" s="82">
        <f>IF(PKC!B24&lt;&gt;"",PKC!D24,"")</f>
        <v/>
      </c>
      <c r="E124" s="82">
        <f>IF(PKC!B24&lt;&gt;"",PKC!E24,"")</f>
        <v/>
      </c>
      <c r="F124" s="82">
        <f>IF(PKC!B24&lt;&gt;"",PKC!F24,"")</f>
        <v/>
      </c>
      <c r="G124" s="82">
        <f>IF(PKC!B24&lt;&gt;"",PKC!G24,"")</f>
        <v/>
      </c>
      <c r="H124" s="92">
        <f>IF(PKC!B24&lt;&gt;"",PKC!H24,"")</f>
        <v/>
      </c>
      <c r="I124" s="92">
        <f>IF(PKC!B24&lt;&gt;"",PKC!I24,"")</f>
        <v/>
      </c>
      <c r="J124" s="82">
        <f>IF(PKC!B24&lt;&gt;"",PKC!J24,"")</f>
        <v/>
      </c>
    </row>
    <row r="125" ht="15.75" customHeight="1" s="52">
      <c r="A125" s="97">
        <f>IF(PKC!B25&lt;&gt;"","PKC","")</f>
        <v/>
      </c>
      <c r="B125" s="78">
        <f>IF(PKC!B25&lt;&gt;"",PKC!B25,"")</f>
        <v/>
      </c>
      <c r="C125" s="78">
        <f>IF(PKC!B25&lt;&gt;"",PKC!C25,"")</f>
        <v/>
      </c>
      <c r="D125" s="78">
        <f>IF(PKC!B25&lt;&gt;"",PKC!D25,"")</f>
        <v/>
      </c>
      <c r="E125" s="78">
        <f>IF(PKC!B25&lt;&gt;"",PKC!E25,"")</f>
        <v/>
      </c>
      <c r="F125" s="78">
        <f>IF(PKC!B25&lt;&gt;"",PKC!F25,"")</f>
        <v/>
      </c>
      <c r="G125" s="78">
        <f>IF(PKC!B25&lt;&gt;"",PKC!G25,"")</f>
        <v/>
      </c>
      <c r="H125" s="97">
        <f>IF(PKC!B25&lt;&gt;"",PKC!H25,"")</f>
        <v/>
      </c>
      <c r="I125" s="97">
        <f>IF(PKC!B25&lt;&gt;"",PKC!I25,"")</f>
        <v/>
      </c>
      <c r="J125" s="78">
        <f>IF(PKC!B25&lt;&gt;"",PKC!J25,"")</f>
        <v/>
      </c>
    </row>
    <row r="126" ht="15.75" customHeight="1" s="52">
      <c r="A126" s="92">
        <f>IF(PKC!B26&lt;&gt;"","PKC","")</f>
        <v/>
      </c>
      <c r="B126" s="82">
        <f>IF(PKC!B26&lt;&gt;"",PKC!B26,"")</f>
        <v/>
      </c>
      <c r="C126" s="82">
        <f>IF(PKC!B26&lt;&gt;"",PKC!C26,"")</f>
        <v/>
      </c>
      <c r="D126" s="82">
        <f>IF(PKC!B26&lt;&gt;"",PKC!D26,"")</f>
        <v/>
      </c>
      <c r="E126" s="82">
        <f>IF(PKC!B26&lt;&gt;"",PKC!E26,"")</f>
        <v/>
      </c>
      <c r="F126" s="82">
        <f>IF(PKC!B26&lt;&gt;"",PKC!F26,"")</f>
        <v/>
      </c>
      <c r="G126" s="82">
        <f>IF(PKC!B26&lt;&gt;"",PKC!G26,"")</f>
        <v/>
      </c>
      <c r="H126" s="92">
        <f>IF(PKC!B26&lt;&gt;"",PKC!H26,"")</f>
        <v/>
      </c>
      <c r="I126" s="92">
        <f>IF(PKC!B26&lt;&gt;"",PKC!I26,"")</f>
        <v/>
      </c>
      <c r="J126" s="82">
        <f>IF(PKC!B26&lt;&gt;"",PKC!J26,"")</f>
        <v/>
      </c>
    </row>
    <row r="127" ht="15.75" customHeight="1" s="52">
      <c r="A127" s="97">
        <f>IF(PKC!B27&lt;&gt;"","PKC","")</f>
        <v/>
      </c>
      <c r="B127" s="78">
        <f>IF(PKC!B27&lt;&gt;"",PKC!B27,"")</f>
        <v/>
      </c>
      <c r="C127" s="78">
        <f>IF(PKC!B27&lt;&gt;"",PKC!C27,"")</f>
        <v/>
      </c>
      <c r="D127" s="78">
        <f>IF(PKC!B27&lt;&gt;"",PKC!D27,"")</f>
        <v/>
      </c>
      <c r="E127" s="78">
        <f>IF(PKC!B27&lt;&gt;"",PKC!E27,"")</f>
        <v/>
      </c>
      <c r="F127" s="78">
        <f>IF(PKC!B27&lt;&gt;"",PKC!F27,"")</f>
        <v/>
      </c>
      <c r="G127" s="78">
        <f>IF(PKC!B27&lt;&gt;"",PKC!G27,"")</f>
        <v/>
      </c>
      <c r="H127" s="97">
        <f>IF(PKC!B27&lt;&gt;"",PKC!H27,"")</f>
        <v/>
      </c>
      <c r="I127" s="97">
        <f>IF(PKC!B27&lt;&gt;"",PKC!I27,"")</f>
        <v/>
      </c>
      <c r="J127" s="78">
        <f>IF(PKC!B27&lt;&gt;"",PKC!J27,"")</f>
        <v/>
      </c>
    </row>
    <row r="128" ht="15.75" customHeight="1" s="52">
      <c r="A128" s="92">
        <f>IF(PKC!B28&lt;&gt;"","PKC","")</f>
        <v/>
      </c>
      <c r="B128" s="82">
        <f>IF(PKC!B28&lt;&gt;"",PKC!B28,"")</f>
        <v/>
      </c>
      <c r="C128" s="82">
        <f>IF(PKC!B28&lt;&gt;"",PKC!C28,"")</f>
        <v/>
      </c>
      <c r="D128" s="82">
        <f>IF(PKC!B28&lt;&gt;"",PKC!D28,"")</f>
        <v/>
      </c>
      <c r="E128" s="82">
        <f>IF(PKC!B28&lt;&gt;"",PKC!E28,"")</f>
        <v/>
      </c>
      <c r="F128" s="82">
        <f>IF(PKC!B28&lt;&gt;"",PKC!F28,"")</f>
        <v/>
      </c>
      <c r="G128" s="82">
        <f>IF(PKC!B28&lt;&gt;"",PKC!G28,"")</f>
        <v/>
      </c>
      <c r="H128" s="92">
        <f>IF(PKC!B28&lt;&gt;"",PKC!H28,"")</f>
        <v/>
      </c>
      <c r="I128" s="92">
        <f>IF(PKC!B28&lt;&gt;"",PKC!I28,"")</f>
        <v/>
      </c>
      <c r="J128" s="82">
        <f>IF(PKC!B28&lt;&gt;"",PKC!J28,"")</f>
        <v/>
      </c>
    </row>
    <row r="129" ht="15.75" customHeight="1" s="52">
      <c r="A129" s="97">
        <f>IF(PKC!B29&lt;&gt;"","PKC","")</f>
        <v/>
      </c>
      <c r="B129" s="78">
        <f>IF(PKC!B29&lt;&gt;"",PKC!B29,"")</f>
        <v/>
      </c>
      <c r="C129" s="78">
        <f>IF(PKC!B29&lt;&gt;"",PKC!C29,"")</f>
        <v/>
      </c>
      <c r="D129" s="78">
        <f>IF(PKC!B29&lt;&gt;"",PKC!D29,"")</f>
        <v/>
      </c>
      <c r="E129" s="78">
        <f>IF(PKC!B29&lt;&gt;"",PKC!E29,"")</f>
        <v/>
      </c>
      <c r="F129" s="78">
        <f>IF(PKC!B29&lt;&gt;"",PKC!F29,"")</f>
        <v/>
      </c>
      <c r="G129" s="78">
        <f>IF(PKC!B29&lt;&gt;"",PKC!G29,"")</f>
        <v/>
      </c>
      <c r="H129" s="97">
        <f>IF(PKC!B29&lt;&gt;"",PKC!H29,"")</f>
        <v/>
      </c>
      <c r="I129" s="97">
        <f>IF(PKC!B29&lt;&gt;"",PKC!I29,"")</f>
        <v/>
      </c>
      <c r="J129" s="78">
        <f>IF(PKC!B29&lt;&gt;"",PKC!J29,"")</f>
        <v/>
      </c>
    </row>
    <row r="130" ht="15.75" customHeight="1" s="52">
      <c r="A130" s="92">
        <f>IF(PKC!B30&lt;&gt;"","PKC","")</f>
        <v/>
      </c>
      <c r="B130" s="82">
        <f>IF(PKC!B30&lt;&gt;"",PKC!B30,"")</f>
        <v/>
      </c>
      <c r="C130" s="82">
        <f>IF(PKC!B30&lt;&gt;"",PKC!C30,"")</f>
        <v/>
      </c>
      <c r="D130" s="82">
        <f>IF(PKC!B30&lt;&gt;"",PKC!D30,"")</f>
        <v/>
      </c>
      <c r="E130" s="82">
        <f>IF(PKC!B30&lt;&gt;"",PKC!E30,"")</f>
        <v/>
      </c>
      <c r="F130" s="82">
        <f>IF(PKC!B30&lt;&gt;"",PKC!F30,"")</f>
        <v/>
      </c>
      <c r="G130" s="82">
        <f>IF(PKC!B30&lt;&gt;"",PKC!G30,"")</f>
        <v/>
      </c>
      <c r="H130" s="92">
        <f>IF(PKC!B30&lt;&gt;"",PKC!H30,"")</f>
        <v/>
      </c>
      <c r="I130" s="92">
        <f>IF(PKC!B30&lt;&gt;"",PKC!I30,"")</f>
        <v/>
      </c>
      <c r="J130" s="82">
        <f>IF(PKC!B30&lt;&gt;"",PKC!J30,"")</f>
        <v/>
      </c>
    </row>
    <row r="131" ht="15.75" customHeight="1" s="52">
      <c r="A131" s="97">
        <f>IF(PKC!B31&lt;&gt;"","PKC","")</f>
        <v/>
      </c>
      <c r="B131" s="78">
        <f>IF(PKC!B31&lt;&gt;"",PKC!B31,"")</f>
        <v/>
      </c>
      <c r="C131" s="78">
        <f>IF(PKC!B31&lt;&gt;"",PKC!C31,"")</f>
        <v/>
      </c>
      <c r="D131" s="78">
        <f>IF(PKC!B31&lt;&gt;"",PKC!D31,"")</f>
        <v/>
      </c>
      <c r="E131" s="78">
        <f>IF(PKC!B31&lt;&gt;"",PKC!E31,"")</f>
        <v/>
      </c>
      <c r="F131" s="78">
        <f>IF(PKC!B31&lt;&gt;"",PKC!F31,"")</f>
        <v/>
      </c>
      <c r="G131" s="78">
        <f>IF(PKC!B31&lt;&gt;"",PKC!G31,"")</f>
        <v/>
      </c>
      <c r="H131" s="97">
        <f>IF(PKC!B31&lt;&gt;"",PKC!H31,"")</f>
        <v/>
      </c>
      <c r="I131" s="97">
        <f>IF(PKC!B31&lt;&gt;"",PKC!I31,"")</f>
        <v/>
      </c>
      <c r="J131" s="78">
        <f>IF(PKC!B31&lt;&gt;"",PKC!J31,"")</f>
        <v/>
      </c>
    </row>
    <row r="132" ht="15.75" customHeight="1" s="52">
      <c r="A132" s="92">
        <f>IF(PKC!B32&lt;&gt;"","PKC","")</f>
        <v/>
      </c>
      <c r="B132" s="82">
        <f>IF(PKC!B32&lt;&gt;"",PKC!B32,"")</f>
        <v/>
      </c>
      <c r="C132" s="82">
        <f>IF(PKC!B32&lt;&gt;"",PKC!C32,"")</f>
        <v/>
      </c>
      <c r="D132" s="82">
        <f>IF(PKC!B32&lt;&gt;"",PKC!D32,"")</f>
        <v/>
      </c>
      <c r="E132" s="82">
        <f>IF(PKC!B32&lt;&gt;"",PKC!E32,"")</f>
        <v/>
      </c>
      <c r="F132" s="82">
        <f>IF(PKC!B32&lt;&gt;"",PKC!F32,"")</f>
        <v/>
      </c>
      <c r="G132" s="82">
        <f>IF(PKC!B32&lt;&gt;"",PKC!G32,"")</f>
        <v/>
      </c>
      <c r="H132" s="92">
        <f>IF(PKC!B32&lt;&gt;"",PKC!H32,"")</f>
        <v/>
      </c>
      <c r="I132" s="92">
        <f>IF(PKC!B32&lt;&gt;"",PKC!I32,"")</f>
        <v/>
      </c>
      <c r="J132" s="82">
        <f>IF(PKC!B32&lt;&gt;"",PKC!J32,"")</f>
        <v/>
      </c>
    </row>
    <row r="133" ht="15.75" customHeight="1" s="52">
      <c r="A133" s="97">
        <f>IF(PKC!B33&lt;&gt;"","PKC","")</f>
        <v/>
      </c>
      <c r="B133" s="78">
        <f>IF(PKC!B33&lt;&gt;"",PKC!B33,"")</f>
        <v/>
      </c>
      <c r="C133" s="78">
        <f>IF(PKC!B33&lt;&gt;"",PKC!C33,"")</f>
        <v/>
      </c>
      <c r="D133" s="78">
        <f>IF(PKC!B33&lt;&gt;"",PKC!D33,"")</f>
        <v/>
      </c>
      <c r="E133" s="78">
        <f>IF(PKC!B33&lt;&gt;"",PKC!E33,"")</f>
        <v/>
      </c>
      <c r="F133" s="78">
        <f>IF(PKC!B33&lt;&gt;"",PKC!F33,"")</f>
        <v/>
      </c>
      <c r="G133" s="78">
        <f>IF(PKC!B33&lt;&gt;"",PKC!G33,"")</f>
        <v/>
      </c>
      <c r="H133" s="97">
        <f>IF(PKC!B33&lt;&gt;"",PKC!H33,"")</f>
        <v/>
      </c>
      <c r="I133" s="97">
        <f>IF(PKC!B33&lt;&gt;"",PKC!I33,"")</f>
        <v/>
      </c>
      <c r="J133" s="78">
        <f>IF(PKC!B33&lt;&gt;"",PKC!J33,"")</f>
        <v/>
      </c>
    </row>
    <row r="134" ht="15.75" customHeight="1" s="52">
      <c r="A134" s="92">
        <f>IF(PKC!B34&lt;&gt;"","PKC","")</f>
        <v/>
      </c>
      <c r="B134" s="82">
        <f>IF(PKC!B34&lt;&gt;"",PKC!B34,"")</f>
        <v/>
      </c>
      <c r="C134" s="82">
        <f>IF(PKC!B34&lt;&gt;"",PKC!C34,"")</f>
        <v/>
      </c>
      <c r="D134" s="82">
        <f>IF(PKC!B34&lt;&gt;"",PKC!D34,"")</f>
        <v/>
      </c>
      <c r="E134" s="82">
        <f>IF(PKC!B34&lt;&gt;"",PKC!E34,"")</f>
        <v/>
      </c>
      <c r="F134" s="82">
        <f>IF(PKC!B34&lt;&gt;"",PKC!F34,"")</f>
        <v/>
      </c>
      <c r="G134" s="82">
        <f>IF(PKC!B34&lt;&gt;"",PKC!G34,"")</f>
        <v/>
      </c>
      <c r="H134" s="92">
        <f>IF(PKC!B34&lt;&gt;"",PKC!H34,"")</f>
        <v/>
      </c>
      <c r="I134" s="92">
        <f>IF(PKC!B34&lt;&gt;"",PKC!I34,"")</f>
        <v/>
      </c>
      <c r="J134" s="82">
        <f>IF(PKC!B34&lt;&gt;"",PKC!J34,"")</f>
        <v/>
      </c>
    </row>
    <row r="135" ht="15.75" customHeight="1" s="52">
      <c r="A135" s="97">
        <f>IF(PKC!B35&lt;&gt;"","PKC","")</f>
        <v/>
      </c>
      <c r="B135" s="78">
        <f>IF(PKC!B35&lt;&gt;"",PKC!B35,"")</f>
        <v/>
      </c>
      <c r="C135" s="78">
        <f>IF(PKC!B35&lt;&gt;"",PKC!C35,"")</f>
        <v/>
      </c>
      <c r="D135" s="78">
        <f>IF(PKC!B35&lt;&gt;"",PKC!D35,"")</f>
        <v/>
      </c>
      <c r="E135" s="78">
        <f>IF(PKC!B35&lt;&gt;"",PKC!E35,"")</f>
        <v/>
      </c>
      <c r="F135" s="78">
        <f>IF(PKC!B35&lt;&gt;"",PKC!F35,"")</f>
        <v/>
      </c>
      <c r="G135" s="78">
        <f>IF(PKC!B35&lt;&gt;"",PKC!G35,"")</f>
        <v/>
      </c>
      <c r="H135" s="97">
        <f>IF(PKC!B35&lt;&gt;"",PKC!H35,"")</f>
        <v/>
      </c>
      <c r="I135" s="97">
        <f>IF(PKC!B35&lt;&gt;"",PKC!I35,"")</f>
        <v/>
      </c>
      <c r="J135" s="78">
        <f>IF(PKC!B35&lt;&gt;"",PKC!J35,"")</f>
        <v/>
      </c>
    </row>
    <row r="136" ht="15.75" customHeight="1" s="52">
      <c r="A136" s="92">
        <f>IF(PKC!B36&lt;&gt;"","PKC","")</f>
        <v/>
      </c>
      <c r="B136" s="82">
        <f>IF(PKC!B36&lt;&gt;"",PKC!B36,"")</f>
        <v/>
      </c>
      <c r="C136" s="82">
        <f>IF(PKC!B36&lt;&gt;"",PKC!C36,"")</f>
        <v/>
      </c>
      <c r="D136" s="82">
        <f>IF(PKC!B36&lt;&gt;"",PKC!D36,"")</f>
        <v/>
      </c>
      <c r="E136" s="82">
        <f>IF(PKC!B36&lt;&gt;"",PKC!E36,"")</f>
        <v/>
      </c>
      <c r="F136" s="82">
        <f>IF(PKC!B36&lt;&gt;"",PKC!F36,"")</f>
        <v/>
      </c>
      <c r="G136" s="82">
        <f>IF(PKC!B36&lt;&gt;"",PKC!G36,"")</f>
        <v/>
      </c>
      <c r="H136" s="92">
        <f>IF(PKC!B36&lt;&gt;"",PKC!H36,"")</f>
        <v/>
      </c>
      <c r="I136" s="92">
        <f>IF(PKC!B36&lt;&gt;"",PKC!I36,"")</f>
        <v/>
      </c>
      <c r="J136" s="82">
        <f>IF(PKC!B36&lt;&gt;"",PKC!J36,"")</f>
        <v/>
      </c>
    </row>
    <row r="137" ht="15.75" customHeight="1" s="52">
      <c r="A137" s="97">
        <f>IF(PKC!B37&lt;&gt;"","PKC","")</f>
        <v/>
      </c>
      <c r="B137" s="78">
        <f>IF(PKC!B37&lt;&gt;"",PKC!B37,"")</f>
        <v/>
      </c>
      <c r="C137" s="78">
        <f>IF(PKC!B37&lt;&gt;"",PKC!C37,"")</f>
        <v/>
      </c>
      <c r="D137" s="78">
        <f>IF(PKC!B37&lt;&gt;"",PKC!D37,"")</f>
        <v/>
      </c>
      <c r="E137" s="78">
        <f>IF(PKC!B37&lt;&gt;"",PKC!E37,"")</f>
        <v/>
      </c>
      <c r="F137" s="78">
        <f>IF(PKC!B37&lt;&gt;"",PKC!F37,"")</f>
        <v/>
      </c>
      <c r="G137" s="78">
        <f>IF(PKC!B37&lt;&gt;"",PKC!G37,"")</f>
        <v/>
      </c>
      <c r="H137" s="97">
        <f>IF(PKC!B37&lt;&gt;"",PKC!H37,"")</f>
        <v/>
      </c>
      <c r="I137" s="97">
        <f>IF(PKC!B37&lt;&gt;"",PKC!I37,"")</f>
        <v/>
      </c>
      <c r="J137" s="78">
        <f>IF(PKC!B37&lt;&gt;"",PKC!J37,"")</f>
        <v/>
      </c>
    </row>
    <row r="138" ht="15.75" customHeight="1" s="52">
      <c r="A138" s="92">
        <f>IF(PKC!B38&lt;&gt;"","PKC","")</f>
        <v/>
      </c>
      <c r="B138" s="82">
        <f>IF(PKC!B38&lt;&gt;"",PKC!B38,"")</f>
        <v/>
      </c>
      <c r="C138" s="82">
        <f>IF(PKC!B38&lt;&gt;"",PKC!C38,"")</f>
        <v/>
      </c>
      <c r="D138" s="82">
        <f>IF(PKC!B38&lt;&gt;"",PKC!D38,"")</f>
        <v/>
      </c>
      <c r="E138" s="82">
        <f>IF(PKC!B38&lt;&gt;"",PKC!E38,"")</f>
        <v/>
      </c>
      <c r="F138" s="82">
        <f>IF(PKC!B38&lt;&gt;"",PKC!F38,"")</f>
        <v/>
      </c>
      <c r="G138" s="82">
        <f>IF(PKC!B38&lt;&gt;"",PKC!G38,"")</f>
        <v/>
      </c>
      <c r="H138" s="92">
        <f>IF(PKC!B38&lt;&gt;"",PKC!H38,"")</f>
        <v/>
      </c>
      <c r="I138" s="92">
        <f>IF(PKC!B38&lt;&gt;"",PKC!I38,"")</f>
        <v/>
      </c>
      <c r="J138" s="82">
        <f>IF(PKC!B38&lt;&gt;"",PKC!J38,"")</f>
        <v/>
      </c>
    </row>
    <row r="139" ht="15.75" customHeight="1" s="52">
      <c r="A139" s="97">
        <f>IF(PKC!B39&lt;&gt;"","PKC","")</f>
        <v/>
      </c>
      <c r="B139" s="78">
        <f>IF(PKC!B39&lt;&gt;"",PKC!B39,"")</f>
        <v/>
      </c>
      <c r="C139" s="78">
        <f>IF(PKC!B39&lt;&gt;"",PKC!C39,"")</f>
        <v/>
      </c>
      <c r="D139" s="78">
        <f>IF(PKC!B39&lt;&gt;"",PKC!D39,"")</f>
        <v/>
      </c>
      <c r="E139" s="78">
        <f>IF(PKC!B39&lt;&gt;"",PKC!E39,"")</f>
        <v/>
      </c>
      <c r="F139" s="78">
        <f>IF(PKC!B39&lt;&gt;"",PKC!F39,"")</f>
        <v/>
      </c>
      <c r="G139" s="78">
        <f>IF(PKC!B39&lt;&gt;"",PKC!G39,"")</f>
        <v/>
      </c>
      <c r="H139" s="97">
        <f>IF(PKC!B39&lt;&gt;"",PKC!H39,"")</f>
        <v/>
      </c>
      <c r="I139" s="97">
        <f>IF(PKC!B39&lt;&gt;"",PKC!I39,"")</f>
        <v/>
      </c>
      <c r="J139" s="78">
        <f>IF(PKC!B39&lt;&gt;"",PKC!J39,"")</f>
        <v/>
      </c>
    </row>
    <row r="140" ht="15.75" customHeight="1" s="52">
      <c r="A140" s="92">
        <f>IF(PKC!B40&lt;&gt;"","PKC","")</f>
        <v/>
      </c>
      <c r="B140" s="82">
        <f>IF(PKC!B40&lt;&gt;"",PKC!B40,"")</f>
        <v/>
      </c>
      <c r="C140" s="82">
        <f>IF(PKC!B40&lt;&gt;"",PKC!C40,"")</f>
        <v/>
      </c>
      <c r="D140" s="82">
        <f>IF(PKC!B40&lt;&gt;"",PKC!D40,"")</f>
        <v/>
      </c>
      <c r="E140" s="82">
        <f>IF(PKC!B40&lt;&gt;"",PKC!E40,"")</f>
        <v/>
      </c>
      <c r="F140" s="82">
        <f>IF(PKC!B40&lt;&gt;"",PKC!F40,"")</f>
        <v/>
      </c>
      <c r="G140" s="82">
        <f>IF(PKC!B40&lt;&gt;"",PKC!G40,"")</f>
        <v/>
      </c>
      <c r="H140" s="92">
        <f>IF(PKC!B40&lt;&gt;"",PKC!H40,"")</f>
        <v/>
      </c>
      <c r="I140" s="92">
        <f>IF(PKC!B40&lt;&gt;"",PKC!I40,"")</f>
        <v/>
      </c>
      <c r="J140" s="82">
        <f>IF(PKC!B40&lt;&gt;"",PKC!J40,"")</f>
        <v/>
      </c>
    </row>
    <row r="141" ht="15.75" customHeight="1" s="52">
      <c r="A141" s="97">
        <f>IF(PKC!B41&lt;&gt;"","PKC","")</f>
        <v/>
      </c>
      <c r="B141" s="78">
        <f>IF(PKC!B41&lt;&gt;"",PKC!B41,"")</f>
        <v/>
      </c>
      <c r="C141" s="78">
        <f>IF(PKC!B41&lt;&gt;"",PKC!C41,"")</f>
        <v/>
      </c>
      <c r="D141" s="78">
        <f>IF(PKC!B41&lt;&gt;"",PKC!D41,"")</f>
        <v/>
      </c>
      <c r="E141" s="78">
        <f>IF(PKC!B41&lt;&gt;"",PKC!E41,"")</f>
        <v/>
      </c>
      <c r="F141" s="78">
        <f>IF(PKC!B41&lt;&gt;"",PKC!F41,"")</f>
        <v/>
      </c>
      <c r="G141" s="78">
        <f>IF(PKC!B41&lt;&gt;"",PKC!G41,"")</f>
        <v/>
      </c>
      <c r="H141" s="97">
        <f>IF(PKC!B41&lt;&gt;"",PKC!H41,"")</f>
        <v/>
      </c>
      <c r="I141" s="97">
        <f>IF(PKC!B41&lt;&gt;"",PKC!I41,"")</f>
        <v/>
      </c>
      <c r="J141" s="78">
        <f>IF(PKC!B41&lt;&gt;"",PKC!J41,"")</f>
        <v/>
      </c>
    </row>
    <row r="142" ht="15.75" customHeight="1" s="52">
      <c r="A142" s="92">
        <f>IF(PKC!B42&lt;&gt;"","PKC","")</f>
        <v/>
      </c>
      <c r="B142" s="82">
        <f>IF(PKC!B42&lt;&gt;"",PKC!B42,"")</f>
        <v/>
      </c>
      <c r="C142" s="82">
        <f>IF(PKC!B42&lt;&gt;"",PKC!C42,"")</f>
        <v/>
      </c>
      <c r="D142" s="82">
        <f>IF(PKC!B42&lt;&gt;"",PKC!D42,"")</f>
        <v/>
      </c>
      <c r="E142" s="82">
        <f>IF(PKC!B42&lt;&gt;"",PKC!E42,"")</f>
        <v/>
      </c>
      <c r="F142" s="82">
        <f>IF(PKC!B42&lt;&gt;"",PKC!F42,"")</f>
        <v/>
      </c>
      <c r="G142" s="82">
        <f>IF(PKC!B42&lt;&gt;"",PKC!G42,"")</f>
        <v/>
      </c>
      <c r="H142" s="92">
        <f>IF(PKC!B42&lt;&gt;"",PKC!H42,"")</f>
        <v/>
      </c>
      <c r="I142" s="92">
        <f>IF(PKC!B42&lt;&gt;"",PKC!I42,"")</f>
        <v/>
      </c>
      <c r="J142" s="82">
        <f>IF(PKC!B42&lt;&gt;"",PKC!J42,"")</f>
        <v/>
      </c>
    </row>
    <row r="143" ht="15.75" customHeight="1" s="52">
      <c r="A143" s="97">
        <f>IF(PKC!B43&lt;&gt;"","PKC","")</f>
        <v/>
      </c>
      <c r="B143" s="78">
        <f>IF(PKC!B43&lt;&gt;"",PKC!B43,"")</f>
        <v/>
      </c>
      <c r="C143" s="78">
        <f>IF(PKC!B43&lt;&gt;"",PKC!C43,"")</f>
        <v/>
      </c>
      <c r="D143" s="78">
        <f>IF(PKC!B43&lt;&gt;"",PKC!D43,"")</f>
        <v/>
      </c>
      <c r="E143" s="78">
        <f>IF(PKC!B43&lt;&gt;"",PKC!E43,"")</f>
        <v/>
      </c>
      <c r="F143" s="78">
        <f>IF(PKC!B43&lt;&gt;"",PKC!F43,"")</f>
        <v/>
      </c>
      <c r="G143" s="78">
        <f>IF(PKC!B43&lt;&gt;"",PKC!G43,"")</f>
        <v/>
      </c>
      <c r="H143" s="97">
        <f>IF(PKC!B43&lt;&gt;"",PKC!H43,"")</f>
        <v/>
      </c>
      <c r="I143" s="97">
        <f>IF(PKC!B43&lt;&gt;"",PKC!I43,"")</f>
        <v/>
      </c>
      <c r="J143" s="78">
        <f>IF(PKC!B43&lt;&gt;"",PKC!J43,"")</f>
        <v/>
      </c>
    </row>
    <row r="144" ht="15.75" customHeight="1" s="52">
      <c r="A144" s="92">
        <f>IF(PKC!B44&lt;&gt;"","PKC","")</f>
        <v/>
      </c>
      <c r="B144" s="82">
        <f>IF(PKC!B44&lt;&gt;"",PKC!B44,"")</f>
        <v/>
      </c>
      <c r="C144" s="82">
        <f>IF(PKC!B44&lt;&gt;"",PKC!C44,"")</f>
        <v/>
      </c>
      <c r="D144" s="82">
        <f>IF(PKC!B44&lt;&gt;"",PKC!D44,"")</f>
        <v/>
      </c>
      <c r="E144" s="82">
        <f>IF(PKC!B44&lt;&gt;"",PKC!E44,"")</f>
        <v/>
      </c>
      <c r="F144" s="82">
        <f>IF(PKC!B44&lt;&gt;"",PKC!F44,"")</f>
        <v/>
      </c>
      <c r="G144" s="82">
        <f>IF(PKC!B44&lt;&gt;"",PKC!G44,"")</f>
        <v/>
      </c>
      <c r="H144" s="92">
        <f>IF(PKC!B44&lt;&gt;"",PKC!H44,"")</f>
        <v/>
      </c>
      <c r="I144" s="92">
        <f>IF(PKC!B44&lt;&gt;"",PKC!I44,"")</f>
        <v/>
      </c>
      <c r="J144" s="82">
        <f>IF(PKC!B44&lt;&gt;"",PKC!J44,"")</f>
        <v/>
      </c>
    </row>
    <row r="145" ht="15.75" customHeight="1" s="52">
      <c r="A145" s="97">
        <f>IF(PKC!B45&lt;&gt;"","PKC","")</f>
        <v/>
      </c>
      <c r="B145" s="78">
        <f>IF(PKC!B45&lt;&gt;"",PKC!B45,"")</f>
        <v/>
      </c>
      <c r="C145" s="78">
        <f>IF(PKC!B45&lt;&gt;"",PKC!C45,"")</f>
        <v/>
      </c>
      <c r="D145" s="78">
        <f>IF(PKC!B45&lt;&gt;"",PKC!D45,"")</f>
        <v/>
      </c>
      <c r="E145" s="78">
        <f>IF(PKC!B45&lt;&gt;"",PKC!E45,"")</f>
        <v/>
      </c>
      <c r="F145" s="78">
        <f>IF(PKC!B45&lt;&gt;"",PKC!F45,"")</f>
        <v/>
      </c>
      <c r="G145" s="78">
        <f>IF(PKC!B45&lt;&gt;"",PKC!G45,"")</f>
        <v/>
      </c>
      <c r="H145" s="97">
        <f>IF(PKC!B45&lt;&gt;"",PKC!H45,"")</f>
        <v/>
      </c>
      <c r="I145" s="97">
        <f>IF(PKC!B45&lt;&gt;"",PKC!I45,"")</f>
        <v/>
      </c>
      <c r="J145" s="78">
        <f>IF(PKC!B45&lt;&gt;"",PKC!J45,"")</f>
        <v/>
      </c>
    </row>
    <row r="146" ht="15.75" customHeight="1" s="52">
      <c r="A146" s="92">
        <f>IF(PKC!B46&lt;&gt;"","PKC","")</f>
        <v/>
      </c>
      <c r="B146" s="82">
        <f>IF(PKC!B46&lt;&gt;"",PKC!B46,"")</f>
        <v/>
      </c>
      <c r="C146" s="82">
        <f>IF(PKC!B46&lt;&gt;"",PKC!C46,"")</f>
        <v/>
      </c>
      <c r="D146" s="82">
        <f>IF(PKC!B46&lt;&gt;"",PKC!D46,"")</f>
        <v/>
      </c>
      <c r="E146" s="82">
        <f>IF(PKC!B46&lt;&gt;"",PKC!E46,"")</f>
        <v/>
      </c>
      <c r="F146" s="82">
        <f>IF(PKC!B46&lt;&gt;"",PKC!F46,"")</f>
        <v/>
      </c>
      <c r="G146" s="82">
        <f>IF(PKC!B46&lt;&gt;"",PKC!G46,"")</f>
        <v/>
      </c>
      <c r="H146" s="92">
        <f>IF(PKC!B46&lt;&gt;"",PKC!H46,"")</f>
        <v/>
      </c>
      <c r="I146" s="92">
        <f>IF(PKC!B46&lt;&gt;"",PKC!I46,"")</f>
        <v/>
      </c>
      <c r="J146" s="82">
        <f>IF(PKC!B46&lt;&gt;"",PKC!J46,"")</f>
        <v/>
      </c>
    </row>
    <row r="147" ht="15.75" customHeight="1" s="52">
      <c r="A147" s="97">
        <f>IF(PKC!B47&lt;&gt;"","PKC","")</f>
        <v/>
      </c>
      <c r="B147" s="78">
        <f>IF(PKC!B47&lt;&gt;"",PKC!B47,"")</f>
        <v/>
      </c>
      <c r="C147" s="78">
        <f>IF(PKC!B47&lt;&gt;"",PKC!C47,"")</f>
        <v/>
      </c>
      <c r="D147" s="78">
        <f>IF(PKC!B47&lt;&gt;"",PKC!D47,"")</f>
        <v/>
      </c>
      <c r="E147" s="78">
        <f>IF(PKC!B47&lt;&gt;"",PKC!E47,"")</f>
        <v/>
      </c>
      <c r="F147" s="78">
        <f>IF(PKC!B47&lt;&gt;"",PKC!F47,"")</f>
        <v/>
      </c>
      <c r="G147" s="78">
        <f>IF(PKC!B47&lt;&gt;"",PKC!G47,"")</f>
        <v/>
      </c>
      <c r="H147" s="97">
        <f>IF(PKC!B47&lt;&gt;"",PKC!H47,"")</f>
        <v/>
      </c>
      <c r="I147" s="97">
        <f>IF(PKC!B47&lt;&gt;"",PKC!I47,"")</f>
        <v/>
      </c>
      <c r="J147" s="78">
        <f>IF(PKC!B47&lt;&gt;"",PKC!J47,"")</f>
        <v/>
      </c>
    </row>
    <row r="148" ht="15.75" customHeight="1" s="52">
      <c r="A148" s="92">
        <f>IF(PKC!B48&lt;&gt;"","PKC","")</f>
        <v/>
      </c>
      <c r="B148" s="82">
        <f>IF(PKC!B48&lt;&gt;"",PKC!B48,"")</f>
        <v/>
      </c>
      <c r="C148" s="82">
        <f>IF(PKC!B48&lt;&gt;"",PKC!C48,"")</f>
        <v/>
      </c>
      <c r="D148" s="82">
        <f>IF(PKC!B48&lt;&gt;"",PKC!D48,"")</f>
        <v/>
      </c>
      <c r="E148" s="82">
        <f>IF(PKC!B48&lt;&gt;"",PKC!E48,"")</f>
        <v/>
      </c>
      <c r="F148" s="82">
        <f>IF(PKC!B48&lt;&gt;"",PKC!F48,"")</f>
        <v/>
      </c>
      <c r="G148" s="82">
        <f>IF(PKC!B48&lt;&gt;"",PKC!G48,"")</f>
        <v/>
      </c>
      <c r="H148" s="92">
        <f>IF(PKC!B48&lt;&gt;"",PKC!H48,"")</f>
        <v/>
      </c>
      <c r="I148" s="92">
        <f>IF(PKC!B48&lt;&gt;"",PKC!I48,"")</f>
        <v/>
      </c>
      <c r="J148" s="82">
        <f>IF(PKC!B48&lt;&gt;"",PKC!J48,"")</f>
        <v/>
      </c>
    </row>
    <row r="149" ht="15.75" customHeight="1" s="52">
      <c r="A149" s="97">
        <f>IF(PKC!B49&lt;&gt;"","PKC","")</f>
        <v/>
      </c>
      <c r="B149" s="78">
        <f>IF(PKC!B49&lt;&gt;"",PKC!B49,"")</f>
        <v/>
      </c>
      <c r="C149" s="78">
        <f>IF(PKC!B49&lt;&gt;"",PKC!C49,"")</f>
        <v/>
      </c>
      <c r="D149" s="78">
        <f>IF(PKC!B49&lt;&gt;"",PKC!D49,"")</f>
        <v/>
      </c>
      <c r="E149" s="78">
        <f>IF(PKC!B49&lt;&gt;"",PKC!E49,"")</f>
        <v/>
      </c>
      <c r="F149" s="78">
        <f>IF(PKC!B49&lt;&gt;"",PKC!F49,"")</f>
        <v/>
      </c>
      <c r="G149" s="78">
        <f>IF(PKC!B49&lt;&gt;"",PKC!G49,"")</f>
        <v/>
      </c>
      <c r="H149" s="97">
        <f>IF(PKC!B49&lt;&gt;"",PKC!H49,"")</f>
        <v/>
      </c>
      <c r="I149" s="97">
        <f>IF(PKC!B49&lt;&gt;"",PKC!I49,"")</f>
        <v/>
      </c>
      <c r="J149" s="78">
        <f>IF(PKC!B49&lt;&gt;"",PKC!J49,"")</f>
        <v/>
      </c>
    </row>
    <row r="150" ht="15.75" customHeight="1" s="52">
      <c r="A150" s="92">
        <f>IF(PKC!B50&lt;&gt;"","PKC","")</f>
        <v/>
      </c>
      <c r="B150" s="82">
        <f>IF(PKC!B50&lt;&gt;"",PKC!B50,"")</f>
        <v/>
      </c>
      <c r="C150" s="82">
        <f>IF(PKC!B50&lt;&gt;"",PKC!C50,"")</f>
        <v/>
      </c>
      <c r="D150" s="82">
        <f>IF(PKC!B50&lt;&gt;"",PKC!D50,"")</f>
        <v/>
      </c>
      <c r="E150" s="82">
        <f>IF(PKC!B50&lt;&gt;"",PKC!E50,"")</f>
        <v/>
      </c>
      <c r="F150" s="82">
        <f>IF(PKC!B50&lt;&gt;"",PKC!F50,"")</f>
        <v/>
      </c>
      <c r="G150" s="82">
        <f>IF(PKC!B50&lt;&gt;"",PKC!G50,"")</f>
        <v/>
      </c>
      <c r="H150" s="92">
        <f>IF(PKC!B50&lt;&gt;"",PKC!H50,"")</f>
        <v/>
      </c>
      <c r="I150" s="92">
        <f>IF(PKC!B50&lt;&gt;"",PKC!I50,"")</f>
        <v/>
      </c>
      <c r="J150" s="82">
        <f>IF(PKC!B50&lt;&gt;"",PKC!J50,"")</f>
        <v/>
      </c>
    </row>
    <row r="151" ht="15.75" customHeight="1" s="52">
      <c r="A151" s="97">
        <f>IF(PKC!B51&lt;&gt;"","PKC","")</f>
        <v/>
      </c>
      <c r="B151" s="78">
        <f>IF(PKC!B51&lt;&gt;"",PKC!B51,"")</f>
        <v/>
      </c>
      <c r="C151" s="78">
        <f>IF(PKC!B51&lt;&gt;"",PKC!C51,"")</f>
        <v/>
      </c>
      <c r="D151" s="78">
        <f>IF(PKC!B51&lt;&gt;"",PKC!D51,"")</f>
        <v/>
      </c>
      <c r="E151" s="78">
        <f>IF(PKC!B51&lt;&gt;"",PKC!E51,"")</f>
        <v/>
      </c>
      <c r="F151" s="78">
        <f>IF(PKC!B51&lt;&gt;"",PKC!F51,"")</f>
        <v/>
      </c>
      <c r="G151" s="78">
        <f>IF(PKC!B51&lt;&gt;"",PKC!G51,"")</f>
        <v/>
      </c>
      <c r="H151" s="97">
        <f>IF(PKC!B51&lt;&gt;"",PKC!H51,"")</f>
        <v/>
      </c>
      <c r="I151" s="97">
        <f>IF(PKC!B51&lt;&gt;"",PKC!I51,"")</f>
        <v/>
      </c>
      <c r="J151" s="78">
        <f>IF(PKC!B51&lt;&gt;"",PKC!J51,"")</f>
        <v/>
      </c>
    </row>
    <row r="152" ht="15.75" customHeight="1" s="52">
      <c r="A152" s="92">
        <f>IF(PKC!B52&lt;&gt;"","PKC","")</f>
        <v/>
      </c>
      <c r="B152" s="82">
        <f>IF(PKC!B52&lt;&gt;"",PKC!B52,"")</f>
        <v/>
      </c>
      <c r="C152" s="82">
        <f>IF(PKC!B52&lt;&gt;"",PKC!C52,"")</f>
        <v/>
      </c>
      <c r="D152" s="82">
        <f>IF(PKC!B52&lt;&gt;"",PKC!D52,"")</f>
        <v/>
      </c>
      <c r="E152" s="82">
        <f>IF(PKC!B52&lt;&gt;"",PKC!E52,"")</f>
        <v/>
      </c>
      <c r="F152" s="82">
        <f>IF(PKC!B52&lt;&gt;"",PKC!F52,"")</f>
        <v/>
      </c>
      <c r="G152" s="82">
        <f>IF(PKC!B52&lt;&gt;"",PKC!G52,"")</f>
        <v/>
      </c>
      <c r="H152" s="92">
        <f>IF(PKC!B52&lt;&gt;"",PKC!H52,"")</f>
        <v/>
      </c>
      <c r="I152" s="92">
        <f>IF(PKC!B52&lt;&gt;"",PKC!I52,"")</f>
        <v/>
      </c>
      <c r="J152" s="82">
        <f>IF(PKC!B52&lt;&gt;"",PKC!J52,"")</f>
        <v/>
      </c>
    </row>
    <row r="153" ht="15.75" customHeight="1" s="52">
      <c r="A153" s="97">
        <f>IF(PKC!B53&lt;&gt;"","PKC","")</f>
        <v/>
      </c>
      <c r="B153" s="78">
        <f>IF(PKC!B53&lt;&gt;"",PKC!B53,"")</f>
        <v/>
      </c>
      <c r="C153" s="78">
        <f>IF(PKC!B53&lt;&gt;"",PKC!C53,"")</f>
        <v/>
      </c>
      <c r="D153" s="78">
        <f>IF(PKC!B53&lt;&gt;"",PKC!D53,"")</f>
        <v/>
      </c>
      <c r="E153" s="78">
        <f>IF(PKC!B53&lt;&gt;"",PKC!E53,"")</f>
        <v/>
      </c>
      <c r="F153" s="78">
        <f>IF(PKC!B53&lt;&gt;"",PKC!F53,"")</f>
        <v/>
      </c>
      <c r="G153" s="78">
        <f>IF(PKC!B53&lt;&gt;"",PKC!G53,"")</f>
        <v/>
      </c>
      <c r="H153" s="97">
        <f>IF(PKC!B53&lt;&gt;"",PKC!H53,"")</f>
        <v/>
      </c>
      <c r="I153" s="97">
        <f>IF(PKC!B53&lt;&gt;"",PKC!I53,"")</f>
        <v/>
      </c>
      <c r="J153" s="78">
        <f>IF(PKC!B53&lt;&gt;"",PKC!J53,"")</f>
        <v/>
      </c>
    </row>
    <row r="154" ht="15.75" customHeight="1" s="52">
      <c r="A154" s="92">
        <f>IF(PKC!B54&lt;&gt;"","PKC","")</f>
        <v/>
      </c>
      <c r="B154" s="82">
        <f>IF(PKC!B54&lt;&gt;"",PKC!B54,"")</f>
        <v/>
      </c>
      <c r="C154" s="82">
        <f>IF(PKC!B54&lt;&gt;"",PKC!C54,"")</f>
        <v/>
      </c>
      <c r="D154" s="82">
        <f>IF(PKC!B54&lt;&gt;"",PKC!D54,"")</f>
        <v/>
      </c>
      <c r="E154" s="82">
        <f>IF(PKC!B54&lt;&gt;"",PKC!E54,"")</f>
        <v/>
      </c>
      <c r="F154" s="82">
        <f>IF(PKC!B54&lt;&gt;"",PKC!F54,"")</f>
        <v/>
      </c>
      <c r="G154" s="82">
        <f>IF(PKC!B54&lt;&gt;"",PKC!G54,"")</f>
        <v/>
      </c>
      <c r="H154" s="92">
        <f>IF(PKC!B54&lt;&gt;"",PKC!H54,"")</f>
        <v/>
      </c>
      <c r="I154" s="92">
        <f>IF(PKC!B54&lt;&gt;"",PKC!I54,"")</f>
        <v/>
      </c>
      <c r="J154" s="82">
        <f>IF(PKC!B54&lt;&gt;"",PKC!J54,"")</f>
        <v/>
      </c>
    </row>
    <row r="155" ht="15.75" customHeight="1" s="52">
      <c r="A155" s="97">
        <f>IF(KA!B5&lt;&gt;"","KA","")</f>
        <v/>
      </c>
      <c r="B155" s="78">
        <f>IF(KA!B5&lt;&gt;"",KA!B5,"")</f>
        <v/>
      </c>
      <c r="C155" s="78">
        <f>IF(KA!B5&lt;&gt;"",KA!C5,"")</f>
        <v/>
      </c>
      <c r="D155" s="78">
        <f>IF(KA!B5&lt;&gt;"",KA!D5,"")</f>
        <v/>
      </c>
      <c r="E155" s="78">
        <f>IF(KA!B5&lt;&gt;"",KA!E5,"")</f>
        <v/>
      </c>
      <c r="F155" s="78">
        <f>IF(KA!B5&lt;&gt;"",KA!F5,"")</f>
        <v/>
      </c>
      <c r="G155" s="78">
        <f>IF(KA!B5&lt;&gt;"",KA!G5,"")</f>
        <v/>
      </c>
      <c r="H155" s="97">
        <f>IF(KA!B5&lt;&gt;"",KA!H5,"")</f>
        <v/>
      </c>
      <c r="I155" s="97">
        <f>IF(KA!B5&lt;&gt;"",KA!I5,"")</f>
        <v/>
      </c>
      <c r="J155" s="78">
        <f>IF(KA!B5&lt;&gt;"",KA!J5,"")</f>
        <v/>
      </c>
    </row>
    <row r="156" ht="15.75" customHeight="1" s="52">
      <c r="A156" s="92">
        <f>IF(KA!B6&lt;&gt;"","KA","")</f>
        <v/>
      </c>
      <c r="B156" s="82">
        <f>IF(KA!B6&lt;&gt;"",KA!B6,"")</f>
        <v/>
      </c>
      <c r="C156" s="82">
        <f>IF(KA!B6&lt;&gt;"",KA!C6,"")</f>
        <v/>
      </c>
      <c r="D156" s="82">
        <f>IF(KA!B6&lt;&gt;"",KA!D6,"")</f>
        <v/>
      </c>
      <c r="E156" s="82">
        <f>IF(KA!B6&lt;&gt;"",KA!E6,"")</f>
        <v/>
      </c>
      <c r="F156" s="82">
        <f>IF(KA!B6&lt;&gt;"",KA!F6,"")</f>
        <v/>
      </c>
      <c r="G156" s="82">
        <f>IF(KA!B6&lt;&gt;"",KA!G6,"")</f>
        <v/>
      </c>
      <c r="H156" s="92">
        <f>IF(KA!B6&lt;&gt;"",KA!H6,"")</f>
        <v/>
      </c>
      <c r="I156" s="92">
        <f>IF(KA!B6&lt;&gt;"",KA!I6,"")</f>
        <v/>
      </c>
      <c r="J156" s="82">
        <f>IF(KA!B6&lt;&gt;"",KA!J6,"")</f>
        <v/>
      </c>
    </row>
    <row r="157" ht="15.75" customHeight="1" s="52">
      <c r="A157" s="97">
        <f>IF(KA!B7&lt;&gt;"","KA","")</f>
        <v/>
      </c>
      <c r="B157" s="78">
        <f>IF(KA!B7&lt;&gt;"",KA!B7,"")</f>
        <v/>
      </c>
      <c r="C157" s="78">
        <f>IF(KA!B7&lt;&gt;"",KA!C7,"")</f>
        <v/>
      </c>
      <c r="D157" s="78">
        <f>IF(KA!B7&lt;&gt;"",KA!D7,"")</f>
        <v/>
      </c>
      <c r="E157" s="78">
        <f>IF(KA!B7&lt;&gt;"",KA!E7,"")</f>
        <v/>
      </c>
      <c r="F157" s="78">
        <f>IF(KA!B7&lt;&gt;"",KA!F7,"")</f>
        <v/>
      </c>
      <c r="G157" s="78">
        <f>IF(KA!B7&lt;&gt;"",KA!G7,"")</f>
        <v/>
      </c>
      <c r="H157" s="97">
        <f>IF(KA!B7&lt;&gt;"",KA!H7,"")</f>
        <v/>
      </c>
      <c r="I157" s="97">
        <f>IF(KA!B7&lt;&gt;"",KA!I7,"")</f>
        <v/>
      </c>
      <c r="J157" s="78">
        <f>IF(KA!B7&lt;&gt;"",KA!J7,"")</f>
        <v/>
      </c>
    </row>
    <row r="158" ht="15.75" customHeight="1" s="52">
      <c r="A158" s="92">
        <f>IF(KA!B8&lt;&gt;"","KA","")</f>
        <v/>
      </c>
      <c r="B158" s="82">
        <f>IF(KA!B8&lt;&gt;"",KA!B8,"")</f>
        <v/>
      </c>
      <c r="C158" s="82">
        <f>IF(KA!B8&lt;&gt;"",KA!C8,"")</f>
        <v/>
      </c>
      <c r="D158" s="82">
        <f>IF(KA!B8&lt;&gt;"",KA!D8,"")</f>
        <v/>
      </c>
      <c r="E158" s="82">
        <f>IF(KA!B8&lt;&gt;"",KA!E8,"")</f>
        <v/>
      </c>
      <c r="F158" s="82">
        <f>IF(KA!B8&lt;&gt;"",KA!F8,"")</f>
        <v/>
      </c>
      <c r="G158" s="82">
        <f>IF(KA!B8&lt;&gt;"",KA!G8,"")</f>
        <v/>
      </c>
      <c r="H158" s="92">
        <f>IF(KA!B8&lt;&gt;"",KA!H8,"")</f>
        <v/>
      </c>
      <c r="I158" s="92">
        <f>IF(KA!B8&lt;&gt;"",KA!I8,"")</f>
        <v/>
      </c>
      <c r="J158" s="82">
        <f>IF(KA!B8&lt;&gt;"",KA!J8,"")</f>
        <v/>
      </c>
    </row>
    <row r="159" ht="15.75" customHeight="1" s="52">
      <c r="A159" s="97">
        <f>IF(KA!B9&lt;&gt;"","KA","")</f>
        <v/>
      </c>
      <c r="B159" s="78">
        <f>IF(KA!B9&lt;&gt;"",KA!B9,"")</f>
        <v/>
      </c>
      <c r="C159" s="78">
        <f>IF(KA!B9&lt;&gt;"",KA!C9,"")</f>
        <v/>
      </c>
      <c r="D159" s="78">
        <f>IF(KA!B9&lt;&gt;"",KA!D9,"")</f>
        <v/>
      </c>
      <c r="E159" s="78">
        <f>IF(KA!B9&lt;&gt;"",KA!E9,"")</f>
        <v/>
      </c>
      <c r="F159" s="78">
        <f>IF(KA!B9&lt;&gt;"",KA!F9,"")</f>
        <v/>
      </c>
      <c r="G159" s="78">
        <f>IF(KA!B9&lt;&gt;"",KA!G9,"")</f>
        <v/>
      </c>
      <c r="H159" s="97">
        <f>IF(KA!B9&lt;&gt;"",KA!H9,"")</f>
        <v/>
      </c>
      <c r="I159" s="97">
        <f>IF(KA!B9&lt;&gt;"",KA!I9,"")</f>
        <v/>
      </c>
      <c r="J159" s="78">
        <f>IF(KA!B9&lt;&gt;"",KA!J9,"")</f>
        <v/>
      </c>
    </row>
    <row r="160" ht="15.75" customHeight="1" s="52">
      <c r="A160" s="92">
        <f>IF(KA!B10&lt;&gt;"","KA","")</f>
        <v/>
      </c>
      <c r="B160" s="82">
        <f>IF(KA!B10&lt;&gt;"",KA!B10,"")</f>
        <v/>
      </c>
      <c r="C160" s="82">
        <f>IF(KA!B10&lt;&gt;"",KA!C10,"")</f>
        <v/>
      </c>
      <c r="D160" s="82">
        <f>IF(KA!B10&lt;&gt;"",KA!D10,"")</f>
        <v/>
      </c>
      <c r="E160" s="82">
        <f>IF(KA!B10&lt;&gt;"",KA!E10,"")</f>
        <v/>
      </c>
      <c r="F160" s="82">
        <f>IF(KA!B10&lt;&gt;"",KA!F10,"")</f>
        <v/>
      </c>
      <c r="G160" s="82">
        <f>IF(KA!B10&lt;&gt;"",KA!G10,"")</f>
        <v/>
      </c>
      <c r="H160" s="92">
        <f>IF(KA!B10&lt;&gt;"",KA!H10,"")</f>
        <v/>
      </c>
      <c r="I160" s="92">
        <f>IF(KA!B10&lt;&gt;"",KA!I10,"")</f>
        <v/>
      </c>
      <c r="J160" s="82">
        <f>IF(KA!B10&lt;&gt;"",KA!J10,"")</f>
        <v/>
      </c>
    </row>
    <row r="161" ht="15.75" customHeight="1" s="52">
      <c r="A161" s="97">
        <f>IF(KA!B11&lt;&gt;"","KA","")</f>
        <v/>
      </c>
      <c r="B161" s="78">
        <f>IF(KA!B11&lt;&gt;"",KA!B11,"")</f>
        <v/>
      </c>
      <c r="C161" s="78">
        <f>IF(KA!B11&lt;&gt;"",KA!C11,"")</f>
        <v/>
      </c>
      <c r="D161" s="78">
        <f>IF(KA!B11&lt;&gt;"",KA!D11,"")</f>
        <v/>
      </c>
      <c r="E161" s="78">
        <f>IF(KA!B11&lt;&gt;"",KA!E11,"")</f>
        <v/>
      </c>
      <c r="F161" s="78">
        <f>IF(KA!B11&lt;&gt;"",KA!F11,"")</f>
        <v/>
      </c>
      <c r="G161" s="78">
        <f>IF(KA!B11&lt;&gt;"",KA!G11,"")</f>
        <v/>
      </c>
      <c r="H161" s="97">
        <f>IF(KA!B11&lt;&gt;"",KA!H11,"")</f>
        <v/>
      </c>
      <c r="I161" s="97">
        <f>IF(KA!B11&lt;&gt;"",KA!I11,"")</f>
        <v/>
      </c>
      <c r="J161" s="78">
        <f>IF(KA!B11&lt;&gt;"",KA!J11,"")</f>
        <v/>
      </c>
    </row>
    <row r="162" ht="15.75" customHeight="1" s="52">
      <c r="A162" s="92">
        <f>IF(KA!B12&lt;&gt;"","KA","")</f>
        <v/>
      </c>
      <c r="B162" s="82">
        <f>IF(KA!B12&lt;&gt;"",KA!B12,"")</f>
        <v/>
      </c>
      <c r="C162" s="82">
        <f>IF(KA!B12&lt;&gt;"",KA!C12,"")</f>
        <v/>
      </c>
      <c r="D162" s="82">
        <f>IF(KA!B12&lt;&gt;"",KA!D12,"")</f>
        <v/>
      </c>
      <c r="E162" s="82">
        <f>IF(KA!B12&lt;&gt;"",KA!E12,"")</f>
        <v/>
      </c>
      <c r="F162" s="82">
        <f>IF(KA!B12&lt;&gt;"",KA!F12,"")</f>
        <v/>
      </c>
      <c r="G162" s="82">
        <f>IF(KA!B12&lt;&gt;"",KA!G12,"")</f>
        <v/>
      </c>
      <c r="H162" s="92">
        <f>IF(KA!B12&lt;&gt;"",KA!H12,"")</f>
        <v/>
      </c>
      <c r="I162" s="92">
        <f>IF(KA!B12&lt;&gt;"",KA!I12,"")</f>
        <v/>
      </c>
      <c r="J162" s="82">
        <f>IF(KA!B12&lt;&gt;"",KA!J12,"")</f>
        <v/>
      </c>
    </row>
    <row r="163" ht="15.75" customHeight="1" s="52">
      <c r="A163" s="97">
        <f>IF(KA!B13&lt;&gt;"","KA","")</f>
        <v/>
      </c>
      <c r="B163" s="78">
        <f>IF(KA!B13&lt;&gt;"",KA!B13,"")</f>
        <v/>
      </c>
      <c r="C163" s="78">
        <f>IF(KA!B13&lt;&gt;"",KA!C13,"")</f>
        <v/>
      </c>
      <c r="D163" s="78">
        <f>IF(KA!B13&lt;&gt;"",KA!D13,"")</f>
        <v/>
      </c>
      <c r="E163" s="78">
        <f>IF(KA!B13&lt;&gt;"",KA!E13,"")</f>
        <v/>
      </c>
      <c r="F163" s="78">
        <f>IF(KA!B13&lt;&gt;"",KA!F13,"")</f>
        <v/>
      </c>
      <c r="G163" s="78">
        <f>IF(KA!B13&lt;&gt;"",KA!G13,"")</f>
        <v/>
      </c>
      <c r="H163" s="97">
        <f>IF(KA!B13&lt;&gt;"",KA!H13,"")</f>
        <v/>
      </c>
      <c r="I163" s="97">
        <f>IF(KA!B13&lt;&gt;"",KA!I13,"")</f>
        <v/>
      </c>
      <c r="J163" s="78">
        <f>IF(KA!B13&lt;&gt;"",KA!J13,"")</f>
        <v/>
      </c>
    </row>
    <row r="164" ht="15.75" customHeight="1" s="52">
      <c r="A164" s="92">
        <f>IF(KA!B14&lt;&gt;"","KA","")</f>
        <v/>
      </c>
      <c r="B164" s="82">
        <f>IF(KA!B14&lt;&gt;"",KA!B14,"")</f>
        <v/>
      </c>
      <c r="C164" s="82">
        <f>IF(KA!B14&lt;&gt;"",KA!C14,"")</f>
        <v/>
      </c>
      <c r="D164" s="82">
        <f>IF(KA!B14&lt;&gt;"",KA!D14,"")</f>
        <v/>
      </c>
      <c r="E164" s="82">
        <f>IF(KA!B14&lt;&gt;"",KA!E14,"")</f>
        <v/>
      </c>
      <c r="F164" s="82">
        <f>IF(KA!B14&lt;&gt;"",KA!F14,"")</f>
        <v/>
      </c>
      <c r="G164" s="82">
        <f>IF(KA!B14&lt;&gt;"",KA!G14,"")</f>
        <v/>
      </c>
      <c r="H164" s="92">
        <f>IF(KA!B14&lt;&gt;"",KA!H14,"")</f>
        <v/>
      </c>
      <c r="I164" s="92">
        <f>IF(KA!B14&lt;&gt;"",KA!I14,"")</f>
        <v/>
      </c>
      <c r="J164" s="82">
        <f>IF(KA!B14&lt;&gt;"",KA!J14,"")</f>
        <v/>
      </c>
    </row>
    <row r="165" ht="15.75" customHeight="1" s="52">
      <c r="A165" s="97">
        <f>IF(KA!B15&lt;&gt;"","KA","")</f>
        <v/>
      </c>
      <c r="B165" s="78">
        <f>IF(KA!B15&lt;&gt;"",KA!B15,"")</f>
        <v/>
      </c>
      <c r="C165" s="78">
        <f>IF(KA!B15&lt;&gt;"",KA!C15,"")</f>
        <v/>
      </c>
      <c r="D165" s="78">
        <f>IF(KA!B15&lt;&gt;"",KA!D15,"")</f>
        <v/>
      </c>
      <c r="E165" s="78">
        <f>IF(KA!B15&lt;&gt;"",KA!E15,"")</f>
        <v/>
      </c>
      <c r="F165" s="78">
        <f>IF(KA!B15&lt;&gt;"",KA!F15,"")</f>
        <v/>
      </c>
      <c r="G165" s="78">
        <f>IF(KA!B15&lt;&gt;"",KA!G15,"")</f>
        <v/>
      </c>
      <c r="H165" s="97">
        <f>IF(KA!B15&lt;&gt;"",KA!H15,"")</f>
        <v/>
      </c>
      <c r="I165" s="97">
        <f>IF(KA!B15&lt;&gt;"",KA!I15,"")</f>
        <v/>
      </c>
      <c r="J165" s="78">
        <f>IF(KA!B15&lt;&gt;"",KA!J15,"")</f>
        <v/>
      </c>
    </row>
    <row r="166" ht="15.75" customHeight="1" s="52">
      <c r="A166" s="92">
        <f>IF(KA!B16&lt;&gt;"","KA","")</f>
        <v/>
      </c>
      <c r="B166" s="82">
        <f>IF(KA!B16&lt;&gt;"",KA!B16,"")</f>
        <v/>
      </c>
      <c r="C166" s="82">
        <f>IF(KA!B16&lt;&gt;"",KA!C16,"")</f>
        <v/>
      </c>
      <c r="D166" s="82">
        <f>IF(KA!B16&lt;&gt;"",KA!D16,"")</f>
        <v/>
      </c>
      <c r="E166" s="82">
        <f>IF(KA!B16&lt;&gt;"",KA!E16,"")</f>
        <v/>
      </c>
      <c r="F166" s="82">
        <f>IF(KA!B16&lt;&gt;"",KA!F16,"")</f>
        <v/>
      </c>
      <c r="G166" s="82">
        <f>IF(KA!B16&lt;&gt;"",KA!G16,"")</f>
        <v/>
      </c>
      <c r="H166" s="92">
        <f>IF(KA!B16&lt;&gt;"",KA!H16,"")</f>
        <v/>
      </c>
      <c r="I166" s="92">
        <f>IF(KA!B16&lt;&gt;"",KA!I16,"")</f>
        <v/>
      </c>
      <c r="J166" s="82">
        <f>IF(KA!B16&lt;&gt;"",KA!J16,"")</f>
        <v/>
      </c>
    </row>
    <row r="167" ht="15.75" customHeight="1" s="52">
      <c r="A167" s="97">
        <f>IF(KA!B17&lt;&gt;"","KA","")</f>
        <v/>
      </c>
      <c r="B167" s="78">
        <f>IF(KA!B17&lt;&gt;"",KA!B17,"")</f>
        <v/>
      </c>
      <c r="C167" s="78">
        <f>IF(KA!B17&lt;&gt;"",KA!C17,"")</f>
        <v/>
      </c>
      <c r="D167" s="78">
        <f>IF(KA!B17&lt;&gt;"",KA!D17,"")</f>
        <v/>
      </c>
      <c r="E167" s="78">
        <f>IF(KA!B17&lt;&gt;"",KA!E17,"")</f>
        <v/>
      </c>
      <c r="F167" s="78">
        <f>IF(KA!B17&lt;&gt;"",KA!F17,"")</f>
        <v/>
      </c>
      <c r="G167" s="78">
        <f>IF(KA!B17&lt;&gt;"",KA!G17,"")</f>
        <v/>
      </c>
      <c r="H167" s="97">
        <f>IF(KA!B17&lt;&gt;"",KA!H17,"")</f>
        <v/>
      </c>
      <c r="I167" s="97">
        <f>IF(KA!B17&lt;&gt;"",KA!I17,"")</f>
        <v/>
      </c>
      <c r="J167" s="78">
        <f>IF(KA!B17&lt;&gt;"",KA!J17,"")</f>
        <v/>
      </c>
    </row>
    <row r="168" ht="15.75" customHeight="1" s="52">
      <c r="A168" s="92">
        <f>IF(KA!B18&lt;&gt;"","KA","")</f>
        <v/>
      </c>
      <c r="B168" s="82">
        <f>IF(KA!B18&lt;&gt;"",KA!B18,"")</f>
        <v/>
      </c>
      <c r="C168" s="82">
        <f>IF(KA!B18&lt;&gt;"",KA!C18,"")</f>
        <v/>
      </c>
      <c r="D168" s="82">
        <f>IF(KA!B18&lt;&gt;"",KA!D18,"")</f>
        <v/>
      </c>
      <c r="E168" s="82">
        <f>IF(KA!B18&lt;&gt;"",KA!E18,"")</f>
        <v/>
      </c>
      <c r="F168" s="82">
        <f>IF(KA!B18&lt;&gt;"",KA!F18,"")</f>
        <v/>
      </c>
      <c r="G168" s="82">
        <f>IF(KA!B18&lt;&gt;"",KA!G18,"")</f>
        <v/>
      </c>
      <c r="H168" s="92">
        <f>IF(KA!B18&lt;&gt;"",KA!H18,"")</f>
        <v/>
      </c>
      <c r="I168" s="92">
        <f>IF(KA!B18&lt;&gt;"",KA!I18,"")</f>
        <v/>
      </c>
      <c r="J168" s="82">
        <f>IF(KA!B18&lt;&gt;"",KA!J18,"")</f>
        <v/>
      </c>
    </row>
    <row r="169" ht="15.75" customHeight="1" s="52">
      <c r="A169" s="97">
        <f>IF(KA!B19&lt;&gt;"","KA","")</f>
        <v/>
      </c>
      <c r="B169" s="78">
        <f>IF(KA!B19&lt;&gt;"",KA!B19,"")</f>
        <v/>
      </c>
      <c r="C169" s="78">
        <f>IF(KA!B19&lt;&gt;"",KA!C19,"")</f>
        <v/>
      </c>
      <c r="D169" s="78">
        <f>IF(KA!B19&lt;&gt;"",KA!D19,"")</f>
        <v/>
      </c>
      <c r="E169" s="78">
        <f>IF(KA!B19&lt;&gt;"",KA!E19,"")</f>
        <v/>
      </c>
      <c r="F169" s="78">
        <f>IF(KA!B19&lt;&gt;"",KA!F19,"")</f>
        <v/>
      </c>
      <c r="G169" s="78">
        <f>IF(KA!B19&lt;&gt;"",KA!G19,"")</f>
        <v/>
      </c>
      <c r="H169" s="97">
        <f>IF(KA!B19&lt;&gt;"",KA!H19,"")</f>
        <v/>
      </c>
      <c r="I169" s="97">
        <f>IF(KA!B19&lt;&gt;"",KA!I19,"")</f>
        <v/>
      </c>
      <c r="J169" s="78">
        <f>IF(KA!B19&lt;&gt;"",KA!J19,"")</f>
        <v/>
      </c>
    </row>
    <row r="170" ht="15.75" customHeight="1" s="52">
      <c r="A170" s="92">
        <f>IF(KA!B20&lt;&gt;"","KA","")</f>
        <v/>
      </c>
      <c r="B170" s="82">
        <f>IF(KA!B20&lt;&gt;"",KA!B20,"")</f>
        <v/>
      </c>
      <c r="C170" s="82">
        <f>IF(KA!B20&lt;&gt;"",KA!C20,"")</f>
        <v/>
      </c>
      <c r="D170" s="82">
        <f>IF(KA!B20&lt;&gt;"",KA!D20,"")</f>
        <v/>
      </c>
      <c r="E170" s="82">
        <f>IF(KA!B20&lt;&gt;"",KA!E20,"")</f>
        <v/>
      </c>
      <c r="F170" s="82">
        <f>IF(KA!B20&lt;&gt;"",KA!F20,"")</f>
        <v/>
      </c>
      <c r="G170" s="82">
        <f>IF(KA!B20&lt;&gt;"",KA!G20,"")</f>
        <v/>
      </c>
      <c r="H170" s="92">
        <f>IF(KA!B20&lt;&gt;"",KA!H20,"")</f>
        <v/>
      </c>
      <c r="I170" s="92">
        <f>IF(KA!B20&lt;&gt;"",KA!I20,"")</f>
        <v/>
      </c>
      <c r="J170" s="82">
        <f>IF(KA!B20&lt;&gt;"",KA!J20,"")</f>
        <v/>
      </c>
    </row>
    <row r="171" ht="15.75" customHeight="1" s="52">
      <c r="A171" s="97">
        <f>IF(KA!B21&lt;&gt;"","KA","")</f>
        <v/>
      </c>
      <c r="B171" s="78">
        <f>IF(KA!B21&lt;&gt;"",KA!B21,"")</f>
        <v/>
      </c>
      <c r="C171" s="78">
        <f>IF(KA!B21&lt;&gt;"",KA!C21,"")</f>
        <v/>
      </c>
      <c r="D171" s="78">
        <f>IF(KA!B21&lt;&gt;"",KA!D21,"")</f>
        <v/>
      </c>
      <c r="E171" s="78">
        <f>IF(KA!B21&lt;&gt;"",KA!E21,"")</f>
        <v/>
      </c>
      <c r="F171" s="78">
        <f>IF(KA!B21&lt;&gt;"",KA!F21,"")</f>
        <v/>
      </c>
      <c r="G171" s="78">
        <f>IF(KA!B21&lt;&gt;"",KA!G21,"")</f>
        <v/>
      </c>
      <c r="H171" s="97">
        <f>IF(KA!B21&lt;&gt;"",KA!H21,"")</f>
        <v/>
      </c>
      <c r="I171" s="97">
        <f>IF(KA!B21&lt;&gt;"",KA!I21,"")</f>
        <v/>
      </c>
      <c r="J171" s="78">
        <f>IF(KA!B21&lt;&gt;"",KA!J21,"")</f>
        <v/>
      </c>
    </row>
    <row r="172" ht="15.75" customHeight="1" s="52">
      <c r="A172" s="92">
        <f>IF(KA!B22&lt;&gt;"","KA","")</f>
        <v/>
      </c>
      <c r="B172" s="82">
        <f>IF(KA!B22&lt;&gt;"",KA!B22,"")</f>
        <v/>
      </c>
      <c r="C172" s="82">
        <f>IF(KA!B22&lt;&gt;"",KA!C22,"")</f>
        <v/>
      </c>
      <c r="D172" s="82">
        <f>IF(KA!B22&lt;&gt;"",KA!D22,"")</f>
        <v/>
      </c>
      <c r="E172" s="82">
        <f>IF(KA!B22&lt;&gt;"",KA!E22,"")</f>
        <v/>
      </c>
      <c r="F172" s="82">
        <f>IF(KA!B22&lt;&gt;"",KA!F22,"")</f>
        <v/>
      </c>
      <c r="G172" s="82">
        <f>IF(KA!B22&lt;&gt;"",KA!G22,"")</f>
        <v/>
      </c>
      <c r="H172" s="92">
        <f>IF(KA!B22&lt;&gt;"",KA!H22,"")</f>
        <v/>
      </c>
      <c r="I172" s="92">
        <f>IF(KA!B22&lt;&gt;"",KA!I22,"")</f>
        <v/>
      </c>
      <c r="J172" s="82">
        <f>IF(KA!B22&lt;&gt;"",KA!J22,"")</f>
        <v/>
      </c>
    </row>
    <row r="173" ht="15.75" customHeight="1" s="52">
      <c r="A173" s="97">
        <f>IF(KA!B23&lt;&gt;"","KA","")</f>
        <v/>
      </c>
      <c r="B173" s="78">
        <f>IF(KA!B23&lt;&gt;"",KA!B23,"")</f>
        <v/>
      </c>
      <c r="C173" s="78">
        <f>IF(KA!B23&lt;&gt;"",KA!C23,"")</f>
        <v/>
      </c>
      <c r="D173" s="78">
        <f>IF(KA!B23&lt;&gt;"",KA!D23,"")</f>
        <v/>
      </c>
      <c r="E173" s="78">
        <f>IF(KA!B23&lt;&gt;"",KA!E23,"")</f>
        <v/>
      </c>
      <c r="F173" s="78">
        <f>IF(KA!B23&lt;&gt;"",KA!F23,"")</f>
        <v/>
      </c>
      <c r="G173" s="78">
        <f>IF(KA!B23&lt;&gt;"",KA!G23,"")</f>
        <v/>
      </c>
      <c r="H173" s="97">
        <f>IF(KA!B23&lt;&gt;"",KA!H23,"")</f>
        <v/>
      </c>
      <c r="I173" s="97">
        <f>IF(KA!B23&lt;&gt;"",KA!I23,"")</f>
        <v/>
      </c>
      <c r="J173" s="78">
        <f>IF(KA!B23&lt;&gt;"",KA!J23,"")</f>
        <v/>
      </c>
    </row>
    <row r="174" ht="15.75" customHeight="1" s="52">
      <c r="A174" s="92">
        <f>IF(KA!B24&lt;&gt;"","KA","")</f>
        <v/>
      </c>
      <c r="B174" s="82">
        <f>IF(KA!B24&lt;&gt;"",KA!B24,"")</f>
        <v/>
      </c>
      <c r="C174" s="82">
        <f>IF(KA!B24&lt;&gt;"",KA!C24,"")</f>
        <v/>
      </c>
      <c r="D174" s="82">
        <f>IF(KA!B24&lt;&gt;"",KA!D24,"")</f>
        <v/>
      </c>
      <c r="E174" s="82">
        <f>IF(KA!B24&lt;&gt;"",KA!E24,"")</f>
        <v/>
      </c>
      <c r="F174" s="82">
        <f>IF(KA!B24&lt;&gt;"",KA!F24,"")</f>
        <v/>
      </c>
      <c r="G174" s="82">
        <f>IF(KA!B24&lt;&gt;"",KA!G24,"")</f>
        <v/>
      </c>
      <c r="H174" s="92">
        <f>IF(KA!B24&lt;&gt;"",KA!H24,"")</f>
        <v/>
      </c>
      <c r="I174" s="92">
        <f>IF(KA!B24&lt;&gt;"",KA!I24,"")</f>
        <v/>
      </c>
      <c r="J174" s="82">
        <f>IF(KA!B24&lt;&gt;"",KA!J24,"")</f>
        <v/>
      </c>
    </row>
    <row r="175" ht="15.75" customHeight="1" s="52">
      <c r="A175" s="97">
        <f>IF(KA!B25&lt;&gt;"","KA","")</f>
        <v/>
      </c>
      <c r="B175" s="78">
        <f>IF(KA!B25&lt;&gt;"",KA!B25,"")</f>
        <v/>
      </c>
      <c r="C175" s="78">
        <f>IF(KA!B25&lt;&gt;"",KA!C25,"")</f>
        <v/>
      </c>
      <c r="D175" s="78">
        <f>IF(KA!B25&lt;&gt;"",KA!D25,"")</f>
        <v/>
      </c>
      <c r="E175" s="78">
        <f>IF(KA!B25&lt;&gt;"",KA!E25,"")</f>
        <v/>
      </c>
      <c r="F175" s="78">
        <f>IF(KA!B25&lt;&gt;"",KA!F25,"")</f>
        <v/>
      </c>
      <c r="G175" s="78">
        <f>IF(KA!B25&lt;&gt;"",KA!G25,"")</f>
        <v/>
      </c>
      <c r="H175" s="97">
        <f>IF(KA!B25&lt;&gt;"",KA!H25,"")</f>
        <v/>
      </c>
      <c r="I175" s="97">
        <f>IF(KA!B25&lt;&gt;"",KA!I25,"")</f>
        <v/>
      </c>
      <c r="J175" s="78">
        <f>IF(KA!B25&lt;&gt;"",KA!J25,"")</f>
        <v/>
      </c>
    </row>
    <row r="176" ht="15.75" customHeight="1" s="52">
      <c r="A176" s="92">
        <f>IF(KA!B26&lt;&gt;"","KA","")</f>
        <v/>
      </c>
      <c r="B176" s="82">
        <f>IF(KA!B26&lt;&gt;"",KA!B26,"")</f>
        <v/>
      </c>
      <c r="C176" s="82">
        <f>IF(KA!B26&lt;&gt;"",KA!C26,"")</f>
        <v/>
      </c>
      <c r="D176" s="82">
        <f>IF(KA!B26&lt;&gt;"",KA!D26,"")</f>
        <v/>
      </c>
      <c r="E176" s="82">
        <f>IF(KA!B26&lt;&gt;"",KA!E26,"")</f>
        <v/>
      </c>
      <c r="F176" s="82">
        <f>IF(KA!B26&lt;&gt;"",KA!F26,"")</f>
        <v/>
      </c>
      <c r="G176" s="82">
        <f>IF(KA!B26&lt;&gt;"",KA!G26,"")</f>
        <v/>
      </c>
      <c r="H176" s="92">
        <f>IF(KA!B26&lt;&gt;"",KA!H26,"")</f>
        <v/>
      </c>
      <c r="I176" s="92">
        <f>IF(KA!B26&lt;&gt;"",KA!I26,"")</f>
        <v/>
      </c>
      <c r="J176" s="82">
        <f>IF(KA!B26&lt;&gt;"",KA!J26,"")</f>
        <v/>
      </c>
    </row>
    <row r="177" ht="15.75" customHeight="1" s="52">
      <c r="A177" s="97">
        <f>IF(KA!B27&lt;&gt;"","KA","")</f>
        <v/>
      </c>
      <c r="B177" s="78">
        <f>IF(KA!B27&lt;&gt;"",KA!B27,"")</f>
        <v/>
      </c>
      <c r="C177" s="78">
        <f>IF(KA!B27&lt;&gt;"",KA!C27,"")</f>
        <v/>
      </c>
      <c r="D177" s="78">
        <f>IF(KA!B27&lt;&gt;"",KA!D27,"")</f>
        <v/>
      </c>
      <c r="E177" s="78">
        <f>IF(KA!B27&lt;&gt;"",KA!E27,"")</f>
        <v/>
      </c>
      <c r="F177" s="78">
        <f>IF(KA!B27&lt;&gt;"",KA!F27,"")</f>
        <v/>
      </c>
      <c r="G177" s="78">
        <f>IF(KA!B27&lt;&gt;"",KA!G27,"")</f>
        <v/>
      </c>
      <c r="H177" s="97">
        <f>IF(KA!B27&lt;&gt;"",KA!H27,"")</f>
        <v/>
      </c>
      <c r="I177" s="97">
        <f>IF(KA!B27&lt;&gt;"",KA!I27,"")</f>
        <v/>
      </c>
      <c r="J177" s="78">
        <f>IF(KA!B27&lt;&gt;"",KA!J27,"")</f>
        <v/>
      </c>
    </row>
    <row r="178" ht="15.75" customHeight="1" s="52">
      <c r="A178" s="92">
        <f>IF(KA!B28&lt;&gt;"","KA","")</f>
        <v/>
      </c>
      <c r="B178" s="82">
        <f>IF(KA!B28&lt;&gt;"",KA!B28,"")</f>
        <v/>
      </c>
      <c r="C178" s="82">
        <f>IF(KA!B28&lt;&gt;"",KA!C28,"")</f>
        <v/>
      </c>
      <c r="D178" s="82">
        <f>IF(KA!B28&lt;&gt;"",KA!D28,"")</f>
        <v/>
      </c>
      <c r="E178" s="82">
        <f>IF(KA!B28&lt;&gt;"",KA!E28,"")</f>
        <v/>
      </c>
      <c r="F178" s="82">
        <f>IF(KA!B28&lt;&gt;"",KA!F28,"")</f>
        <v/>
      </c>
      <c r="G178" s="82">
        <f>IF(KA!B28&lt;&gt;"",KA!G28,"")</f>
        <v/>
      </c>
      <c r="H178" s="92">
        <f>IF(KA!B28&lt;&gt;"",KA!H28,"")</f>
        <v/>
      </c>
      <c r="I178" s="92">
        <f>IF(KA!B28&lt;&gt;"",KA!I28,"")</f>
        <v/>
      </c>
      <c r="J178" s="82">
        <f>IF(KA!B28&lt;&gt;"",KA!J28,"")</f>
        <v/>
      </c>
    </row>
    <row r="179" ht="15.75" customHeight="1" s="52">
      <c r="A179" s="97">
        <f>IF(KA!B29&lt;&gt;"","KA","")</f>
        <v/>
      </c>
      <c r="B179" s="78">
        <f>IF(KA!B29&lt;&gt;"",KA!B29,"")</f>
        <v/>
      </c>
      <c r="C179" s="78">
        <f>IF(KA!B29&lt;&gt;"",KA!C29,"")</f>
        <v/>
      </c>
      <c r="D179" s="78">
        <f>IF(KA!B29&lt;&gt;"",KA!D29,"")</f>
        <v/>
      </c>
      <c r="E179" s="78">
        <f>IF(KA!B29&lt;&gt;"",KA!E29,"")</f>
        <v/>
      </c>
      <c r="F179" s="78">
        <f>IF(KA!B29&lt;&gt;"",KA!F29,"")</f>
        <v/>
      </c>
      <c r="G179" s="78">
        <f>IF(KA!B29&lt;&gt;"",KA!G29,"")</f>
        <v/>
      </c>
      <c r="H179" s="97">
        <f>IF(KA!B29&lt;&gt;"",KA!H29,"")</f>
        <v/>
      </c>
      <c r="I179" s="97">
        <f>IF(KA!B29&lt;&gt;"",KA!I29,"")</f>
        <v/>
      </c>
      <c r="J179" s="78">
        <f>IF(KA!B29&lt;&gt;"",KA!J29,"")</f>
        <v/>
      </c>
    </row>
    <row r="180" ht="15.75" customHeight="1" s="52">
      <c r="A180" s="92">
        <f>IF(KA!B30&lt;&gt;"","KA","")</f>
        <v/>
      </c>
      <c r="B180" s="82">
        <f>IF(KA!B30&lt;&gt;"",KA!B30,"")</f>
        <v/>
      </c>
      <c r="C180" s="82">
        <f>IF(KA!B30&lt;&gt;"",KA!C30,"")</f>
        <v/>
      </c>
      <c r="D180" s="82">
        <f>IF(KA!B30&lt;&gt;"",KA!D30,"")</f>
        <v/>
      </c>
      <c r="E180" s="82">
        <f>IF(KA!B30&lt;&gt;"",KA!E30,"")</f>
        <v/>
      </c>
      <c r="F180" s="82">
        <f>IF(KA!B30&lt;&gt;"",KA!F30,"")</f>
        <v/>
      </c>
      <c r="G180" s="82">
        <f>IF(KA!B30&lt;&gt;"",KA!G30,"")</f>
        <v/>
      </c>
      <c r="H180" s="92">
        <f>IF(KA!B30&lt;&gt;"",KA!H30,"")</f>
        <v/>
      </c>
      <c r="I180" s="92">
        <f>IF(KA!B30&lt;&gt;"",KA!I30,"")</f>
        <v/>
      </c>
      <c r="J180" s="82">
        <f>IF(KA!B30&lt;&gt;"",KA!J30,"")</f>
        <v/>
      </c>
    </row>
    <row r="181" ht="15.75" customHeight="1" s="52">
      <c r="A181" s="97">
        <f>IF(KA!B31&lt;&gt;"","KA","")</f>
        <v/>
      </c>
      <c r="B181" s="78">
        <f>IF(KA!B31&lt;&gt;"",KA!B31,"")</f>
        <v/>
      </c>
      <c r="C181" s="78">
        <f>IF(KA!B31&lt;&gt;"",KA!C31,"")</f>
        <v/>
      </c>
      <c r="D181" s="78">
        <f>IF(KA!B31&lt;&gt;"",KA!D31,"")</f>
        <v/>
      </c>
      <c r="E181" s="78">
        <f>IF(KA!B31&lt;&gt;"",KA!E31,"")</f>
        <v/>
      </c>
      <c r="F181" s="78">
        <f>IF(KA!B31&lt;&gt;"",KA!F31,"")</f>
        <v/>
      </c>
      <c r="G181" s="78">
        <f>IF(KA!B31&lt;&gt;"",KA!G31,"")</f>
        <v/>
      </c>
      <c r="H181" s="97">
        <f>IF(KA!B31&lt;&gt;"",KA!H31,"")</f>
        <v/>
      </c>
      <c r="I181" s="97">
        <f>IF(KA!B31&lt;&gt;"",KA!I31,"")</f>
        <v/>
      </c>
      <c r="J181" s="78">
        <f>IF(KA!B31&lt;&gt;"",KA!J31,"")</f>
        <v/>
      </c>
    </row>
    <row r="182" ht="15.75" customHeight="1" s="52">
      <c r="A182" s="92">
        <f>IF(KA!B32&lt;&gt;"","KA","")</f>
        <v/>
      </c>
      <c r="B182" s="82">
        <f>IF(KA!B32&lt;&gt;"",KA!B32,"")</f>
        <v/>
      </c>
      <c r="C182" s="82">
        <f>IF(KA!B32&lt;&gt;"",KA!C32,"")</f>
        <v/>
      </c>
      <c r="D182" s="82">
        <f>IF(KA!B32&lt;&gt;"",KA!D32,"")</f>
        <v/>
      </c>
      <c r="E182" s="82">
        <f>IF(KA!B32&lt;&gt;"",KA!E32,"")</f>
        <v/>
      </c>
      <c r="F182" s="82">
        <f>IF(KA!B32&lt;&gt;"",KA!F32,"")</f>
        <v/>
      </c>
      <c r="G182" s="82">
        <f>IF(KA!B32&lt;&gt;"",KA!G32,"")</f>
        <v/>
      </c>
      <c r="H182" s="92">
        <f>IF(KA!B32&lt;&gt;"",KA!H32,"")</f>
        <v/>
      </c>
      <c r="I182" s="92">
        <f>IF(KA!B32&lt;&gt;"",KA!I32,"")</f>
        <v/>
      </c>
      <c r="J182" s="82">
        <f>IF(KA!B32&lt;&gt;"",KA!J32,"")</f>
        <v/>
      </c>
    </row>
    <row r="183" ht="15.75" customHeight="1" s="52">
      <c r="A183" s="97">
        <f>IF(KA!B33&lt;&gt;"","KA","")</f>
        <v/>
      </c>
      <c r="B183" s="78">
        <f>IF(KA!B33&lt;&gt;"",KA!B33,"")</f>
        <v/>
      </c>
      <c r="C183" s="78">
        <f>IF(KA!B33&lt;&gt;"",KA!C33,"")</f>
        <v/>
      </c>
      <c r="D183" s="78">
        <f>IF(KA!B33&lt;&gt;"",KA!D33,"")</f>
        <v/>
      </c>
      <c r="E183" s="78">
        <f>IF(KA!B33&lt;&gt;"",KA!E33,"")</f>
        <v/>
      </c>
      <c r="F183" s="78">
        <f>IF(KA!B33&lt;&gt;"",KA!F33,"")</f>
        <v/>
      </c>
      <c r="G183" s="78">
        <f>IF(KA!B33&lt;&gt;"",KA!G33,"")</f>
        <v/>
      </c>
      <c r="H183" s="97">
        <f>IF(KA!B33&lt;&gt;"",KA!H33,"")</f>
        <v/>
      </c>
      <c r="I183" s="97">
        <f>IF(KA!B33&lt;&gt;"",KA!I33,"")</f>
        <v/>
      </c>
      <c r="J183" s="78">
        <f>IF(KA!B33&lt;&gt;"",KA!J33,"")</f>
        <v/>
      </c>
    </row>
    <row r="184" ht="15.75" customHeight="1" s="52">
      <c r="A184" s="92">
        <f>IF(KA!B34&lt;&gt;"","KA","")</f>
        <v/>
      </c>
      <c r="B184" s="82">
        <f>IF(KA!B34&lt;&gt;"",KA!B34,"")</f>
        <v/>
      </c>
      <c r="C184" s="82">
        <f>IF(KA!B34&lt;&gt;"",KA!C34,"")</f>
        <v/>
      </c>
      <c r="D184" s="82">
        <f>IF(KA!B34&lt;&gt;"",KA!D34,"")</f>
        <v/>
      </c>
      <c r="E184" s="82">
        <f>IF(KA!B34&lt;&gt;"",KA!E34,"")</f>
        <v/>
      </c>
      <c r="F184" s="82">
        <f>IF(KA!B34&lt;&gt;"",KA!F34,"")</f>
        <v/>
      </c>
      <c r="G184" s="82">
        <f>IF(KA!B34&lt;&gt;"",KA!G34,"")</f>
        <v/>
      </c>
      <c r="H184" s="92">
        <f>IF(KA!B34&lt;&gt;"",KA!H34,"")</f>
        <v/>
      </c>
      <c r="I184" s="92">
        <f>IF(KA!B34&lt;&gt;"",KA!I34,"")</f>
        <v/>
      </c>
      <c r="J184" s="82">
        <f>IF(KA!B34&lt;&gt;"",KA!J34,"")</f>
        <v/>
      </c>
    </row>
    <row r="185" ht="15.75" customHeight="1" s="52">
      <c r="A185" s="97">
        <f>IF(KA!B35&lt;&gt;"","KA","")</f>
        <v/>
      </c>
      <c r="B185" s="78">
        <f>IF(KA!B35&lt;&gt;"",KA!B35,"")</f>
        <v/>
      </c>
      <c r="C185" s="78">
        <f>IF(KA!B35&lt;&gt;"",KA!C35,"")</f>
        <v/>
      </c>
      <c r="D185" s="78">
        <f>IF(KA!B35&lt;&gt;"",KA!D35,"")</f>
        <v/>
      </c>
      <c r="E185" s="78">
        <f>IF(KA!B35&lt;&gt;"",KA!E35,"")</f>
        <v/>
      </c>
      <c r="F185" s="78">
        <f>IF(KA!B35&lt;&gt;"",KA!F35,"")</f>
        <v/>
      </c>
      <c r="G185" s="78">
        <f>IF(KA!B35&lt;&gt;"",KA!G35,"")</f>
        <v/>
      </c>
      <c r="H185" s="97">
        <f>IF(KA!B35&lt;&gt;"",KA!H35,"")</f>
        <v/>
      </c>
      <c r="I185" s="97">
        <f>IF(KA!B35&lt;&gt;"",KA!I35,"")</f>
        <v/>
      </c>
      <c r="J185" s="78">
        <f>IF(KA!B35&lt;&gt;"",KA!J35,"")</f>
        <v/>
      </c>
    </row>
    <row r="186" ht="15.75" customHeight="1" s="52">
      <c r="A186" s="92">
        <f>IF(KA!B36&lt;&gt;"","KA","")</f>
        <v/>
      </c>
      <c r="B186" s="82">
        <f>IF(KA!B36&lt;&gt;"",KA!B36,"")</f>
        <v/>
      </c>
      <c r="C186" s="82">
        <f>IF(KA!B36&lt;&gt;"",KA!C36,"")</f>
        <v/>
      </c>
      <c r="D186" s="82">
        <f>IF(KA!B36&lt;&gt;"",KA!D36,"")</f>
        <v/>
      </c>
      <c r="E186" s="82">
        <f>IF(KA!B36&lt;&gt;"",KA!E36,"")</f>
        <v/>
      </c>
      <c r="F186" s="82">
        <f>IF(KA!B36&lt;&gt;"",KA!F36,"")</f>
        <v/>
      </c>
      <c r="G186" s="82">
        <f>IF(KA!B36&lt;&gt;"",KA!G36,"")</f>
        <v/>
      </c>
      <c r="H186" s="92">
        <f>IF(KA!B36&lt;&gt;"",KA!H36,"")</f>
        <v/>
      </c>
      <c r="I186" s="92">
        <f>IF(KA!B36&lt;&gt;"",KA!I36,"")</f>
        <v/>
      </c>
      <c r="J186" s="82">
        <f>IF(KA!B36&lt;&gt;"",KA!J36,"")</f>
        <v/>
      </c>
    </row>
    <row r="187" ht="15.75" customHeight="1" s="52">
      <c r="A187" s="97">
        <f>IF(KA!B37&lt;&gt;"","KA","")</f>
        <v/>
      </c>
      <c r="B187" s="78">
        <f>IF(KA!B37&lt;&gt;"",KA!B37,"")</f>
        <v/>
      </c>
      <c r="C187" s="78">
        <f>IF(KA!B37&lt;&gt;"",KA!C37,"")</f>
        <v/>
      </c>
      <c r="D187" s="78">
        <f>IF(KA!B37&lt;&gt;"",KA!D37,"")</f>
        <v/>
      </c>
      <c r="E187" s="78">
        <f>IF(KA!B37&lt;&gt;"",KA!E37,"")</f>
        <v/>
      </c>
      <c r="F187" s="78">
        <f>IF(KA!B37&lt;&gt;"",KA!F37,"")</f>
        <v/>
      </c>
      <c r="G187" s="78">
        <f>IF(KA!B37&lt;&gt;"",KA!G37,"")</f>
        <v/>
      </c>
      <c r="H187" s="97">
        <f>IF(KA!B37&lt;&gt;"",KA!H37,"")</f>
        <v/>
      </c>
      <c r="I187" s="97">
        <f>IF(KA!B37&lt;&gt;"",KA!I37,"")</f>
        <v/>
      </c>
      <c r="J187" s="78">
        <f>IF(KA!B37&lt;&gt;"",KA!J37,"")</f>
        <v/>
      </c>
    </row>
    <row r="188" ht="15.75" customHeight="1" s="52">
      <c r="A188" s="92">
        <f>IF(KA!B38&lt;&gt;"","KA","")</f>
        <v/>
      </c>
      <c r="B188" s="82">
        <f>IF(KA!B38&lt;&gt;"",KA!B38,"")</f>
        <v/>
      </c>
      <c r="C188" s="82">
        <f>IF(KA!B38&lt;&gt;"",KA!C38,"")</f>
        <v/>
      </c>
      <c r="D188" s="82">
        <f>IF(KA!B38&lt;&gt;"",KA!D38,"")</f>
        <v/>
      </c>
      <c r="E188" s="82">
        <f>IF(KA!B38&lt;&gt;"",KA!E38,"")</f>
        <v/>
      </c>
      <c r="F188" s="82">
        <f>IF(KA!B38&lt;&gt;"",KA!F38,"")</f>
        <v/>
      </c>
      <c r="G188" s="82">
        <f>IF(KA!B38&lt;&gt;"",KA!G38,"")</f>
        <v/>
      </c>
      <c r="H188" s="92">
        <f>IF(KA!B38&lt;&gt;"",KA!H38,"")</f>
        <v/>
      </c>
      <c r="I188" s="92">
        <f>IF(KA!B38&lt;&gt;"",KA!I38,"")</f>
        <v/>
      </c>
      <c r="J188" s="82">
        <f>IF(KA!B38&lt;&gt;"",KA!J38,"")</f>
        <v/>
      </c>
    </row>
    <row r="189" ht="15.75" customHeight="1" s="52">
      <c r="A189" s="97">
        <f>IF(KA!B39&lt;&gt;"","KA","")</f>
        <v/>
      </c>
      <c r="B189" s="78">
        <f>IF(KA!B39&lt;&gt;"",KA!B39,"")</f>
        <v/>
      </c>
      <c r="C189" s="78">
        <f>IF(KA!B39&lt;&gt;"",KA!C39,"")</f>
        <v/>
      </c>
      <c r="D189" s="78">
        <f>IF(KA!B39&lt;&gt;"",KA!D39,"")</f>
        <v/>
      </c>
      <c r="E189" s="78">
        <f>IF(KA!B39&lt;&gt;"",KA!E39,"")</f>
        <v/>
      </c>
      <c r="F189" s="78">
        <f>IF(KA!B39&lt;&gt;"",KA!F39,"")</f>
        <v/>
      </c>
      <c r="G189" s="78">
        <f>IF(KA!B39&lt;&gt;"",KA!G39,"")</f>
        <v/>
      </c>
      <c r="H189" s="97">
        <f>IF(KA!B39&lt;&gt;"",KA!H39,"")</f>
        <v/>
      </c>
      <c r="I189" s="97">
        <f>IF(KA!B39&lt;&gt;"",KA!I39,"")</f>
        <v/>
      </c>
      <c r="J189" s="78">
        <f>IF(KA!B39&lt;&gt;"",KA!J39,"")</f>
        <v/>
      </c>
    </row>
    <row r="190" ht="15.75" customHeight="1" s="52">
      <c r="A190" s="92">
        <f>IF(KA!B40&lt;&gt;"","KA","")</f>
        <v/>
      </c>
      <c r="B190" s="82">
        <f>IF(KA!B40&lt;&gt;"",KA!B40,"")</f>
        <v/>
      </c>
      <c r="C190" s="82">
        <f>IF(KA!B40&lt;&gt;"",KA!C40,"")</f>
        <v/>
      </c>
      <c r="D190" s="82">
        <f>IF(KA!B40&lt;&gt;"",KA!D40,"")</f>
        <v/>
      </c>
      <c r="E190" s="82">
        <f>IF(KA!B40&lt;&gt;"",KA!E40,"")</f>
        <v/>
      </c>
      <c r="F190" s="82">
        <f>IF(KA!B40&lt;&gt;"",KA!F40,"")</f>
        <v/>
      </c>
      <c r="G190" s="82">
        <f>IF(KA!B40&lt;&gt;"",KA!G40,"")</f>
        <v/>
      </c>
      <c r="H190" s="92">
        <f>IF(KA!B40&lt;&gt;"",KA!H40,"")</f>
        <v/>
      </c>
      <c r="I190" s="92">
        <f>IF(KA!B40&lt;&gt;"",KA!I40,"")</f>
        <v/>
      </c>
      <c r="J190" s="82">
        <f>IF(KA!B40&lt;&gt;"",KA!J40,"")</f>
        <v/>
      </c>
    </row>
    <row r="191" ht="15.75" customHeight="1" s="52">
      <c r="A191" s="97">
        <f>IF(KA!B41&lt;&gt;"","KA","")</f>
        <v/>
      </c>
      <c r="B191" s="78">
        <f>IF(KA!B41&lt;&gt;"",KA!B41,"")</f>
        <v/>
      </c>
      <c r="C191" s="78">
        <f>IF(KA!B41&lt;&gt;"",KA!C41,"")</f>
        <v/>
      </c>
      <c r="D191" s="78">
        <f>IF(KA!B41&lt;&gt;"",KA!D41,"")</f>
        <v/>
      </c>
      <c r="E191" s="78">
        <f>IF(KA!B41&lt;&gt;"",KA!E41,"")</f>
        <v/>
      </c>
      <c r="F191" s="78">
        <f>IF(KA!B41&lt;&gt;"",KA!F41,"")</f>
        <v/>
      </c>
      <c r="G191" s="78">
        <f>IF(KA!B41&lt;&gt;"",KA!G41,"")</f>
        <v/>
      </c>
      <c r="H191" s="97">
        <f>IF(KA!B41&lt;&gt;"",KA!H41,"")</f>
        <v/>
      </c>
      <c r="I191" s="97">
        <f>IF(KA!B41&lt;&gt;"",KA!I41,"")</f>
        <v/>
      </c>
      <c r="J191" s="78">
        <f>IF(KA!B41&lt;&gt;"",KA!J41,"")</f>
        <v/>
      </c>
    </row>
    <row r="192" ht="15.75" customHeight="1" s="52">
      <c r="A192" s="92">
        <f>IF(KA!B42&lt;&gt;"","KA","")</f>
        <v/>
      </c>
      <c r="B192" s="82">
        <f>IF(KA!B42&lt;&gt;"",KA!B42,"")</f>
        <v/>
      </c>
      <c r="C192" s="82">
        <f>IF(KA!B42&lt;&gt;"",KA!C42,"")</f>
        <v/>
      </c>
      <c r="D192" s="82">
        <f>IF(KA!B42&lt;&gt;"",KA!D42,"")</f>
        <v/>
      </c>
      <c r="E192" s="82">
        <f>IF(KA!B42&lt;&gt;"",KA!E42,"")</f>
        <v/>
      </c>
      <c r="F192" s="82">
        <f>IF(KA!B42&lt;&gt;"",KA!F42,"")</f>
        <v/>
      </c>
      <c r="G192" s="82">
        <f>IF(KA!B42&lt;&gt;"",KA!G42,"")</f>
        <v/>
      </c>
      <c r="H192" s="92">
        <f>IF(KA!B42&lt;&gt;"",KA!H42,"")</f>
        <v/>
      </c>
      <c r="I192" s="92">
        <f>IF(KA!B42&lt;&gt;"",KA!I42,"")</f>
        <v/>
      </c>
      <c r="J192" s="82">
        <f>IF(KA!B42&lt;&gt;"",KA!J42,"")</f>
        <v/>
      </c>
    </row>
    <row r="193" ht="15.75" customHeight="1" s="52">
      <c r="A193" s="97">
        <f>IF(KA!B43&lt;&gt;"","KA","")</f>
        <v/>
      </c>
      <c r="B193" s="78">
        <f>IF(KA!B43&lt;&gt;"",KA!B43,"")</f>
        <v/>
      </c>
      <c r="C193" s="78">
        <f>IF(KA!B43&lt;&gt;"",KA!C43,"")</f>
        <v/>
      </c>
      <c r="D193" s="78">
        <f>IF(KA!B43&lt;&gt;"",KA!D43,"")</f>
        <v/>
      </c>
      <c r="E193" s="78">
        <f>IF(KA!B43&lt;&gt;"",KA!E43,"")</f>
        <v/>
      </c>
      <c r="F193" s="78">
        <f>IF(KA!B43&lt;&gt;"",KA!F43,"")</f>
        <v/>
      </c>
      <c r="G193" s="78">
        <f>IF(KA!B43&lt;&gt;"",KA!G43,"")</f>
        <v/>
      </c>
      <c r="H193" s="97">
        <f>IF(KA!B43&lt;&gt;"",KA!H43,"")</f>
        <v/>
      </c>
      <c r="I193" s="97">
        <f>IF(KA!B43&lt;&gt;"",KA!I43,"")</f>
        <v/>
      </c>
      <c r="J193" s="78">
        <f>IF(KA!B43&lt;&gt;"",KA!J43,"")</f>
        <v/>
      </c>
    </row>
    <row r="194" ht="15.75" customHeight="1" s="52">
      <c r="A194" s="92">
        <f>IF(KA!B44&lt;&gt;"","KA","")</f>
        <v/>
      </c>
      <c r="B194" s="82">
        <f>IF(KA!B44&lt;&gt;"",KA!B44,"")</f>
        <v/>
      </c>
      <c r="C194" s="82">
        <f>IF(KA!B44&lt;&gt;"",KA!C44,"")</f>
        <v/>
      </c>
      <c r="D194" s="82">
        <f>IF(KA!B44&lt;&gt;"",KA!D44,"")</f>
        <v/>
      </c>
      <c r="E194" s="82">
        <f>IF(KA!B44&lt;&gt;"",KA!E44,"")</f>
        <v/>
      </c>
      <c r="F194" s="82">
        <f>IF(KA!B44&lt;&gt;"",KA!F44,"")</f>
        <v/>
      </c>
      <c r="G194" s="82">
        <f>IF(KA!B44&lt;&gt;"",KA!G44,"")</f>
        <v/>
      </c>
      <c r="H194" s="92">
        <f>IF(KA!B44&lt;&gt;"",KA!H44,"")</f>
        <v/>
      </c>
      <c r="I194" s="92">
        <f>IF(KA!B44&lt;&gt;"",KA!I44,"")</f>
        <v/>
      </c>
      <c r="J194" s="82">
        <f>IF(KA!B44&lt;&gt;"",KA!J44,"")</f>
        <v/>
      </c>
    </row>
    <row r="195" ht="15.75" customHeight="1" s="52">
      <c r="A195" s="97">
        <f>IF(KA!B45&lt;&gt;"","KA","")</f>
        <v/>
      </c>
      <c r="B195" s="78">
        <f>IF(KA!B45&lt;&gt;"",KA!B45,"")</f>
        <v/>
      </c>
      <c r="C195" s="78">
        <f>IF(KA!B45&lt;&gt;"",KA!C45,"")</f>
        <v/>
      </c>
      <c r="D195" s="78">
        <f>IF(KA!B45&lt;&gt;"",KA!D45,"")</f>
        <v/>
      </c>
      <c r="E195" s="78">
        <f>IF(KA!B45&lt;&gt;"",KA!E45,"")</f>
        <v/>
      </c>
      <c r="F195" s="78">
        <f>IF(KA!B45&lt;&gt;"",KA!F45,"")</f>
        <v/>
      </c>
      <c r="G195" s="78">
        <f>IF(KA!B45&lt;&gt;"",KA!G45,"")</f>
        <v/>
      </c>
      <c r="H195" s="97">
        <f>IF(KA!B45&lt;&gt;"",KA!H45,"")</f>
        <v/>
      </c>
      <c r="I195" s="97">
        <f>IF(KA!B45&lt;&gt;"",KA!I45,"")</f>
        <v/>
      </c>
      <c r="J195" s="78">
        <f>IF(KA!B45&lt;&gt;"",KA!J45,"")</f>
        <v/>
      </c>
    </row>
    <row r="196" ht="15.75" customHeight="1" s="52">
      <c r="A196" s="92">
        <f>IF(KA!B46&lt;&gt;"","KA","")</f>
        <v/>
      </c>
      <c r="B196" s="82">
        <f>IF(KA!B46&lt;&gt;"",KA!B46,"")</f>
        <v/>
      </c>
      <c r="C196" s="82">
        <f>IF(KA!B46&lt;&gt;"",KA!C46,"")</f>
        <v/>
      </c>
      <c r="D196" s="82">
        <f>IF(KA!B46&lt;&gt;"",KA!D46,"")</f>
        <v/>
      </c>
      <c r="E196" s="82">
        <f>IF(KA!B46&lt;&gt;"",KA!E46,"")</f>
        <v/>
      </c>
      <c r="F196" s="82">
        <f>IF(KA!B46&lt;&gt;"",KA!F46,"")</f>
        <v/>
      </c>
      <c r="G196" s="82">
        <f>IF(KA!B46&lt;&gt;"",KA!G46,"")</f>
        <v/>
      </c>
      <c r="H196" s="92">
        <f>IF(KA!B46&lt;&gt;"",KA!H46,"")</f>
        <v/>
      </c>
      <c r="I196" s="92">
        <f>IF(KA!B46&lt;&gt;"",KA!I46,"")</f>
        <v/>
      </c>
      <c r="J196" s="82">
        <f>IF(KA!B46&lt;&gt;"",KA!J46,"")</f>
        <v/>
      </c>
    </row>
    <row r="197" ht="15.75" customHeight="1" s="52">
      <c r="A197" s="97">
        <f>IF(KA!B47&lt;&gt;"","KA","")</f>
        <v/>
      </c>
      <c r="B197" s="78">
        <f>IF(KA!B47&lt;&gt;"",KA!B47,"")</f>
        <v/>
      </c>
      <c r="C197" s="78">
        <f>IF(KA!B47&lt;&gt;"",KA!C47,"")</f>
        <v/>
      </c>
      <c r="D197" s="78">
        <f>IF(KA!B47&lt;&gt;"",KA!D47,"")</f>
        <v/>
      </c>
      <c r="E197" s="78">
        <f>IF(KA!B47&lt;&gt;"",KA!E47,"")</f>
        <v/>
      </c>
      <c r="F197" s="78">
        <f>IF(KA!B47&lt;&gt;"",KA!F47,"")</f>
        <v/>
      </c>
      <c r="G197" s="78">
        <f>IF(KA!B47&lt;&gt;"",KA!G47,"")</f>
        <v/>
      </c>
      <c r="H197" s="97">
        <f>IF(KA!B47&lt;&gt;"",KA!H47,"")</f>
        <v/>
      </c>
      <c r="I197" s="97">
        <f>IF(KA!B47&lt;&gt;"",KA!I47,"")</f>
        <v/>
      </c>
      <c r="J197" s="78">
        <f>IF(KA!B47&lt;&gt;"",KA!J47,"")</f>
        <v/>
      </c>
    </row>
    <row r="198" ht="15.75" customHeight="1" s="52">
      <c r="A198" s="92">
        <f>IF(KA!B48&lt;&gt;"","KA","")</f>
        <v/>
      </c>
      <c r="B198" s="82">
        <f>IF(KA!B48&lt;&gt;"",KA!B48,"")</f>
        <v/>
      </c>
      <c r="C198" s="82">
        <f>IF(KA!B48&lt;&gt;"",KA!C48,"")</f>
        <v/>
      </c>
      <c r="D198" s="82">
        <f>IF(KA!B48&lt;&gt;"",KA!D48,"")</f>
        <v/>
      </c>
      <c r="E198" s="82">
        <f>IF(KA!B48&lt;&gt;"",KA!E48,"")</f>
        <v/>
      </c>
      <c r="F198" s="82">
        <f>IF(KA!B48&lt;&gt;"",KA!F48,"")</f>
        <v/>
      </c>
      <c r="G198" s="82">
        <f>IF(KA!B48&lt;&gt;"",KA!G48,"")</f>
        <v/>
      </c>
      <c r="H198" s="92">
        <f>IF(KA!B48&lt;&gt;"",KA!H48,"")</f>
        <v/>
      </c>
      <c r="I198" s="92">
        <f>IF(KA!B48&lt;&gt;"",KA!I48,"")</f>
        <v/>
      </c>
      <c r="J198" s="82">
        <f>IF(KA!B48&lt;&gt;"",KA!J48,"")</f>
        <v/>
      </c>
    </row>
    <row r="199" ht="15.75" customHeight="1" s="52">
      <c r="A199" s="97">
        <f>IF(KA!B49&lt;&gt;"","KA","")</f>
        <v/>
      </c>
      <c r="B199" s="78">
        <f>IF(KA!B49&lt;&gt;"",KA!B49,"")</f>
        <v/>
      </c>
      <c r="C199" s="78">
        <f>IF(KA!B49&lt;&gt;"",KA!C49,"")</f>
        <v/>
      </c>
      <c r="D199" s="78">
        <f>IF(KA!B49&lt;&gt;"",KA!D49,"")</f>
        <v/>
      </c>
      <c r="E199" s="78">
        <f>IF(KA!B49&lt;&gt;"",KA!E49,"")</f>
        <v/>
      </c>
      <c r="F199" s="78">
        <f>IF(KA!B49&lt;&gt;"",KA!F49,"")</f>
        <v/>
      </c>
      <c r="G199" s="78">
        <f>IF(KA!B49&lt;&gt;"",KA!G49,"")</f>
        <v/>
      </c>
      <c r="H199" s="97">
        <f>IF(KA!B49&lt;&gt;"",KA!H49,"")</f>
        <v/>
      </c>
      <c r="I199" s="97">
        <f>IF(KA!B49&lt;&gt;"",KA!I49,"")</f>
        <v/>
      </c>
      <c r="J199" s="78">
        <f>IF(KA!B49&lt;&gt;"",KA!J49,"")</f>
        <v/>
      </c>
    </row>
    <row r="200" ht="15.75" customHeight="1" s="52">
      <c r="A200" s="92">
        <f>IF(KA!B50&lt;&gt;"","KA","")</f>
        <v/>
      </c>
      <c r="B200" s="82">
        <f>IF(KA!B50&lt;&gt;"",KA!B50,"")</f>
        <v/>
      </c>
      <c r="C200" s="82">
        <f>IF(KA!B50&lt;&gt;"",KA!C50,"")</f>
        <v/>
      </c>
      <c r="D200" s="82">
        <f>IF(KA!B50&lt;&gt;"",KA!D50,"")</f>
        <v/>
      </c>
      <c r="E200" s="82">
        <f>IF(KA!B50&lt;&gt;"",KA!E50,"")</f>
        <v/>
      </c>
      <c r="F200" s="82">
        <f>IF(KA!B50&lt;&gt;"",KA!F50,"")</f>
        <v/>
      </c>
      <c r="G200" s="82">
        <f>IF(KA!B50&lt;&gt;"",KA!G50,"")</f>
        <v/>
      </c>
      <c r="H200" s="92">
        <f>IF(KA!B50&lt;&gt;"",KA!H50,"")</f>
        <v/>
      </c>
      <c r="I200" s="92">
        <f>IF(KA!B50&lt;&gt;"",KA!I50,"")</f>
        <v/>
      </c>
      <c r="J200" s="82">
        <f>IF(KA!B50&lt;&gt;"",KA!J50,"")</f>
        <v/>
      </c>
    </row>
    <row r="201" ht="15.75" customHeight="1" s="52">
      <c r="A201" s="97">
        <f>IF(KA!B51&lt;&gt;"","KA","")</f>
        <v/>
      </c>
      <c r="B201" s="78">
        <f>IF(KA!B51&lt;&gt;"",KA!B51,"")</f>
        <v/>
      </c>
      <c r="C201" s="78">
        <f>IF(KA!B51&lt;&gt;"",KA!C51,"")</f>
        <v/>
      </c>
      <c r="D201" s="78">
        <f>IF(KA!B51&lt;&gt;"",KA!D51,"")</f>
        <v/>
      </c>
      <c r="E201" s="78">
        <f>IF(KA!B51&lt;&gt;"",KA!E51,"")</f>
        <v/>
      </c>
      <c r="F201" s="78">
        <f>IF(KA!B51&lt;&gt;"",KA!F51,"")</f>
        <v/>
      </c>
      <c r="G201" s="78">
        <f>IF(KA!B51&lt;&gt;"",KA!G51,"")</f>
        <v/>
      </c>
      <c r="H201" s="97">
        <f>IF(KA!B51&lt;&gt;"",KA!H51,"")</f>
        <v/>
      </c>
      <c r="I201" s="97">
        <f>IF(KA!B51&lt;&gt;"",KA!I51,"")</f>
        <v/>
      </c>
      <c r="J201" s="78">
        <f>IF(KA!B51&lt;&gt;"",KA!J51,"")</f>
        <v/>
      </c>
    </row>
    <row r="202" ht="15.75" customHeight="1" s="52">
      <c r="A202" s="92">
        <f>IF(KA!B52&lt;&gt;"","KA","")</f>
        <v/>
      </c>
      <c r="B202" s="82">
        <f>IF(KA!B52&lt;&gt;"",KA!B52,"")</f>
        <v/>
      </c>
      <c r="C202" s="82">
        <f>IF(KA!B52&lt;&gt;"",KA!C52,"")</f>
        <v/>
      </c>
      <c r="D202" s="82">
        <f>IF(KA!B52&lt;&gt;"",KA!D52,"")</f>
        <v/>
      </c>
      <c r="E202" s="82">
        <f>IF(KA!B52&lt;&gt;"",KA!E52,"")</f>
        <v/>
      </c>
      <c r="F202" s="82">
        <f>IF(KA!B52&lt;&gt;"",KA!F52,"")</f>
        <v/>
      </c>
      <c r="G202" s="82">
        <f>IF(KA!B52&lt;&gt;"",KA!G52,"")</f>
        <v/>
      </c>
      <c r="H202" s="92">
        <f>IF(KA!B52&lt;&gt;"",KA!H52,"")</f>
        <v/>
      </c>
      <c r="I202" s="92">
        <f>IF(KA!B52&lt;&gt;"",KA!I52,"")</f>
        <v/>
      </c>
      <c r="J202" s="82">
        <f>IF(KA!B52&lt;&gt;"",KA!J52,"")</f>
        <v/>
      </c>
    </row>
    <row r="203" ht="15.75" customHeight="1" s="52">
      <c r="A203" s="97">
        <f>IF(KA!B53&lt;&gt;"","KA","")</f>
        <v/>
      </c>
      <c r="B203" s="78">
        <f>IF(KA!B53&lt;&gt;"",KA!B53,"")</f>
        <v/>
      </c>
      <c r="C203" s="78">
        <f>IF(KA!B53&lt;&gt;"",KA!C53,"")</f>
        <v/>
      </c>
      <c r="D203" s="78">
        <f>IF(KA!B53&lt;&gt;"",KA!D53,"")</f>
        <v/>
      </c>
      <c r="E203" s="78">
        <f>IF(KA!B53&lt;&gt;"",KA!E53,"")</f>
        <v/>
      </c>
      <c r="F203" s="78">
        <f>IF(KA!B53&lt;&gt;"",KA!F53,"")</f>
        <v/>
      </c>
      <c r="G203" s="78">
        <f>IF(KA!B53&lt;&gt;"",KA!G53,"")</f>
        <v/>
      </c>
      <c r="H203" s="97">
        <f>IF(KA!B53&lt;&gt;"",KA!H53,"")</f>
        <v/>
      </c>
      <c r="I203" s="97">
        <f>IF(KA!B53&lt;&gt;"",KA!I53,"")</f>
        <v/>
      </c>
      <c r="J203" s="78">
        <f>IF(KA!B53&lt;&gt;"",KA!J53,"")</f>
        <v/>
      </c>
    </row>
    <row r="204" ht="15.75" customHeight="1" s="52">
      <c r="A204" s="92">
        <f>IF(KA!B54&lt;&gt;"","KA","")</f>
        <v/>
      </c>
      <c r="B204" s="82">
        <f>IF(KA!B54&lt;&gt;"",KA!B54,"")</f>
        <v/>
      </c>
      <c r="C204" s="82">
        <f>IF(KA!B54&lt;&gt;"",KA!C54,"")</f>
        <v/>
      </c>
      <c r="D204" s="82">
        <f>IF(KA!B54&lt;&gt;"",KA!D54,"")</f>
        <v/>
      </c>
      <c r="E204" s="82">
        <f>IF(KA!B54&lt;&gt;"",KA!E54,"")</f>
        <v/>
      </c>
      <c r="F204" s="82">
        <f>IF(KA!B54&lt;&gt;"",KA!F54,"")</f>
        <v/>
      </c>
      <c r="G204" s="82">
        <f>IF(KA!B54&lt;&gt;"",KA!G54,"")</f>
        <v/>
      </c>
      <c r="H204" s="92">
        <f>IF(KA!B54&lt;&gt;"",KA!H54,"")</f>
        <v/>
      </c>
      <c r="I204" s="92">
        <f>IF(KA!B54&lt;&gt;"",KA!I54,"")</f>
        <v/>
      </c>
      <c r="J204" s="82">
        <f>IF(KA!B54&lt;&gt;"",KA!J54,"")</f>
        <v/>
      </c>
    </row>
    <row r="205" ht="15.75" customHeight="1" s="52">
      <c r="A205" s="97">
        <f>IF(KB!B5&lt;&gt;"","KB","")</f>
        <v/>
      </c>
      <c r="B205" s="78">
        <f>IF(KB!B5&lt;&gt;"",KB!B5,"")</f>
        <v/>
      </c>
      <c r="C205" s="78">
        <f>IF(KB!B5&lt;&gt;"",KB!C5,"")</f>
        <v/>
      </c>
      <c r="D205" s="78">
        <f>IF(KB!B5&lt;&gt;"",KB!D5,"")</f>
        <v/>
      </c>
      <c r="E205" s="78">
        <f>IF(KB!B5&lt;&gt;"",KB!E5,"")</f>
        <v/>
      </c>
      <c r="F205" s="78">
        <f>IF(KB!B5&lt;&gt;"",KB!F5,"")</f>
        <v/>
      </c>
      <c r="G205" s="78">
        <f>IF(KB!B5&lt;&gt;"",KB!G5,"")</f>
        <v/>
      </c>
      <c r="H205" s="97">
        <f>IF(KB!B5&lt;&gt;"",KB!H5,"")</f>
        <v/>
      </c>
      <c r="I205" s="97">
        <f>IF(KB!B5&lt;&gt;"",KB!I5,"")</f>
        <v/>
      </c>
      <c r="J205" s="78">
        <f>IF(KB!B5&lt;&gt;"",KB!J5,"")</f>
        <v/>
      </c>
    </row>
    <row r="206" ht="15.75" customHeight="1" s="52">
      <c r="A206" s="92">
        <f>IF(KB!B6&lt;&gt;"","KB","")</f>
        <v/>
      </c>
      <c r="B206" s="82">
        <f>IF(KB!B6&lt;&gt;"",KB!B6,"")</f>
        <v/>
      </c>
      <c r="C206" s="82">
        <f>IF(KB!B6&lt;&gt;"",KB!C6,"")</f>
        <v/>
      </c>
      <c r="D206" s="82">
        <f>IF(KB!B6&lt;&gt;"",KB!D6,"")</f>
        <v/>
      </c>
      <c r="E206" s="82">
        <f>IF(KB!B6&lt;&gt;"",KB!E6,"")</f>
        <v/>
      </c>
      <c r="F206" s="82">
        <f>IF(KB!B6&lt;&gt;"",KB!F6,"")</f>
        <v/>
      </c>
      <c r="G206" s="82">
        <f>IF(KB!B6&lt;&gt;"",KB!G6,"")</f>
        <v/>
      </c>
      <c r="H206" s="92">
        <f>IF(KB!B6&lt;&gt;"",KB!H6,"")</f>
        <v/>
      </c>
      <c r="I206" s="92">
        <f>IF(KB!B6&lt;&gt;"",KB!I6,"")</f>
        <v/>
      </c>
      <c r="J206" s="82">
        <f>IF(KB!B6&lt;&gt;"",KB!J6,"")</f>
        <v/>
      </c>
    </row>
    <row r="207" ht="15.75" customHeight="1" s="52">
      <c r="A207" s="97">
        <f>IF(KB!B7&lt;&gt;"","KB","")</f>
        <v/>
      </c>
      <c r="B207" s="78">
        <f>IF(KB!B7&lt;&gt;"",KB!B7,"")</f>
        <v/>
      </c>
      <c r="C207" s="78">
        <f>IF(KB!B7&lt;&gt;"",KB!C7,"")</f>
        <v/>
      </c>
      <c r="D207" s="78">
        <f>IF(KB!B7&lt;&gt;"",KB!D7,"")</f>
        <v/>
      </c>
      <c r="E207" s="78">
        <f>IF(KB!B7&lt;&gt;"",KB!E7,"")</f>
        <v/>
      </c>
      <c r="F207" s="78">
        <f>IF(KB!B7&lt;&gt;"",KB!F7,"")</f>
        <v/>
      </c>
      <c r="G207" s="78">
        <f>IF(KB!B7&lt;&gt;"",KB!G7,"")</f>
        <v/>
      </c>
      <c r="H207" s="97">
        <f>IF(KB!B7&lt;&gt;"",KB!H7,"")</f>
        <v/>
      </c>
      <c r="I207" s="97">
        <f>IF(KB!B7&lt;&gt;"",KB!I7,"")</f>
        <v/>
      </c>
      <c r="J207" s="78">
        <f>IF(KB!B7&lt;&gt;"",KB!J7,"")</f>
        <v/>
      </c>
    </row>
    <row r="208" ht="15.75" customHeight="1" s="52">
      <c r="A208" s="92">
        <f>IF(KB!B8&lt;&gt;"","KB","")</f>
        <v/>
      </c>
      <c r="B208" s="82">
        <f>IF(KB!B8&lt;&gt;"",KB!B8,"")</f>
        <v/>
      </c>
      <c r="C208" s="82">
        <f>IF(KB!B8&lt;&gt;"",KB!C8,"")</f>
        <v/>
      </c>
      <c r="D208" s="82">
        <f>IF(KB!B8&lt;&gt;"",KB!D8,"")</f>
        <v/>
      </c>
      <c r="E208" s="82">
        <f>IF(KB!B8&lt;&gt;"",KB!E8,"")</f>
        <v/>
      </c>
      <c r="F208" s="82">
        <f>IF(KB!B8&lt;&gt;"",KB!F8,"")</f>
        <v/>
      </c>
      <c r="G208" s="82">
        <f>IF(KB!B8&lt;&gt;"",KB!G8,"")</f>
        <v/>
      </c>
      <c r="H208" s="92">
        <f>IF(KB!B8&lt;&gt;"",KB!H8,"")</f>
        <v/>
      </c>
      <c r="I208" s="92">
        <f>IF(KB!B8&lt;&gt;"",KB!I8,"")</f>
        <v/>
      </c>
      <c r="J208" s="82">
        <f>IF(KB!B8&lt;&gt;"",KB!J8,"")</f>
        <v/>
      </c>
    </row>
    <row r="209" ht="15.75" customHeight="1" s="52">
      <c r="A209" s="97">
        <f>IF(KB!B9&lt;&gt;"","KB","")</f>
        <v/>
      </c>
      <c r="B209" s="78">
        <f>IF(KB!B9&lt;&gt;"",KB!B9,"")</f>
        <v/>
      </c>
      <c r="C209" s="78">
        <f>IF(KB!B9&lt;&gt;"",KB!C9,"")</f>
        <v/>
      </c>
      <c r="D209" s="78">
        <f>IF(KB!B9&lt;&gt;"",KB!D9,"")</f>
        <v/>
      </c>
      <c r="E209" s="78">
        <f>IF(KB!B9&lt;&gt;"",KB!E9,"")</f>
        <v/>
      </c>
      <c r="F209" s="78">
        <f>IF(KB!B9&lt;&gt;"",KB!F9,"")</f>
        <v/>
      </c>
      <c r="G209" s="78">
        <f>IF(KB!B9&lt;&gt;"",KB!G9,"")</f>
        <v/>
      </c>
      <c r="H209" s="97">
        <f>IF(KB!B9&lt;&gt;"",KB!H9,"")</f>
        <v/>
      </c>
      <c r="I209" s="97">
        <f>IF(KB!B9&lt;&gt;"",KB!I9,"")</f>
        <v/>
      </c>
      <c r="J209" s="78">
        <f>IF(KB!B9&lt;&gt;"",KB!J9,"")</f>
        <v/>
      </c>
    </row>
    <row r="210" ht="15.75" customHeight="1" s="52">
      <c r="A210" s="92">
        <f>IF(KB!B10&lt;&gt;"","KB","")</f>
        <v/>
      </c>
      <c r="B210" s="82">
        <f>IF(KB!B10&lt;&gt;"",KB!B10,"")</f>
        <v/>
      </c>
      <c r="C210" s="82">
        <f>IF(KB!B10&lt;&gt;"",KB!C10,"")</f>
        <v/>
      </c>
      <c r="D210" s="82">
        <f>IF(KB!B10&lt;&gt;"",KB!D10,"")</f>
        <v/>
      </c>
      <c r="E210" s="82">
        <f>IF(KB!B10&lt;&gt;"",KB!E10,"")</f>
        <v/>
      </c>
      <c r="F210" s="82">
        <f>IF(KB!B10&lt;&gt;"",KB!F10,"")</f>
        <v/>
      </c>
      <c r="G210" s="82">
        <f>IF(KB!B10&lt;&gt;"",KB!G10,"")</f>
        <v/>
      </c>
      <c r="H210" s="92">
        <f>IF(KB!B10&lt;&gt;"",KB!H10,"")</f>
        <v/>
      </c>
      <c r="I210" s="92">
        <f>IF(KB!B10&lt;&gt;"",KB!I10,"")</f>
        <v/>
      </c>
      <c r="J210" s="82">
        <f>IF(KB!B10&lt;&gt;"",KB!J10,"")</f>
        <v/>
      </c>
    </row>
    <row r="211" ht="15.75" customHeight="1" s="52">
      <c r="A211" s="97">
        <f>IF(KB!B11&lt;&gt;"","KB","")</f>
        <v/>
      </c>
      <c r="B211" s="78">
        <f>IF(KB!B11&lt;&gt;"",KB!B11,"")</f>
        <v/>
      </c>
      <c r="C211" s="78">
        <f>IF(KB!B11&lt;&gt;"",KB!C11,"")</f>
        <v/>
      </c>
      <c r="D211" s="78">
        <f>IF(KB!B11&lt;&gt;"",KB!D11,"")</f>
        <v/>
      </c>
      <c r="E211" s="78">
        <f>IF(KB!B11&lt;&gt;"",KB!E11,"")</f>
        <v/>
      </c>
      <c r="F211" s="78">
        <f>IF(KB!B11&lt;&gt;"",KB!F11,"")</f>
        <v/>
      </c>
      <c r="G211" s="78">
        <f>IF(KB!B11&lt;&gt;"",KB!G11,"")</f>
        <v/>
      </c>
      <c r="H211" s="97">
        <f>IF(KB!B11&lt;&gt;"",KB!H11,"")</f>
        <v/>
      </c>
      <c r="I211" s="97">
        <f>IF(KB!B11&lt;&gt;"",KB!I11,"")</f>
        <v/>
      </c>
      <c r="J211" s="78">
        <f>IF(KB!B11&lt;&gt;"",KB!J11,"")</f>
        <v/>
      </c>
    </row>
    <row r="212" ht="15.75" customHeight="1" s="52">
      <c r="A212" s="92">
        <f>IF(KB!B12&lt;&gt;"","KB","")</f>
        <v/>
      </c>
      <c r="B212" s="82">
        <f>IF(KB!B12&lt;&gt;"",KB!B12,"")</f>
        <v/>
      </c>
      <c r="C212" s="82">
        <f>IF(KB!B12&lt;&gt;"",KB!C12,"")</f>
        <v/>
      </c>
      <c r="D212" s="82">
        <f>IF(KB!B12&lt;&gt;"",KB!D12,"")</f>
        <v/>
      </c>
      <c r="E212" s="82">
        <f>IF(KB!B12&lt;&gt;"",KB!E12,"")</f>
        <v/>
      </c>
      <c r="F212" s="82">
        <f>IF(KB!B12&lt;&gt;"",KB!F12,"")</f>
        <v/>
      </c>
      <c r="G212" s="82">
        <f>IF(KB!B12&lt;&gt;"",KB!G12,"")</f>
        <v/>
      </c>
      <c r="H212" s="92">
        <f>IF(KB!B12&lt;&gt;"",KB!H12,"")</f>
        <v/>
      </c>
      <c r="I212" s="92">
        <f>IF(KB!B12&lt;&gt;"",KB!I12,"")</f>
        <v/>
      </c>
      <c r="J212" s="82">
        <f>IF(KB!B12&lt;&gt;"",KB!J12,"")</f>
        <v/>
      </c>
    </row>
    <row r="213" ht="15.75" customHeight="1" s="52">
      <c r="A213" s="97">
        <f>IF(KB!B13&lt;&gt;"","KB","")</f>
        <v/>
      </c>
      <c r="B213" s="78">
        <f>IF(KB!B13&lt;&gt;"",KB!B13,"")</f>
        <v/>
      </c>
      <c r="C213" s="78">
        <f>IF(KB!B13&lt;&gt;"",KB!C13,"")</f>
        <v/>
      </c>
      <c r="D213" s="78">
        <f>IF(KB!B13&lt;&gt;"",KB!D13,"")</f>
        <v/>
      </c>
      <c r="E213" s="78">
        <f>IF(KB!B13&lt;&gt;"",KB!E13,"")</f>
        <v/>
      </c>
      <c r="F213" s="78">
        <f>IF(KB!B13&lt;&gt;"",KB!F13,"")</f>
        <v/>
      </c>
      <c r="G213" s="78">
        <f>IF(KB!B13&lt;&gt;"",KB!G13,"")</f>
        <v/>
      </c>
      <c r="H213" s="97">
        <f>IF(KB!B13&lt;&gt;"",KB!H13,"")</f>
        <v/>
      </c>
      <c r="I213" s="97">
        <f>IF(KB!B13&lt;&gt;"",KB!I13,"")</f>
        <v/>
      </c>
      <c r="J213" s="78">
        <f>IF(KB!B13&lt;&gt;"",KB!J13,"")</f>
        <v/>
      </c>
    </row>
    <row r="214" ht="15.75" customHeight="1" s="52">
      <c r="A214" s="92">
        <f>IF(KB!B14&lt;&gt;"","KB","")</f>
        <v/>
      </c>
      <c r="B214" s="82">
        <f>IF(KB!B14&lt;&gt;"",KB!B14,"")</f>
        <v/>
      </c>
      <c r="C214" s="82">
        <f>IF(KB!B14&lt;&gt;"",KB!C14,"")</f>
        <v/>
      </c>
      <c r="D214" s="82">
        <f>IF(KB!B14&lt;&gt;"",KB!D14,"")</f>
        <v/>
      </c>
      <c r="E214" s="82">
        <f>IF(KB!B14&lt;&gt;"",KB!E14,"")</f>
        <v/>
      </c>
      <c r="F214" s="82">
        <f>IF(KB!B14&lt;&gt;"",KB!F14,"")</f>
        <v/>
      </c>
      <c r="G214" s="82">
        <f>IF(KB!B14&lt;&gt;"",KB!G14,"")</f>
        <v/>
      </c>
      <c r="H214" s="92">
        <f>IF(KB!B14&lt;&gt;"",KB!H14,"")</f>
        <v/>
      </c>
      <c r="I214" s="92">
        <f>IF(KB!B14&lt;&gt;"",KB!I14,"")</f>
        <v/>
      </c>
      <c r="J214" s="82">
        <f>IF(KB!B14&lt;&gt;"",KB!J14,"")</f>
        <v/>
      </c>
    </row>
    <row r="215" ht="15.75" customHeight="1" s="52">
      <c r="A215" s="97">
        <f>IF(KB!B15&lt;&gt;"","KB","")</f>
        <v/>
      </c>
      <c r="B215" s="78">
        <f>IF(KB!B15&lt;&gt;"",KB!B15,"")</f>
        <v/>
      </c>
      <c r="C215" s="78">
        <f>IF(KB!B15&lt;&gt;"",KB!C15,"")</f>
        <v/>
      </c>
      <c r="D215" s="78">
        <f>IF(KB!B15&lt;&gt;"",KB!D15,"")</f>
        <v/>
      </c>
      <c r="E215" s="78">
        <f>IF(KB!B15&lt;&gt;"",KB!E15,"")</f>
        <v/>
      </c>
      <c r="F215" s="78">
        <f>IF(KB!B15&lt;&gt;"",KB!F15,"")</f>
        <v/>
      </c>
      <c r="G215" s="78">
        <f>IF(KB!B15&lt;&gt;"",KB!G15,"")</f>
        <v/>
      </c>
      <c r="H215" s="97">
        <f>IF(KB!B15&lt;&gt;"",KB!H15,"")</f>
        <v/>
      </c>
      <c r="I215" s="97">
        <f>IF(KB!B15&lt;&gt;"",KB!I15,"")</f>
        <v/>
      </c>
      <c r="J215" s="78">
        <f>IF(KB!B15&lt;&gt;"",KB!J15,"")</f>
        <v/>
      </c>
    </row>
    <row r="216" ht="15.75" customHeight="1" s="52">
      <c r="A216" s="92">
        <f>IF(KB!B16&lt;&gt;"","KB","")</f>
        <v/>
      </c>
      <c r="B216" s="82">
        <f>IF(KB!B16&lt;&gt;"",KB!B16,"")</f>
        <v/>
      </c>
      <c r="C216" s="82">
        <f>IF(KB!B16&lt;&gt;"",KB!C16,"")</f>
        <v/>
      </c>
      <c r="D216" s="82">
        <f>IF(KB!B16&lt;&gt;"",KB!D16,"")</f>
        <v/>
      </c>
      <c r="E216" s="82">
        <f>IF(KB!B16&lt;&gt;"",KB!E16,"")</f>
        <v/>
      </c>
      <c r="F216" s="82">
        <f>IF(KB!B16&lt;&gt;"",KB!F16,"")</f>
        <v/>
      </c>
      <c r="G216" s="82">
        <f>IF(KB!B16&lt;&gt;"",KB!G16,"")</f>
        <v/>
      </c>
      <c r="H216" s="92">
        <f>IF(KB!B16&lt;&gt;"",KB!H16,"")</f>
        <v/>
      </c>
      <c r="I216" s="92">
        <f>IF(KB!B16&lt;&gt;"",KB!I16,"")</f>
        <v/>
      </c>
      <c r="J216" s="82">
        <f>IF(KB!B16&lt;&gt;"",KB!J16,"")</f>
        <v/>
      </c>
    </row>
    <row r="217" ht="15.75" customHeight="1" s="52">
      <c r="A217" s="97">
        <f>IF(KB!B17&lt;&gt;"","KB","")</f>
        <v/>
      </c>
      <c r="B217" s="78">
        <f>IF(KB!B17&lt;&gt;"",KB!B17,"")</f>
        <v/>
      </c>
      <c r="C217" s="78">
        <f>IF(KB!B17&lt;&gt;"",KB!C17,"")</f>
        <v/>
      </c>
      <c r="D217" s="78">
        <f>IF(KB!B17&lt;&gt;"",KB!D17,"")</f>
        <v/>
      </c>
      <c r="E217" s="78">
        <f>IF(KB!B17&lt;&gt;"",KB!E17,"")</f>
        <v/>
      </c>
      <c r="F217" s="78">
        <f>IF(KB!B17&lt;&gt;"",KB!F17,"")</f>
        <v/>
      </c>
      <c r="G217" s="78">
        <f>IF(KB!B17&lt;&gt;"",KB!G17,"")</f>
        <v/>
      </c>
      <c r="H217" s="97">
        <f>IF(KB!B17&lt;&gt;"",KB!H17,"")</f>
        <v/>
      </c>
      <c r="I217" s="97">
        <f>IF(KB!B17&lt;&gt;"",KB!I17,"")</f>
        <v/>
      </c>
      <c r="J217" s="78">
        <f>IF(KB!B17&lt;&gt;"",KB!J17,"")</f>
        <v/>
      </c>
    </row>
    <row r="218" ht="15.75" customHeight="1" s="52">
      <c r="A218" s="92">
        <f>IF(KB!B18&lt;&gt;"","KB","")</f>
        <v/>
      </c>
      <c r="B218" s="82">
        <f>IF(KB!B18&lt;&gt;"",KB!B18,"")</f>
        <v/>
      </c>
      <c r="C218" s="82">
        <f>IF(KB!B18&lt;&gt;"",KB!C18,"")</f>
        <v/>
      </c>
      <c r="D218" s="82">
        <f>IF(KB!B18&lt;&gt;"",KB!D18,"")</f>
        <v/>
      </c>
      <c r="E218" s="82">
        <f>IF(KB!B18&lt;&gt;"",KB!E18,"")</f>
        <v/>
      </c>
      <c r="F218" s="82">
        <f>IF(KB!B18&lt;&gt;"",KB!F18,"")</f>
        <v/>
      </c>
      <c r="G218" s="82">
        <f>IF(KB!B18&lt;&gt;"",KB!G18,"")</f>
        <v/>
      </c>
      <c r="H218" s="92">
        <f>IF(KB!B18&lt;&gt;"",KB!H18,"")</f>
        <v/>
      </c>
      <c r="I218" s="92">
        <f>IF(KB!B18&lt;&gt;"",KB!I18,"")</f>
        <v/>
      </c>
      <c r="J218" s="82">
        <f>IF(KB!B18&lt;&gt;"",KB!J18,"")</f>
        <v/>
      </c>
    </row>
    <row r="219" ht="15.75" customHeight="1" s="52">
      <c r="A219" s="97">
        <f>IF(KB!B19&lt;&gt;"","KB","")</f>
        <v/>
      </c>
      <c r="B219" s="78">
        <f>IF(KB!B19&lt;&gt;"",KB!B19,"")</f>
        <v/>
      </c>
      <c r="C219" s="78">
        <f>IF(KB!B19&lt;&gt;"",KB!C19,"")</f>
        <v/>
      </c>
      <c r="D219" s="78">
        <f>IF(KB!B19&lt;&gt;"",KB!D19,"")</f>
        <v/>
      </c>
      <c r="E219" s="78">
        <f>IF(KB!B19&lt;&gt;"",KB!E19,"")</f>
        <v/>
      </c>
      <c r="F219" s="78">
        <f>IF(KB!B19&lt;&gt;"",KB!F19,"")</f>
        <v/>
      </c>
      <c r="G219" s="78">
        <f>IF(KB!B19&lt;&gt;"",KB!G19,"")</f>
        <v/>
      </c>
      <c r="H219" s="97">
        <f>IF(KB!B19&lt;&gt;"",KB!H19,"")</f>
        <v/>
      </c>
      <c r="I219" s="97">
        <f>IF(KB!B19&lt;&gt;"",KB!I19,"")</f>
        <v/>
      </c>
      <c r="J219" s="78">
        <f>IF(KB!B19&lt;&gt;"",KB!J19,"")</f>
        <v/>
      </c>
    </row>
    <row r="220" ht="15.75" customHeight="1" s="52">
      <c r="A220" s="92">
        <f>IF(KB!B20&lt;&gt;"","KB","")</f>
        <v/>
      </c>
      <c r="B220" s="82">
        <f>IF(KB!B20&lt;&gt;"",KB!B20,"")</f>
        <v/>
      </c>
      <c r="C220" s="82">
        <f>IF(KB!B20&lt;&gt;"",KB!C20,"")</f>
        <v/>
      </c>
      <c r="D220" s="82">
        <f>IF(KB!B20&lt;&gt;"",KB!D20,"")</f>
        <v/>
      </c>
      <c r="E220" s="82">
        <f>IF(KB!B20&lt;&gt;"",KB!E20,"")</f>
        <v/>
      </c>
      <c r="F220" s="82">
        <f>IF(KB!B20&lt;&gt;"",KB!F20,"")</f>
        <v/>
      </c>
      <c r="G220" s="82">
        <f>IF(KB!B20&lt;&gt;"",KB!G20,"")</f>
        <v/>
      </c>
      <c r="H220" s="92">
        <f>IF(KB!B20&lt;&gt;"",KB!H20,"")</f>
        <v/>
      </c>
      <c r="I220" s="92">
        <f>IF(KB!B20&lt;&gt;"",KB!I20,"")</f>
        <v/>
      </c>
      <c r="J220" s="82">
        <f>IF(KB!B20&lt;&gt;"",KB!J20,"")</f>
        <v/>
      </c>
    </row>
    <row r="221" ht="15.75" customHeight="1" s="52">
      <c r="A221" s="97">
        <f>IF(KB!B21&lt;&gt;"","KB","")</f>
        <v/>
      </c>
      <c r="B221" s="78">
        <f>IF(KB!B21&lt;&gt;"",KB!B21,"")</f>
        <v/>
      </c>
      <c r="C221" s="78">
        <f>IF(KB!B21&lt;&gt;"",KB!C21,"")</f>
        <v/>
      </c>
      <c r="D221" s="78">
        <f>IF(KB!B21&lt;&gt;"",KB!D21,"")</f>
        <v/>
      </c>
      <c r="E221" s="78">
        <f>IF(KB!B21&lt;&gt;"",KB!E21,"")</f>
        <v/>
      </c>
      <c r="F221" s="78">
        <f>IF(KB!B21&lt;&gt;"",KB!F21,"")</f>
        <v/>
      </c>
      <c r="G221" s="78">
        <f>IF(KB!B21&lt;&gt;"",KB!G21,"")</f>
        <v/>
      </c>
      <c r="H221" s="97">
        <f>IF(KB!B21&lt;&gt;"",KB!H21,"")</f>
        <v/>
      </c>
      <c r="I221" s="97">
        <f>IF(KB!B21&lt;&gt;"",KB!I21,"")</f>
        <v/>
      </c>
      <c r="J221" s="78">
        <f>IF(KB!B21&lt;&gt;"",KB!J21,"")</f>
        <v/>
      </c>
    </row>
    <row r="222" ht="15.75" customHeight="1" s="52">
      <c r="A222" s="92">
        <f>IF(KB!B22&lt;&gt;"","KB","")</f>
        <v/>
      </c>
      <c r="B222" s="82">
        <f>IF(KB!B22&lt;&gt;"",KB!B22,"")</f>
        <v/>
      </c>
      <c r="C222" s="82">
        <f>IF(KB!B22&lt;&gt;"",KB!C22,"")</f>
        <v/>
      </c>
      <c r="D222" s="82">
        <f>IF(KB!B22&lt;&gt;"",KB!D22,"")</f>
        <v/>
      </c>
      <c r="E222" s="82">
        <f>IF(KB!B22&lt;&gt;"",KB!E22,"")</f>
        <v/>
      </c>
      <c r="F222" s="82">
        <f>IF(KB!B22&lt;&gt;"",KB!F22,"")</f>
        <v/>
      </c>
      <c r="G222" s="82">
        <f>IF(KB!B22&lt;&gt;"",KB!G22,"")</f>
        <v/>
      </c>
      <c r="H222" s="92">
        <f>IF(KB!B22&lt;&gt;"",KB!H22,"")</f>
        <v/>
      </c>
      <c r="I222" s="92">
        <f>IF(KB!B22&lt;&gt;"",KB!I22,"")</f>
        <v/>
      </c>
      <c r="J222" s="82">
        <f>IF(KB!B22&lt;&gt;"",KB!J22,"")</f>
        <v/>
      </c>
    </row>
    <row r="223" ht="15.75" customHeight="1" s="52">
      <c r="A223" s="97">
        <f>IF(KB!B23&lt;&gt;"","KB","")</f>
        <v/>
      </c>
      <c r="B223" s="78">
        <f>IF(KB!B23&lt;&gt;"",KB!B23,"")</f>
        <v/>
      </c>
      <c r="C223" s="78">
        <f>IF(KB!B23&lt;&gt;"",KB!C23,"")</f>
        <v/>
      </c>
      <c r="D223" s="78">
        <f>IF(KB!B23&lt;&gt;"",KB!D23,"")</f>
        <v/>
      </c>
      <c r="E223" s="78">
        <f>IF(KB!B23&lt;&gt;"",KB!E23,"")</f>
        <v/>
      </c>
      <c r="F223" s="78">
        <f>IF(KB!B23&lt;&gt;"",KB!F23,"")</f>
        <v/>
      </c>
      <c r="G223" s="78">
        <f>IF(KB!B23&lt;&gt;"",KB!G23,"")</f>
        <v/>
      </c>
      <c r="H223" s="97">
        <f>IF(KB!B23&lt;&gt;"",KB!H23,"")</f>
        <v/>
      </c>
      <c r="I223" s="97">
        <f>IF(KB!B23&lt;&gt;"",KB!I23,"")</f>
        <v/>
      </c>
      <c r="J223" s="78">
        <f>IF(KB!B23&lt;&gt;"",KB!J23,"")</f>
        <v/>
      </c>
    </row>
    <row r="224" ht="15.75" customHeight="1" s="52">
      <c r="A224" s="92">
        <f>IF(KB!B24&lt;&gt;"","KB","")</f>
        <v/>
      </c>
      <c r="B224" s="82">
        <f>IF(KB!B24&lt;&gt;"",KB!B24,"")</f>
        <v/>
      </c>
      <c r="C224" s="82">
        <f>IF(KB!B24&lt;&gt;"",KB!C24,"")</f>
        <v/>
      </c>
      <c r="D224" s="82">
        <f>IF(KB!B24&lt;&gt;"",KB!D24,"")</f>
        <v/>
      </c>
      <c r="E224" s="82">
        <f>IF(KB!B24&lt;&gt;"",KB!E24,"")</f>
        <v/>
      </c>
      <c r="F224" s="82">
        <f>IF(KB!B24&lt;&gt;"",KB!F24,"")</f>
        <v/>
      </c>
      <c r="G224" s="82">
        <f>IF(KB!B24&lt;&gt;"",KB!G24,"")</f>
        <v/>
      </c>
      <c r="H224" s="92">
        <f>IF(KB!B24&lt;&gt;"",KB!H24,"")</f>
        <v/>
      </c>
      <c r="I224" s="92">
        <f>IF(KB!B24&lt;&gt;"",KB!I24,"")</f>
        <v/>
      </c>
      <c r="J224" s="82">
        <f>IF(KB!B24&lt;&gt;"",KB!J24,"")</f>
        <v/>
      </c>
    </row>
    <row r="225" ht="15.75" customHeight="1" s="52">
      <c r="A225" s="97">
        <f>IF(KB!B25&lt;&gt;"","KB","")</f>
        <v/>
      </c>
      <c r="B225" s="78">
        <f>IF(KB!B25&lt;&gt;"",KB!B25,"")</f>
        <v/>
      </c>
      <c r="C225" s="78">
        <f>IF(KB!B25&lt;&gt;"",KB!C25,"")</f>
        <v/>
      </c>
      <c r="D225" s="78">
        <f>IF(KB!B25&lt;&gt;"",KB!D25,"")</f>
        <v/>
      </c>
      <c r="E225" s="78">
        <f>IF(KB!B25&lt;&gt;"",KB!E25,"")</f>
        <v/>
      </c>
      <c r="F225" s="78">
        <f>IF(KB!B25&lt;&gt;"",KB!F25,"")</f>
        <v/>
      </c>
      <c r="G225" s="78">
        <f>IF(KB!B25&lt;&gt;"",KB!G25,"")</f>
        <v/>
      </c>
      <c r="H225" s="97">
        <f>IF(KB!B25&lt;&gt;"",KB!H25,"")</f>
        <v/>
      </c>
      <c r="I225" s="97">
        <f>IF(KB!B25&lt;&gt;"",KB!I25,"")</f>
        <v/>
      </c>
      <c r="J225" s="78">
        <f>IF(KB!B25&lt;&gt;"",KB!J25,"")</f>
        <v/>
      </c>
    </row>
    <row r="226" ht="15.75" customHeight="1" s="52">
      <c r="A226" s="92">
        <f>IF(KB!B26&lt;&gt;"","KB","")</f>
        <v/>
      </c>
      <c r="B226" s="82">
        <f>IF(KB!B26&lt;&gt;"",KB!B26,"")</f>
        <v/>
      </c>
      <c r="C226" s="82">
        <f>IF(KB!B26&lt;&gt;"",KB!C26,"")</f>
        <v/>
      </c>
      <c r="D226" s="82">
        <f>IF(KB!B26&lt;&gt;"",KB!D26,"")</f>
        <v/>
      </c>
      <c r="E226" s="82">
        <f>IF(KB!B26&lt;&gt;"",KB!E26,"")</f>
        <v/>
      </c>
      <c r="F226" s="82">
        <f>IF(KB!B26&lt;&gt;"",KB!F26,"")</f>
        <v/>
      </c>
      <c r="G226" s="82">
        <f>IF(KB!B26&lt;&gt;"",KB!G26,"")</f>
        <v/>
      </c>
      <c r="H226" s="92">
        <f>IF(KB!B26&lt;&gt;"",KB!H26,"")</f>
        <v/>
      </c>
      <c r="I226" s="92">
        <f>IF(KB!B26&lt;&gt;"",KB!I26,"")</f>
        <v/>
      </c>
      <c r="J226" s="82">
        <f>IF(KB!B26&lt;&gt;"",KB!J26,"")</f>
        <v/>
      </c>
    </row>
    <row r="227" ht="15.75" customHeight="1" s="52">
      <c r="A227" s="97">
        <f>IF(KB!B27&lt;&gt;"","KB","")</f>
        <v/>
      </c>
      <c r="B227" s="78">
        <f>IF(KB!B27&lt;&gt;"",KB!B27,"")</f>
        <v/>
      </c>
      <c r="C227" s="78">
        <f>IF(KB!B27&lt;&gt;"",KB!C27,"")</f>
        <v/>
      </c>
      <c r="D227" s="78">
        <f>IF(KB!B27&lt;&gt;"",KB!D27,"")</f>
        <v/>
      </c>
      <c r="E227" s="78">
        <f>IF(KB!B27&lt;&gt;"",KB!E27,"")</f>
        <v/>
      </c>
      <c r="F227" s="78">
        <f>IF(KB!B27&lt;&gt;"",KB!F27,"")</f>
        <v/>
      </c>
      <c r="G227" s="78">
        <f>IF(KB!B27&lt;&gt;"",KB!G27,"")</f>
        <v/>
      </c>
      <c r="H227" s="97">
        <f>IF(KB!B27&lt;&gt;"",KB!H27,"")</f>
        <v/>
      </c>
      <c r="I227" s="97">
        <f>IF(KB!B27&lt;&gt;"",KB!I27,"")</f>
        <v/>
      </c>
      <c r="J227" s="78">
        <f>IF(KB!B27&lt;&gt;"",KB!J27,"")</f>
        <v/>
      </c>
    </row>
    <row r="228" ht="15.75" customHeight="1" s="52">
      <c r="A228" s="92">
        <f>IF(KB!B28&lt;&gt;"","KB","")</f>
        <v/>
      </c>
      <c r="B228" s="82">
        <f>IF(KB!B28&lt;&gt;"",KB!B28,"")</f>
        <v/>
      </c>
      <c r="C228" s="82">
        <f>IF(KB!B28&lt;&gt;"",KB!C28,"")</f>
        <v/>
      </c>
      <c r="D228" s="82">
        <f>IF(KB!B28&lt;&gt;"",KB!D28,"")</f>
        <v/>
      </c>
      <c r="E228" s="82">
        <f>IF(KB!B28&lt;&gt;"",KB!E28,"")</f>
        <v/>
      </c>
      <c r="F228" s="82">
        <f>IF(KB!B28&lt;&gt;"",KB!F28,"")</f>
        <v/>
      </c>
      <c r="G228" s="82">
        <f>IF(KB!B28&lt;&gt;"",KB!G28,"")</f>
        <v/>
      </c>
      <c r="H228" s="92">
        <f>IF(KB!B28&lt;&gt;"",KB!H28,"")</f>
        <v/>
      </c>
      <c r="I228" s="92">
        <f>IF(KB!B28&lt;&gt;"",KB!I28,"")</f>
        <v/>
      </c>
      <c r="J228" s="82">
        <f>IF(KB!B28&lt;&gt;"",KB!J28,"")</f>
        <v/>
      </c>
    </row>
    <row r="229" ht="15.75" customHeight="1" s="52">
      <c r="A229" s="97">
        <f>IF(KB!B29&lt;&gt;"","KB","")</f>
        <v/>
      </c>
      <c r="B229" s="78">
        <f>IF(KB!B29&lt;&gt;"",KB!B29,"")</f>
        <v/>
      </c>
      <c r="C229" s="78">
        <f>IF(KB!B29&lt;&gt;"",KB!C29,"")</f>
        <v/>
      </c>
      <c r="D229" s="78">
        <f>IF(KB!B29&lt;&gt;"",KB!D29,"")</f>
        <v/>
      </c>
      <c r="E229" s="78">
        <f>IF(KB!B29&lt;&gt;"",KB!E29,"")</f>
        <v/>
      </c>
      <c r="F229" s="78">
        <f>IF(KB!B29&lt;&gt;"",KB!F29,"")</f>
        <v/>
      </c>
      <c r="G229" s="78">
        <f>IF(KB!B29&lt;&gt;"",KB!G29,"")</f>
        <v/>
      </c>
      <c r="H229" s="97">
        <f>IF(KB!B29&lt;&gt;"",KB!H29,"")</f>
        <v/>
      </c>
      <c r="I229" s="97">
        <f>IF(KB!B29&lt;&gt;"",KB!I29,"")</f>
        <v/>
      </c>
      <c r="J229" s="78">
        <f>IF(KB!B29&lt;&gt;"",KB!J29,"")</f>
        <v/>
      </c>
    </row>
    <row r="230" ht="15.75" customHeight="1" s="52">
      <c r="A230" s="92">
        <f>IF(KB!B30&lt;&gt;"","KB","")</f>
        <v/>
      </c>
      <c r="B230" s="82">
        <f>IF(KB!B30&lt;&gt;"",KB!B30,"")</f>
        <v/>
      </c>
      <c r="C230" s="82">
        <f>IF(KB!B30&lt;&gt;"",KB!C30,"")</f>
        <v/>
      </c>
      <c r="D230" s="82">
        <f>IF(KB!B30&lt;&gt;"",KB!D30,"")</f>
        <v/>
      </c>
      <c r="E230" s="82">
        <f>IF(KB!B30&lt;&gt;"",KB!E30,"")</f>
        <v/>
      </c>
      <c r="F230" s="82">
        <f>IF(KB!B30&lt;&gt;"",KB!F30,"")</f>
        <v/>
      </c>
      <c r="G230" s="82">
        <f>IF(KB!B30&lt;&gt;"",KB!G30,"")</f>
        <v/>
      </c>
      <c r="H230" s="92">
        <f>IF(KB!B30&lt;&gt;"",KB!H30,"")</f>
        <v/>
      </c>
      <c r="I230" s="92">
        <f>IF(KB!B30&lt;&gt;"",KB!I30,"")</f>
        <v/>
      </c>
      <c r="J230" s="82">
        <f>IF(KB!B30&lt;&gt;"",KB!J30,"")</f>
        <v/>
      </c>
    </row>
    <row r="231" ht="15.75" customHeight="1" s="52">
      <c r="A231" s="97">
        <f>IF(KB!B31&lt;&gt;"","KB","")</f>
        <v/>
      </c>
      <c r="B231" s="78">
        <f>IF(KB!B31&lt;&gt;"",KB!B31,"")</f>
        <v/>
      </c>
      <c r="C231" s="78">
        <f>IF(KB!B31&lt;&gt;"",KB!C31,"")</f>
        <v/>
      </c>
      <c r="D231" s="78">
        <f>IF(KB!B31&lt;&gt;"",KB!D31,"")</f>
        <v/>
      </c>
      <c r="E231" s="78">
        <f>IF(KB!B31&lt;&gt;"",KB!E31,"")</f>
        <v/>
      </c>
      <c r="F231" s="78">
        <f>IF(KB!B31&lt;&gt;"",KB!F31,"")</f>
        <v/>
      </c>
      <c r="G231" s="78">
        <f>IF(KB!B31&lt;&gt;"",KB!G31,"")</f>
        <v/>
      </c>
      <c r="H231" s="97">
        <f>IF(KB!B31&lt;&gt;"",KB!H31,"")</f>
        <v/>
      </c>
      <c r="I231" s="97">
        <f>IF(KB!B31&lt;&gt;"",KB!I31,"")</f>
        <v/>
      </c>
      <c r="J231" s="78">
        <f>IF(KB!B31&lt;&gt;"",KB!J31,"")</f>
        <v/>
      </c>
    </row>
    <row r="232" ht="15.75" customHeight="1" s="52">
      <c r="A232" s="92">
        <f>IF(KB!B32&lt;&gt;"","KB","")</f>
        <v/>
      </c>
      <c r="B232" s="82">
        <f>IF(KB!B32&lt;&gt;"",KB!B32,"")</f>
        <v/>
      </c>
      <c r="C232" s="82">
        <f>IF(KB!B32&lt;&gt;"",KB!C32,"")</f>
        <v/>
      </c>
      <c r="D232" s="82">
        <f>IF(KB!B32&lt;&gt;"",KB!D32,"")</f>
        <v/>
      </c>
      <c r="E232" s="82">
        <f>IF(KB!B32&lt;&gt;"",KB!E32,"")</f>
        <v/>
      </c>
      <c r="F232" s="82">
        <f>IF(KB!B32&lt;&gt;"",KB!F32,"")</f>
        <v/>
      </c>
      <c r="G232" s="82">
        <f>IF(KB!B32&lt;&gt;"",KB!G32,"")</f>
        <v/>
      </c>
      <c r="H232" s="92">
        <f>IF(KB!B32&lt;&gt;"",KB!H32,"")</f>
        <v/>
      </c>
      <c r="I232" s="92">
        <f>IF(KB!B32&lt;&gt;"",KB!I32,"")</f>
        <v/>
      </c>
      <c r="J232" s="82">
        <f>IF(KB!B32&lt;&gt;"",KB!J32,"")</f>
        <v/>
      </c>
    </row>
    <row r="233" ht="15.75" customHeight="1" s="52">
      <c r="A233" s="97">
        <f>IF(KB!B33&lt;&gt;"","KB","")</f>
        <v/>
      </c>
      <c r="B233" s="78">
        <f>IF(KB!B33&lt;&gt;"",KB!B33,"")</f>
        <v/>
      </c>
      <c r="C233" s="78">
        <f>IF(KB!B33&lt;&gt;"",KB!C33,"")</f>
        <v/>
      </c>
      <c r="D233" s="78">
        <f>IF(KB!B33&lt;&gt;"",KB!D33,"")</f>
        <v/>
      </c>
      <c r="E233" s="78">
        <f>IF(KB!B33&lt;&gt;"",KB!E33,"")</f>
        <v/>
      </c>
      <c r="F233" s="78">
        <f>IF(KB!B33&lt;&gt;"",KB!F33,"")</f>
        <v/>
      </c>
      <c r="G233" s="78">
        <f>IF(KB!B33&lt;&gt;"",KB!G33,"")</f>
        <v/>
      </c>
      <c r="H233" s="97">
        <f>IF(KB!B33&lt;&gt;"",KB!H33,"")</f>
        <v/>
      </c>
      <c r="I233" s="97">
        <f>IF(KB!B33&lt;&gt;"",KB!I33,"")</f>
        <v/>
      </c>
      <c r="J233" s="78">
        <f>IF(KB!B33&lt;&gt;"",KB!J33,"")</f>
        <v/>
      </c>
    </row>
    <row r="234" ht="15.75" customHeight="1" s="52">
      <c r="A234" s="92">
        <f>IF(KB!B34&lt;&gt;"","KB","")</f>
        <v/>
      </c>
      <c r="B234" s="82">
        <f>IF(KB!B34&lt;&gt;"",KB!B34,"")</f>
        <v/>
      </c>
      <c r="C234" s="82">
        <f>IF(KB!B34&lt;&gt;"",KB!C34,"")</f>
        <v/>
      </c>
      <c r="D234" s="82">
        <f>IF(KB!B34&lt;&gt;"",KB!D34,"")</f>
        <v/>
      </c>
      <c r="E234" s="82">
        <f>IF(KB!B34&lt;&gt;"",KB!E34,"")</f>
        <v/>
      </c>
      <c r="F234" s="82">
        <f>IF(KB!B34&lt;&gt;"",KB!F34,"")</f>
        <v/>
      </c>
      <c r="G234" s="82">
        <f>IF(KB!B34&lt;&gt;"",KB!G34,"")</f>
        <v/>
      </c>
      <c r="H234" s="92">
        <f>IF(KB!B34&lt;&gt;"",KB!H34,"")</f>
        <v/>
      </c>
      <c r="I234" s="92">
        <f>IF(KB!B34&lt;&gt;"",KB!I34,"")</f>
        <v/>
      </c>
      <c r="J234" s="82">
        <f>IF(KB!B34&lt;&gt;"",KB!J34,"")</f>
        <v/>
      </c>
    </row>
    <row r="235" ht="15.75" customHeight="1" s="52">
      <c r="A235" s="97">
        <f>IF(KB!B35&lt;&gt;"","KB","")</f>
        <v/>
      </c>
      <c r="B235" s="78">
        <f>IF(KB!B35&lt;&gt;"",KB!B35,"")</f>
        <v/>
      </c>
      <c r="C235" s="78">
        <f>IF(KB!B35&lt;&gt;"",KB!C35,"")</f>
        <v/>
      </c>
      <c r="D235" s="78">
        <f>IF(KB!B35&lt;&gt;"",KB!D35,"")</f>
        <v/>
      </c>
      <c r="E235" s="78">
        <f>IF(KB!B35&lt;&gt;"",KB!E35,"")</f>
        <v/>
      </c>
      <c r="F235" s="78">
        <f>IF(KB!B35&lt;&gt;"",KB!F35,"")</f>
        <v/>
      </c>
      <c r="G235" s="78">
        <f>IF(KB!B35&lt;&gt;"",KB!G35,"")</f>
        <v/>
      </c>
      <c r="H235" s="97">
        <f>IF(KB!B35&lt;&gt;"",KB!H35,"")</f>
        <v/>
      </c>
      <c r="I235" s="97">
        <f>IF(KB!B35&lt;&gt;"",KB!I35,"")</f>
        <v/>
      </c>
      <c r="J235" s="78">
        <f>IF(KB!B35&lt;&gt;"",KB!J35,"")</f>
        <v/>
      </c>
    </row>
    <row r="236" ht="15.75" customHeight="1" s="52">
      <c r="A236" s="92">
        <f>IF(KB!B36&lt;&gt;"","KB","")</f>
        <v/>
      </c>
      <c r="B236" s="82">
        <f>IF(KB!B36&lt;&gt;"",KB!B36,"")</f>
        <v/>
      </c>
      <c r="C236" s="82">
        <f>IF(KB!B36&lt;&gt;"",KB!C36,"")</f>
        <v/>
      </c>
      <c r="D236" s="82">
        <f>IF(KB!B36&lt;&gt;"",KB!D36,"")</f>
        <v/>
      </c>
      <c r="E236" s="82">
        <f>IF(KB!B36&lt;&gt;"",KB!E36,"")</f>
        <v/>
      </c>
      <c r="F236" s="82">
        <f>IF(KB!B36&lt;&gt;"",KB!F36,"")</f>
        <v/>
      </c>
      <c r="G236" s="82">
        <f>IF(KB!B36&lt;&gt;"",KB!G36,"")</f>
        <v/>
      </c>
      <c r="H236" s="92">
        <f>IF(KB!B36&lt;&gt;"",KB!H36,"")</f>
        <v/>
      </c>
      <c r="I236" s="92">
        <f>IF(KB!B36&lt;&gt;"",KB!I36,"")</f>
        <v/>
      </c>
      <c r="J236" s="82">
        <f>IF(KB!B36&lt;&gt;"",KB!J36,"")</f>
        <v/>
      </c>
    </row>
    <row r="237" ht="15.75" customHeight="1" s="52">
      <c r="A237" s="97">
        <f>IF(KB!B37&lt;&gt;"","KB","")</f>
        <v/>
      </c>
      <c r="B237" s="78">
        <f>IF(KB!B37&lt;&gt;"",KB!B37,"")</f>
        <v/>
      </c>
      <c r="C237" s="78">
        <f>IF(KB!B37&lt;&gt;"",KB!C37,"")</f>
        <v/>
      </c>
      <c r="D237" s="78">
        <f>IF(KB!B37&lt;&gt;"",KB!D37,"")</f>
        <v/>
      </c>
      <c r="E237" s="78">
        <f>IF(KB!B37&lt;&gt;"",KB!E37,"")</f>
        <v/>
      </c>
      <c r="F237" s="78">
        <f>IF(KB!B37&lt;&gt;"",KB!F37,"")</f>
        <v/>
      </c>
      <c r="G237" s="78">
        <f>IF(KB!B37&lt;&gt;"",KB!G37,"")</f>
        <v/>
      </c>
      <c r="H237" s="97">
        <f>IF(KB!B37&lt;&gt;"",KB!H37,"")</f>
        <v/>
      </c>
      <c r="I237" s="97">
        <f>IF(KB!B37&lt;&gt;"",KB!I37,"")</f>
        <v/>
      </c>
      <c r="J237" s="78">
        <f>IF(KB!B37&lt;&gt;"",KB!J37,"")</f>
        <v/>
      </c>
    </row>
    <row r="238" ht="15.75" customHeight="1" s="52">
      <c r="A238" s="92">
        <f>IF(KB!B38&lt;&gt;"","KB","")</f>
        <v/>
      </c>
      <c r="B238" s="82">
        <f>IF(KB!B38&lt;&gt;"",KB!B38,"")</f>
        <v/>
      </c>
      <c r="C238" s="82">
        <f>IF(KB!B38&lt;&gt;"",KB!C38,"")</f>
        <v/>
      </c>
      <c r="D238" s="82">
        <f>IF(KB!B38&lt;&gt;"",KB!D38,"")</f>
        <v/>
      </c>
      <c r="E238" s="82">
        <f>IF(KB!B38&lt;&gt;"",KB!E38,"")</f>
        <v/>
      </c>
      <c r="F238" s="82">
        <f>IF(KB!B38&lt;&gt;"",KB!F38,"")</f>
        <v/>
      </c>
      <c r="G238" s="82">
        <f>IF(KB!B38&lt;&gt;"",KB!G38,"")</f>
        <v/>
      </c>
      <c r="H238" s="92">
        <f>IF(KB!B38&lt;&gt;"",KB!H38,"")</f>
        <v/>
      </c>
      <c r="I238" s="92">
        <f>IF(KB!B38&lt;&gt;"",KB!I38,"")</f>
        <v/>
      </c>
      <c r="J238" s="82">
        <f>IF(KB!B38&lt;&gt;"",KB!J38,"")</f>
        <v/>
      </c>
    </row>
    <row r="239" ht="15.75" customHeight="1" s="52">
      <c r="A239" s="97">
        <f>IF(KB!B39&lt;&gt;"","KB","")</f>
        <v/>
      </c>
      <c r="B239" s="78">
        <f>IF(KB!B39&lt;&gt;"",KB!B39,"")</f>
        <v/>
      </c>
      <c r="C239" s="78">
        <f>IF(KB!B39&lt;&gt;"",KB!C39,"")</f>
        <v/>
      </c>
      <c r="D239" s="78">
        <f>IF(KB!B39&lt;&gt;"",KB!D39,"")</f>
        <v/>
      </c>
      <c r="E239" s="78">
        <f>IF(KB!B39&lt;&gt;"",KB!E39,"")</f>
        <v/>
      </c>
      <c r="F239" s="78">
        <f>IF(KB!B39&lt;&gt;"",KB!F39,"")</f>
        <v/>
      </c>
      <c r="G239" s="78">
        <f>IF(KB!B39&lt;&gt;"",KB!G39,"")</f>
        <v/>
      </c>
      <c r="H239" s="97">
        <f>IF(KB!B39&lt;&gt;"",KB!H39,"")</f>
        <v/>
      </c>
      <c r="I239" s="97">
        <f>IF(KB!B39&lt;&gt;"",KB!I39,"")</f>
        <v/>
      </c>
      <c r="J239" s="78">
        <f>IF(KB!B39&lt;&gt;"",KB!J39,"")</f>
        <v/>
      </c>
    </row>
    <row r="240" ht="15.75" customHeight="1" s="52">
      <c r="A240" s="92">
        <f>IF(KB!B40&lt;&gt;"","KB","")</f>
        <v/>
      </c>
      <c r="B240" s="82">
        <f>IF(KB!B40&lt;&gt;"",KB!B40,"")</f>
        <v/>
      </c>
      <c r="C240" s="82">
        <f>IF(KB!B40&lt;&gt;"",KB!C40,"")</f>
        <v/>
      </c>
      <c r="D240" s="82">
        <f>IF(KB!B40&lt;&gt;"",KB!D40,"")</f>
        <v/>
      </c>
      <c r="E240" s="82">
        <f>IF(KB!B40&lt;&gt;"",KB!E40,"")</f>
        <v/>
      </c>
      <c r="F240" s="82">
        <f>IF(KB!B40&lt;&gt;"",KB!F40,"")</f>
        <v/>
      </c>
      <c r="G240" s="82">
        <f>IF(KB!B40&lt;&gt;"",KB!G40,"")</f>
        <v/>
      </c>
      <c r="H240" s="92">
        <f>IF(KB!B40&lt;&gt;"",KB!H40,"")</f>
        <v/>
      </c>
      <c r="I240" s="92">
        <f>IF(KB!B40&lt;&gt;"",KB!I40,"")</f>
        <v/>
      </c>
      <c r="J240" s="82">
        <f>IF(KB!B40&lt;&gt;"",KB!J40,"")</f>
        <v/>
      </c>
    </row>
    <row r="241" ht="15.75" customHeight="1" s="52">
      <c r="A241" s="97">
        <f>IF(KB!B41&lt;&gt;"","KB","")</f>
        <v/>
      </c>
      <c r="B241" s="78">
        <f>IF(KB!B41&lt;&gt;"",KB!B41,"")</f>
        <v/>
      </c>
      <c r="C241" s="78">
        <f>IF(KB!B41&lt;&gt;"",KB!C41,"")</f>
        <v/>
      </c>
      <c r="D241" s="78">
        <f>IF(KB!B41&lt;&gt;"",KB!D41,"")</f>
        <v/>
      </c>
      <c r="E241" s="78">
        <f>IF(KB!B41&lt;&gt;"",KB!E41,"")</f>
        <v/>
      </c>
      <c r="F241" s="78">
        <f>IF(KB!B41&lt;&gt;"",KB!F41,"")</f>
        <v/>
      </c>
      <c r="G241" s="78">
        <f>IF(KB!B41&lt;&gt;"",KB!G41,"")</f>
        <v/>
      </c>
      <c r="H241" s="97">
        <f>IF(KB!B41&lt;&gt;"",KB!H41,"")</f>
        <v/>
      </c>
      <c r="I241" s="97">
        <f>IF(KB!B41&lt;&gt;"",KB!I41,"")</f>
        <v/>
      </c>
      <c r="J241" s="78">
        <f>IF(KB!B41&lt;&gt;"",KB!J41,"")</f>
        <v/>
      </c>
    </row>
    <row r="242" ht="15.75" customHeight="1" s="52">
      <c r="A242" s="92">
        <f>IF(KB!B42&lt;&gt;"","KB","")</f>
        <v/>
      </c>
      <c r="B242" s="82">
        <f>IF(KB!B42&lt;&gt;"",KB!B42,"")</f>
        <v/>
      </c>
      <c r="C242" s="82">
        <f>IF(KB!B42&lt;&gt;"",KB!C42,"")</f>
        <v/>
      </c>
      <c r="D242" s="82">
        <f>IF(KB!B42&lt;&gt;"",KB!D42,"")</f>
        <v/>
      </c>
      <c r="E242" s="82">
        <f>IF(KB!B42&lt;&gt;"",KB!E42,"")</f>
        <v/>
      </c>
      <c r="F242" s="82">
        <f>IF(KB!B42&lt;&gt;"",KB!F42,"")</f>
        <v/>
      </c>
      <c r="G242" s="82">
        <f>IF(KB!B42&lt;&gt;"",KB!G42,"")</f>
        <v/>
      </c>
      <c r="H242" s="92">
        <f>IF(KB!B42&lt;&gt;"",KB!H42,"")</f>
        <v/>
      </c>
      <c r="I242" s="92">
        <f>IF(KB!B42&lt;&gt;"",KB!I42,"")</f>
        <v/>
      </c>
      <c r="J242" s="82">
        <f>IF(KB!B42&lt;&gt;"",KB!J42,"")</f>
        <v/>
      </c>
    </row>
    <row r="243" ht="15.75" customHeight="1" s="52">
      <c r="A243" s="97">
        <f>IF(KB!B43&lt;&gt;"","KB","")</f>
        <v/>
      </c>
      <c r="B243" s="78">
        <f>IF(KB!B43&lt;&gt;"",KB!B43,"")</f>
        <v/>
      </c>
      <c r="C243" s="78">
        <f>IF(KB!B43&lt;&gt;"",KB!C43,"")</f>
        <v/>
      </c>
      <c r="D243" s="78">
        <f>IF(KB!B43&lt;&gt;"",KB!D43,"")</f>
        <v/>
      </c>
      <c r="E243" s="78">
        <f>IF(KB!B43&lt;&gt;"",KB!E43,"")</f>
        <v/>
      </c>
      <c r="F243" s="78">
        <f>IF(KB!B43&lt;&gt;"",KB!F43,"")</f>
        <v/>
      </c>
      <c r="G243" s="78">
        <f>IF(KB!B43&lt;&gt;"",KB!G43,"")</f>
        <v/>
      </c>
      <c r="H243" s="97">
        <f>IF(KB!B43&lt;&gt;"",KB!H43,"")</f>
        <v/>
      </c>
      <c r="I243" s="97">
        <f>IF(KB!B43&lt;&gt;"",KB!I43,"")</f>
        <v/>
      </c>
      <c r="J243" s="78">
        <f>IF(KB!B43&lt;&gt;"",KB!J43,"")</f>
        <v/>
      </c>
    </row>
    <row r="244" ht="15.75" customHeight="1" s="52">
      <c r="A244" s="92">
        <f>IF(KB!B44&lt;&gt;"","KB","")</f>
        <v/>
      </c>
      <c r="B244" s="82">
        <f>IF(KB!B44&lt;&gt;"",KB!B44,"")</f>
        <v/>
      </c>
      <c r="C244" s="82">
        <f>IF(KB!B44&lt;&gt;"",KB!C44,"")</f>
        <v/>
      </c>
      <c r="D244" s="82">
        <f>IF(KB!B44&lt;&gt;"",KB!D44,"")</f>
        <v/>
      </c>
      <c r="E244" s="82">
        <f>IF(KB!B44&lt;&gt;"",KB!E44,"")</f>
        <v/>
      </c>
      <c r="F244" s="82">
        <f>IF(KB!B44&lt;&gt;"",KB!F44,"")</f>
        <v/>
      </c>
      <c r="G244" s="82">
        <f>IF(KB!B44&lt;&gt;"",KB!G44,"")</f>
        <v/>
      </c>
      <c r="H244" s="92">
        <f>IF(KB!B44&lt;&gt;"",KB!H44,"")</f>
        <v/>
      </c>
      <c r="I244" s="92">
        <f>IF(KB!B44&lt;&gt;"",KB!I44,"")</f>
        <v/>
      </c>
      <c r="J244" s="82">
        <f>IF(KB!B44&lt;&gt;"",KB!J44,"")</f>
        <v/>
      </c>
    </row>
    <row r="245" ht="15.75" customHeight="1" s="52">
      <c r="A245" s="97">
        <f>IF(KB!B45&lt;&gt;"","KB","")</f>
        <v/>
      </c>
      <c r="B245" s="78">
        <f>IF(KB!B45&lt;&gt;"",KB!B45,"")</f>
        <v/>
      </c>
      <c r="C245" s="78">
        <f>IF(KB!B45&lt;&gt;"",KB!C45,"")</f>
        <v/>
      </c>
      <c r="D245" s="78">
        <f>IF(KB!B45&lt;&gt;"",KB!D45,"")</f>
        <v/>
      </c>
      <c r="E245" s="78">
        <f>IF(KB!B45&lt;&gt;"",KB!E45,"")</f>
        <v/>
      </c>
      <c r="F245" s="78">
        <f>IF(KB!B45&lt;&gt;"",KB!F45,"")</f>
        <v/>
      </c>
      <c r="G245" s="78">
        <f>IF(KB!B45&lt;&gt;"",KB!G45,"")</f>
        <v/>
      </c>
      <c r="H245" s="97">
        <f>IF(KB!B45&lt;&gt;"",KB!H45,"")</f>
        <v/>
      </c>
      <c r="I245" s="97">
        <f>IF(KB!B45&lt;&gt;"",KB!I45,"")</f>
        <v/>
      </c>
      <c r="J245" s="78">
        <f>IF(KB!B45&lt;&gt;"",KB!J45,"")</f>
        <v/>
      </c>
    </row>
    <row r="246" ht="15.75" customHeight="1" s="52">
      <c r="A246" s="92">
        <f>IF(KB!B46&lt;&gt;"","KB","")</f>
        <v/>
      </c>
      <c r="B246" s="82">
        <f>IF(KB!B46&lt;&gt;"",KB!B46,"")</f>
        <v/>
      </c>
      <c r="C246" s="82">
        <f>IF(KB!B46&lt;&gt;"",KB!C46,"")</f>
        <v/>
      </c>
      <c r="D246" s="82">
        <f>IF(KB!B46&lt;&gt;"",KB!D46,"")</f>
        <v/>
      </c>
      <c r="E246" s="82">
        <f>IF(KB!B46&lt;&gt;"",KB!E46,"")</f>
        <v/>
      </c>
      <c r="F246" s="82">
        <f>IF(KB!B46&lt;&gt;"",KB!F46,"")</f>
        <v/>
      </c>
      <c r="G246" s="82">
        <f>IF(KB!B46&lt;&gt;"",KB!G46,"")</f>
        <v/>
      </c>
      <c r="H246" s="92">
        <f>IF(KB!B46&lt;&gt;"",KB!H46,"")</f>
        <v/>
      </c>
      <c r="I246" s="92">
        <f>IF(KB!B46&lt;&gt;"",KB!I46,"")</f>
        <v/>
      </c>
      <c r="J246" s="82">
        <f>IF(KB!B46&lt;&gt;"",KB!J46,"")</f>
        <v/>
      </c>
    </row>
    <row r="247" ht="15.75" customHeight="1" s="52">
      <c r="A247" s="97">
        <f>IF(KB!B47&lt;&gt;"","KB","")</f>
        <v/>
      </c>
      <c r="B247" s="78">
        <f>IF(KB!B47&lt;&gt;"",KB!B47,"")</f>
        <v/>
      </c>
      <c r="C247" s="78">
        <f>IF(KB!B47&lt;&gt;"",KB!C47,"")</f>
        <v/>
      </c>
      <c r="D247" s="78">
        <f>IF(KB!B47&lt;&gt;"",KB!D47,"")</f>
        <v/>
      </c>
      <c r="E247" s="78">
        <f>IF(KB!B47&lt;&gt;"",KB!E47,"")</f>
        <v/>
      </c>
      <c r="F247" s="78">
        <f>IF(KB!B47&lt;&gt;"",KB!F47,"")</f>
        <v/>
      </c>
      <c r="G247" s="78">
        <f>IF(KB!B47&lt;&gt;"",KB!G47,"")</f>
        <v/>
      </c>
      <c r="H247" s="97">
        <f>IF(KB!B47&lt;&gt;"",KB!H47,"")</f>
        <v/>
      </c>
      <c r="I247" s="97">
        <f>IF(KB!B47&lt;&gt;"",KB!I47,"")</f>
        <v/>
      </c>
      <c r="J247" s="78">
        <f>IF(KB!B47&lt;&gt;"",KB!J47,"")</f>
        <v/>
      </c>
    </row>
    <row r="248" ht="15.75" customHeight="1" s="52">
      <c r="A248" s="92">
        <f>IF(KB!B48&lt;&gt;"","KB","")</f>
        <v/>
      </c>
      <c r="B248" s="82">
        <f>IF(KB!B48&lt;&gt;"",KB!B48,"")</f>
        <v/>
      </c>
      <c r="C248" s="82">
        <f>IF(KB!B48&lt;&gt;"",KB!C48,"")</f>
        <v/>
      </c>
      <c r="D248" s="82">
        <f>IF(KB!B48&lt;&gt;"",KB!D48,"")</f>
        <v/>
      </c>
      <c r="E248" s="82">
        <f>IF(KB!B48&lt;&gt;"",KB!E48,"")</f>
        <v/>
      </c>
      <c r="F248" s="82">
        <f>IF(KB!B48&lt;&gt;"",KB!F48,"")</f>
        <v/>
      </c>
      <c r="G248" s="82">
        <f>IF(KB!B48&lt;&gt;"",KB!G48,"")</f>
        <v/>
      </c>
      <c r="H248" s="92">
        <f>IF(KB!B48&lt;&gt;"",KB!H48,"")</f>
        <v/>
      </c>
      <c r="I248" s="92">
        <f>IF(KB!B48&lt;&gt;"",KB!I48,"")</f>
        <v/>
      </c>
      <c r="J248" s="82">
        <f>IF(KB!B48&lt;&gt;"",KB!J48,"")</f>
        <v/>
      </c>
    </row>
    <row r="249" ht="15.75" customHeight="1" s="52">
      <c r="A249" s="97">
        <f>IF(KB!B49&lt;&gt;"","KB","")</f>
        <v/>
      </c>
      <c r="B249" s="78">
        <f>IF(KB!B49&lt;&gt;"",KB!B49,"")</f>
        <v/>
      </c>
      <c r="C249" s="78">
        <f>IF(KB!B49&lt;&gt;"",KB!C49,"")</f>
        <v/>
      </c>
      <c r="D249" s="78">
        <f>IF(KB!B49&lt;&gt;"",KB!D49,"")</f>
        <v/>
      </c>
      <c r="E249" s="78">
        <f>IF(KB!B49&lt;&gt;"",KB!E49,"")</f>
        <v/>
      </c>
      <c r="F249" s="78">
        <f>IF(KB!B49&lt;&gt;"",KB!F49,"")</f>
        <v/>
      </c>
      <c r="G249" s="78">
        <f>IF(KB!B49&lt;&gt;"",KB!G49,"")</f>
        <v/>
      </c>
      <c r="H249" s="97">
        <f>IF(KB!B49&lt;&gt;"",KB!H49,"")</f>
        <v/>
      </c>
      <c r="I249" s="97">
        <f>IF(KB!B49&lt;&gt;"",KB!I49,"")</f>
        <v/>
      </c>
      <c r="J249" s="78">
        <f>IF(KB!B49&lt;&gt;"",KB!J49,"")</f>
        <v/>
      </c>
    </row>
    <row r="250" ht="15.75" customHeight="1" s="52">
      <c r="A250" s="92">
        <f>IF(KB!B50&lt;&gt;"","KB","")</f>
        <v/>
      </c>
      <c r="B250" s="82">
        <f>IF(KB!B50&lt;&gt;"",KB!B50,"")</f>
        <v/>
      </c>
      <c r="C250" s="82">
        <f>IF(KB!B50&lt;&gt;"",KB!C50,"")</f>
        <v/>
      </c>
      <c r="D250" s="82">
        <f>IF(KB!B50&lt;&gt;"",KB!D50,"")</f>
        <v/>
      </c>
      <c r="E250" s="82">
        <f>IF(KB!B50&lt;&gt;"",KB!E50,"")</f>
        <v/>
      </c>
      <c r="F250" s="82">
        <f>IF(KB!B50&lt;&gt;"",KB!F50,"")</f>
        <v/>
      </c>
      <c r="G250" s="82">
        <f>IF(KB!B50&lt;&gt;"",KB!G50,"")</f>
        <v/>
      </c>
      <c r="H250" s="92">
        <f>IF(KB!B50&lt;&gt;"",KB!H50,"")</f>
        <v/>
      </c>
      <c r="I250" s="92">
        <f>IF(KB!B50&lt;&gt;"",KB!I50,"")</f>
        <v/>
      </c>
      <c r="J250" s="82">
        <f>IF(KB!B50&lt;&gt;"",KB!J50,"")</f>
        <v/>
      </c>
    </row>
    <row r="251" ht="15.75" customHeight="1" s="52">
      <c r="A251" s="97">
        <f>IF(KB!B51&lt;&gt;"","KB","")</f>
        <v/>
      </c>
      <c r="B251" s="78">
        <f>IF(KB!B51&lt;&gt;"",KB!B51,"")</f>
        <v/>
      </c>
      <c r="C251" s="78">
        <f>IF(KB!B51&lt;&gt;"",KB!C51,"")</f>
        <v/>
      </c>
      <c r="D251" s="78">
        <f>IF(KB!B51&lt;&gt;"",KB!D51,"")</f>
        <v/>
      </c>
      <c r="E251" s="78">
        <f>IF(KB!B51&lt;&gt;"",KB!E51,"")</f>
        <v/>
      </c>
      <c r="F251" s="78">
        <f>IF(KB!B51&lt;&gt;"",KB!F51,"")</f>
        <v/>
      </c>
      <c r="G251" s="78">
        <f>IF(KB!B51&lt;&gt;"",KB!G51,"")</f>
        <v/>
      </c>
      <c r="H251" s="97">
        <f>IF(KB!B51&lt;&gt;"",KB!H51,"")</f>
        <v/>
      </c>
      <c r="I251" s="97">
        <f>IF(KB!B51&lt;&gt;"",KB!I51,"")</f>
        <v/>
      </c>
      <c r="J251" s="78">
        <f>IF(KB!B51&lt;&gt;"",KB!J51,"")</f>
        <v/>
      </c>
    </row>
    <row r="252" ht="15.75" customHeight="1" s="52">
      <c r="A252" s="92">
        <f>IF(KB!B52&lt;&gt;"","KB","")</f>
        <v/>
      </c>
      <c r="B252" s="82">
        <f>IF(KB!B52&lt;&gt;"",KB!B52,"")</f>
        <v/>
      </c>
      <c r="C252" s="82">
        <f>IF(KB!B52&lt;&gt;"",KB!C52,"")</f>
        <v/>
      </c>
      <c r="D252" s="82">
        <f>IF(KB!B52&lt;&gt;"",KB!D52,"")</f>
        <v/>
      </c>
      <c r="E252" s="82">
        <f>IF(KB!B52&lt;&gt;"",KB!E52,"")</f>
        <v/>
      </c>
      <c r="F252" s="82">
        <f>IF(KB!B52&lt;&gt;"",KB!F52,"")</f>
        <v/>
      </c>
      <c r="G252" s="82">
        <f>IF(KB!B52&lt;&gt;"",KB!G52,"")</f>
        <v/>
      </c>
      <c r="H252" s="92">
        <f>IF(KB!B52&lt;&gt;"",KB!H52,"")</f>
        <v/>
      </c>
      <c r="I252" s="92">
        <f>IF(KB!B52&lt;&gt;"",KB!I52,"")</f>
        <v/>
      </c>
      <c r="J252" s="82">
        <f>IF(KB!B52&lt;&gt;"",KB!J52,"")</f>
        <v/>
      </c>
    </row>
    <row r="253" ht="15.75" customHeight="1" s="52">
      <c r="A253" s="97">
        <f>IF(KB!B53&lt;&gt;"","KB","")</f>
        <v/>
      </c>
      <c r="B253" s="78">
        <f>IF(KB!B53&lt;&gt;"",KB!B53,"")</f>
        <v/>
      </c>
      <c r="C253" s="78">
        <f>IF(KB!B53&lt;&gt;"",KB!C53,"")</f>
        <v/>
      </c>
      <c r="D253" s="78">
        <f>IF(KB!B53&lt;&gt;"",KB!D53,"")</f>
        <v/>
      </c>
      <c r="E253" s="78">
        <f>IF(KB!B53&lt;&gt;"",KB!E53,"")</f>
        <v/>
      </c>
      <c r="F253" s="78">
        <f>IF(KB!B53&lt;&gt;"",KB!F53,"")</f>
        <v/>
      </c>
      <c r="G253" s="78">
        <f>IF(KB!B53&lt;&gt;"",KB!G53,"")</f>
        <v/>
      </c>
      <c r="H253" s="97">
        <f>IF(KB!B53&lt;&gt;"",KB!H53,"")</f>
        <v/>
      </c>
      <c r="I253" s="97">
        <f>IF(KB!B53&lt;&gt;"",KB!I53,"")</f>
        <v/>
      </c>
      <c r="J253" s="78">
        <f>IF(KB!B53&lt;&gt;"",KB!J53,"")</f>
        <v/>
      </c>
    </row>
    <row r="254" ht="15.75" customHeight="1" s="52">
      <c r="A254" s="92">
        <f>IF(KB!B54&lt;&gt;"","KB","")</f>
        <v/>
      </c>
      <c r="B254" s="82">
        <f>IF(KB!B54&lt;&gt;"",KB!B54,"")</f>
        <v/>
      </c>
      <c r="C254" s="82">
        <f>IF(KB!B54&lt;&gt;"",KB!C54,"")</f>
        <v/>
      </c>
      <c r="D254" s="82">
        <f>IF(KB!B54&lt;&gt;"",KB!D54,"")</f>
        <v/>
      </c>
      <c r="E254" s="82">
        <f>IF(KB!B54&lt;&gt;"",KB!E54,"")</f>
        <v/>
      </c>
      <c r="F254" s="82">
        <f>IF(KB!B54&lt;&gt;"",KB!F54,"")</f>
        <v/>
      </c>
      <c r="G254" s="82">
        <f>IF(KB!B54&lt;&gt;"",KB!G54,"")</f>
        <v/>
      </c>
      <c r="H254" s="92">
        <f>IF(KB!B54&lt;&gt;"",KB!H54,"")</f>
        <v/>
      </c>
      <c r="I254" s="92">
        <f>IF(KB!B54&lt;&gt;"",KB!I54,"")</f>
        <v/>
      </c>
      <c r="J254" s="82">
        <f>IF(KB!B54&lt;&gt;"",KB!J54,"")</f>
        <v/>
      </c>
    </row>
    <row r="255" ht="15.75" customHeight="1" s="52">
      <c r="A255" s="97">
        <f>IF(KC!B5&lt;&gt;"","KC","")</f>
        <v/>
      </c>
      <c r="B255" s="78">
        <f>IF(KC!B5&lt;&gt;"",KC!B5,"")</f>
        <v/>
      </c>
      <c r="C255" s="78">
        <f>IF(KC!B5&lt;&gt;"",KC!C5,"")</f>
        <v/>
      </c>
      <c r="D255" s="78">
        <f>IF(KC!B5&lt;&gt;"",KC!D5,"")</f>
        <v/>
      </c>
      <c r="E255" s="78">
        <f>IF(KC!B5&lt;&gt;"",KC!E5,"")</f>
        <v/>
      </c>
      <c r="F255" s="78">
        <f>IF(KC!B5&lt;&gt;"",KC!F5,"")</f>
        <v/>
      </c>
      <c r="G255" s="78">
        <f>IF(KC!B5&lt;&gt;"",KC!G5,"")</f>
        <v/>
      </c>
      <c r="H255" s="97">
        <f>IF(KC!B5&lt;&gt;"",KC!H5,"")</f>
        <v/>
      </c>
      <c r="I255" s="97">
        <f>IF(KC!B5&lt;&gt;"",KC!I5,"")</f>
        <v/>
      </c>
      <c r="J255" s="78">
        <f>IF(KC!B5&lt;&gt;"",KC!J5,"")</f>
        <v/>
      </c>
    </row>
    <row r="256" ht="15.75" customHeight="1" s="52">
      <c r="A256" s="92">
        <f>IF(KC!B6&lt;&gt;"","KC","")</f>
        <v/>
      </c>
      <c r="B256" s="82">
        <f>IF(KC!B6&lt;&gt;"",KC!B6,"")</f>
        <v/>
      </c>
      <c r="C256" s="82">
        <f>IF(KC!B6&lt;&gt;"",KC!C6,"")</f>
        <v/>
      </c>
      <c r="D256" s="82">
        <f>IF(KC!B6&lt;&gt;"",KC!D6,"")</f>
        <v/>
      </c>
      <c r="E256" s="82">
        <f>IF(KC!B6&lt;&gt;"",KC!E6,"")</f>
        <v/>
      </c>
      <c r="F256" s="82">
        <f>IF(KC!B6&lt;&gt;"",KC!F6,"")</f>
        <v/>
      </c>
      <c r="G256" s="82">
        <f>IF(KC!B6&lt;&gt;"",KC!G6,"")</f>
        <v/>
      </c>
      <c r="H256" s="92">
        <f>IF(KC!B6&lt;&gt;"",KC!H6,"")</f>
        <v/>
      </c>
      <c r="I256" s="92">
        <f>IF(KC!B6&lt;&gt;"",KC!I6,"")</f>
        <v/>
      </c>
      <c r="J256" s="82">
        <f>IF(KC!B6&lt;&gt;"",KC!J6,"")</f>
        <v/>
      </c>
    </row>
    <row r="257" ht="15.75" customHeight="1" s="52">
      <c r="A257" s="97">
        <f>IF(KC!B7&lt;&gt;"","KC","")</f>
        <v/>
      </c>
      <c r="B257" s="78">
        <f>IF(KC!B7&lt;&gt;"",KC!B7,"")</f>
        <v/>
      </c>
      <c r="C257" s="78">
        <f>IF(KC!B7&lt;&gt;"",KC!C7,"")</f>
        <v/>
      </c>
      <c r="D257" s="78">
        <f>IF(KC!B7&lt;&gt;"",KC!D7,"")</f>
        <v/>
      </c>
      <c r="E257" s="78">
        <f>IF(KC!B7&lt;&gt;"",KC!E7,"")</f>
        <v/>
      </c>
      <c r="F257" s="78">
        <f>IF(KC!B7&lt;&gt;"",KC!F7,"")</f>
        <v/>
      </c>
      <c r="G257" s="78">
        <f>IF(KC!B7&lt;&gt;"",KC!G7,"")</f>
        <v/>
      </c>
      <c r="H257" s="97">
        <f>IF(KC!B7&lt;&gt;"",KC!H7,"")</f>
        <v/>
      </c>
      <c r="I257" s="97">
        <f>IF(KC!B7&lt;&gt;"",KC!I7,"")</f>
        <v/>
      </c>
      <c r="J257" s="78">
        <f>IF(KC!B7&lt;&gt;"",KC!J7,"")</f>
        <v/>
      </c>
    </row>
    <row r="258" ht="15.75" customHeight="1" s="52">
      <c r="A258" s="92">
        <f>IF(KC!B8&lt;&gt;"","KC","")</f>
        <v/>
      </c>
      <c r="B258" s="82">
        <f>IF(KC!B8&lt;&gt;"",KC!B8,"")</f>
        <v/>
      </c>
      <c r="C258" s="82">
        <f>IF(KC!B8&lt;&gt;"",KC!C8,"")</f>
        <v/>
      </c>
      <c r="D258" s="82">
        <f>IF(KC!B8&lt;&gt;"",KC!D8,"")</f>
        <v/>
      </c>
      <c r="E258" s="82">
        <f>IF(KC!B8&lt;&gt;"",KC!E8,"")</f>
        <v/>
      </c>
      <c r="F258" s="82">
        <f>IF(KC!B8&lt;&gt;"",KC!F8,"")</f>
        <v/>
      </c>
      <c r="G258" s="82">
        <f>IF(KC!B8&lt;&gt;"",KC!G8,"")</f>
        <v/>
      </c>
      <c r="H258" s="92">
        <f>IF(KC!B8&lt;&gt;"",KC!H8,"")</f>
        <v/>
      </c>
      <c r="I258" s="92">
        <f>IF(KC!B8&lt;&gt;"",KC!I8,"")</f>
        <v/>
      </c>
      <c r="J258" s="82">
        <f>IF(KC!B8&lt;&gt;"",KC!J8,"")</f>
        <v/>
      </c>
    </row>
    <row r="259" ht="15.75" customHeight="1" s="52">
      <c r="A259" s="97">
        <f>IF(KC!B9&lt;&gt;"","KC","")</f>
        <v/>
      </c>
      <c r="B259" s="78">
        <f>IF(KC!B9&lt;&gt;"",KC!B9,"")</f>
        <v/>
      </c>
      <c r="C259" s="78">
        <f>IF(KC!B9&lt;&gt;"",KC!C9,"")</f>
        <v/>
      </c>
      <c r="D259" s="78">
        <f>IF(KC!B9&lt;&gt;"",KC!D9,"")</f>
        <v/>
      </c>
      <c r="E259" s="78">
        <f>IF(KC!B9&lt;&gt;"",KC!E9,"")</f>
        <v/>
      </c>
      <c r="F259" s="78">
        <f>IF(KC!B9&lt;&gt;"",KC!F9,"")</f>
        <v/>
      </c>
      <c r="G259" s="78">
        <f>IF(KC!B9&lt;&gt;"",KC!G9,"")</f>
        <v/>
      </c>
      <c r="H259" s="97">
        <f>IF(KC!B9&lt;&gt;"",KC!H9,"")</f>
        <v/>
      </c>
      <c r="I259" s="97">
        <f>IF(KC!B9&lt;&gt;"",KC!I9,"")</f>
        <v/>
      </c>
      <c r="J259" s="78">
        <f>IF(KC!B9&lt;&gt;"",KC!J9,"")</f>
        <v/>
      </c>
    </row>
    <row r="260" ht="15.75" customHeight="1" s="52">
      <c r="A260" s="92">
        <f>IF(KC!B10&lt;&gt;"","KC","")</f>
        <v/>
      </c>
      <c r="B260" s="82">
        <f>IF(KC!B10&lt;&gt;"",KC!B10,"")</f>
        <v/>
      </c>
      <c r="C260" s="82">
        <f>IF(KC!B10&lt;&gt;"",KC!C10,"")</f>
        <v/>
      </c>
      <c r="D260" s="82">
        <f>IF(KC!B10&lt;&gt;"",KC!D10,"")</f>
        <v/>
      </c>
      <c r="E260" s="82">
        <f>IF(KC!B10&lt;&gt;"",KC!E10,"")</f>
        <v/>
      </c>
      <c r="F260" s="82">
        <f>IF(KC!B10&lt;&gt;"",KC!F10,"")</f>
        <v/>
      </c>
      <c r="G260" s="82">
        <f>IF(KC!B10&lt;&gt;"",KC!G10,"")</f>
        <v/>
      </c>
      <c r="H260" s="92">
        <f>IF(KC!B10&lt;&gt;"",KC!H10,"")</f>
        <v/>
      </c>
      <c r="I260" s="92">
        <f>IF(KC!B10&lt;&gt;"",KC!I10,"")</f>
        <v/>
      </c>
      <c r="J260" s="82">
        <f>IF(KC!B10&lt;&gt;"",KC!J10,"")</f>
        <v/>
      </c>
    </row>
    <row r="261" ht="15.75" customHeight="1" s="52">
      <c r="A261" s="97">
        <f>IF(KC!B11&lt;&gt;"","KC","")</f>
        <v/>
      </c>
      <c r="B261" s="78">
        <f>IF(KC!B11&lt;&gt;"",KC!B11,"")</f>
        <v/>
      </c>
      <c r="C261" s="78">
        <f>IF(KC!B11&lt;&gt;"",KC!C11,"")</f>
        <v/>
      </c>
      <c r="D261" s="78">
        <f>IF(KC!B11&lt;&gt;"",KC!D11,"")</f>
        <v/>
      </c>
      <c r="E261" s="78">
        <f>IF(KC!B11&lt;&gt;"",KC!E11,"")</f>
        <v/>
      </c>
      <c r="F261" s="78">
        <f>IF(KC!B11&lt;&gt;"",KC!F11,"")</f>
        <v/>
      </c>
      <c r="G261" s="78">
        <f>IF(KC!B11&lt;&gt;"",KC!G11,"")</f>
        <v/>
      </c>
      <c r="H261" s="97">
        <f>IF(KC!B11&lt;&gt;"",KC!H11,"")</f>
        <v/>
      </c>
      <c r="I261" s="97">
        <f>IF(KC!B11&lt;&gt;"",KC!I11,"")</f>
        <v/>
      </c>
      <c r="J261" s="78">
        <f>IF(KC!B11&lt;&gt;"",KC!J11,"")</f>
        <v/>
      </c>
    </row>
    <row r="262" ht="15.75" customHeight="1" s="52">
      <c r="A262" s="92">
        <f>IF(KC!B12&lt;&gt;"","KC","")</f>
        <v/>
      </c>
      <c r="B262" s="82">
        <f>IF(KC!B12&lt;&gt;"",KC!B12,"")</f>
        <v/>
      </c>
      <c r="C262" s="82">
        <f>IF(KC!B12&lt;&gt;"",KC!C12,"")</f>
        <v/>
      </c>
      <c r="D262" s="82">
        <f>IF(KC!B12&lt;&gt;"",KC!D12,"")</f>
        <v/>
      </c>
      <c r="E262" s="82">
        <f>IF(KC!B12&lt;&gt;"",KC!E12,"")</f>
        <v/>
      </c>
      <c r="F262" s="82">
        <f>IF(KC!B12&lt;&gt;"",KC!F12,"")</f>
        <v/>
      </c>
      <c r="G262" s="82">
        <f>IF(KC!B12&lt;&gt;"",KC!G12,"")</f>
        <v/>
      </c>
      <c r="H262" s="92">
        <f>IF(KC!B12&lt;&gt;"",KC!H12,"")</f>
        <v/>
      </c>
      <c r="I262" s="92">
        <f>IF(KC!B12&lt;&gt;"",KC!I12,"")</f>
        <v/>
      </c>
      <c r="J262" s="82">
        <f>IF(KC!B12&lt;&gt;"",KC!J12,"")</f>
        <v/>
      </c>
    </row>
    <row r="263" ht="15.75" customHeight="1" s="52">
      <c r="A263" s="97">
        <f>IF(KC!B13&lt;&gt;"","KC","")</f>
        <v/>
      </c>
      <c r="B263" s="78">
        <f>IF(KC!B13&lt;&gt;"",KC!B13,"")</f>
        <v/>
      </c>
      <c r="C263" s="78">
        <f>IF(KC!B13&lt;&gt;"",KC!C13,"")</f>
        <v/>
      </c>
      <c r="D263" s="78">
        <f>IF(KC!B13&lt;&gt;"",KC!D13,"")</f>
        <v/>
      </c>
      <c r="E263" s="78">
        <f>IF(KC!B13&lt;&gt;"",KC!E13,"")</f>
        <v/>
      </c>
      <c r="F263" s="78">
        <f>IF(KC!B13&lt;&gt;"",KC!F13,"")</f>
        <v/>
      </c>
      <c r="G263" s="78">
        <f>IF(KC!B13&lt;&gt;"",KC!G13,"")</f>
        <v/>
      </c>
      <c r="H263" s="97">
        <f>IF(KC!B13&lt;&gt;"",KC!H13,"")</f>
        <v/>
      </c>
      <c r="I263" s="97">
        <f>IF(KC!B13&lt;&gt;"",KC!I13,"")</f>
        <v/>
      </c>
      <c r="J263" s="78">
        <f>IF(KC!B13&lt;&gt;"",KC!J13,"")</f>
        <v/>
      </c>
    </row>
    <row r="264" ht="15.75" customHeight="1" s="52">
      <c r="A264" s="92">
        <f>IF(KC!B14&lt;&gt;"","KC","")</f>
        <v/>
      </c>
      <c r="B264" s="82">
        <f>IF(KC!B14&lt;&gt;"",KC!B14,"")</f>
        <v/>
      </c>
      <c r="C264" s="82">
        <f>IF(KC!B14&lt;&gt;"",KC!C14,"")</f>
        <v/>
      </c>
      <c r="D264" s="82">
        <f>IF(KC!B14&lt;&gt;"",KC!D14,"")</f>
        <v/>
      </c>
      <c r="E264" s="82">
        <f>IF(KC!B14&lt;&gt;"",KC!E14,"")</f>
        <v/>
      </c>
      <c r="F264" s="82">
        <f>IF(KC!B14&lt;&gt;"",KC!F14,"")</f>
        <v/>
      </c>
      <c r="G264" s="82">
        <f>IF(KC!B14&lt;&gt;"",KC!G14,"")</f>
        <v/>
      </c>
      <c r="H264" s="92">
        <f>IF(KC!B14&lt;&gt;"",KC!H14,"")</f>
        <v/>
      </c>
      <c r="I264" s="92">
        <f>IF(KC!B14&lt;&gt;"",KC!I14,"")</f>
        <v/>
      </c>
      <c r="J264" s="82">
        <f>IF(KC!B14&lt;&gt;"",KC!J14,"")</f>
        <v/>
      </c>
    </row>
    <row r="265" ht="15.75" customHeight="1" s="52">
      <c r="A265" s="97">
        <f>IF(KC!B15&lt;&gt;"","KC","")</f>
        <v/>
      </c>
      <c r="B265" s="78">
        <f>IF(KC!B15&lt;&gt;"",KC!B15,"")</f>
        <v/>
      </c>
      <c r="C265" s="78">
        <f>IF(KC!B15&lt;&gt;"",KC!C15,"")</f>
        <v/>
      </c>
      <c r="D265" s="78">
        <f>IF(KC!B15&lt;&gt;"",KC!D15,"")</f>
        <v/>
      </c>
      <c r="E265" s="78">
        <f>IF(KC!B15&lt;&gt;"",KC!E15,"")</f>
        <v/>
      </c>
      <c r="F265" s="78">
        <f>IF(KC!B15&lt;&gt;"",KC!F15,"")</f>
        <v/>
      </c>
      <c r="G265" s="78">
        <f>IF(KC!B15&lt;&gt;"",KC!G15,"")</f>
        <v/>
      </c>
      <c r="H265" s="97">
        <f>IF(KC!B15&lt;&gt;"",KC!H15,"")</f>
        <v/>
      </c>
      <c r="I265" s="97">
        <f>IF(KC!B15&lt;&gt;"",KC!I15,"")</f>
        <v/>
      </c>
      <c r="J265" s="78">
        <f>IF(KC!B15&lt;&gt;"",KC!J15,"")</f>
        <v/>
      </c>
    </row>
    <row r="266" ht="15.75" customHeight="1" s="52">
      <c r="A266" s="92">
        <f>IF(KC!B16&lt;&gt;"","KC","")</f>
        <v/>
      </c>
      <c r="B266" s="82">
        <f>IF(KC!B16&lt;&gt;"",KC!B16,"")</f>
        <v/>
      </c>
      <c r="C266" s="82">
        <f>IF(KC!B16&lt;&gt;"",KC!C16,"")</f>
        <v/>
      </c>
      <c r="D266" s="82">
        <f>IF(KC!B16&lt;&gt;"",KC!D16,"")</f>
        <v/>
      </c>
      <c r="E266" s="82">
        <f>IF(KC!B16&lt;&gt;"",KC!E16,"")</f>
        <v/>
      </c>
      <c r="F266" s="82">
        <f>IF(KC!B16&lt;&gt;"",KC!F16,"")</f>
        <v/>
      </c>
      <c r="G266" s="82">
        <f>IF(KC!B16&lt;&gt;"",KC!G16,"")</f>
        <v/>
      </c>
      <c r="H266" s="92">
        <f>IF(KC!B16&lt;&gt;"",KC!H16,"")</f>
        <v/>
      </c>
      <c r="I266" s="92">
        <f>IF(KC!B16&lt;&gt;"",KC!I16,"")</f>
        <v/>
      </c>
      <c r="J266" s="82">
        <f>IF(KC!B16&lt;&gt;"",KC!J16,"")</f>
        <v/>
      </c>
    </row>
    <row r="267" ht="15.75" customHeight="1" s="52">
      <c r="A267" s="97">
        <f>IF(KC!B17&lt;&gt;"","KC","")</f>
        <v/>
      </c>
      <c r="B267" s="78">
        <f>IF(KC!B17&lt;&gt;"",KC!B17,"")</f>
        <v/>
      </c>
      <c r="C267" s="78">
        <f>IF(KC!B17&lt;&gt;"",KC!C17,"")</f>
        <v/>
      </c>
      <c r="D267" s="78">
        <f>IF(KC!B17&lt;&gt;"",KC!D17,"")</f>
        <v/>
      </c>
      <c r="E267" s="78">
        <f>IF(KC!B17&lt;&gt;"",KC!E17,"")</f>
        <v/>
      </c>
      <c r="F267" s="78">
        <f>IF(KC!B17&lt;&gt;"",KC!F17,"")</f>
        <v/>
      </c>
      <c r="G267" s="78">
        <f>IF(KC!B17&lt;&gt;"",KC!G17,"")</f>
        <v/>
      </c>
      <c r="H267" s="97">
        <f>IF(KC!B17&lt;&gt;"",KC!H17,"")</f>
        <v/>
      </c>
      <c r="I267" s="97">
        <f>IF(KC!B17&lt;&gt;"",KC!I17,"")</f>
        <v/>
      </c>
      <c r="J267" s="78">
        <f>IF(KC!B17&lt;&gt;"",KC!J17,"")</f>
        <v/>
      </c>
    </row>
    <row r="268" ht="15.75" customHeight="1" s="52">
      <c r="A268" s="92">
        <f>IF(KC!B18&lt;&gt;"","KC","")</f>
        <v/>
      </c>
      <c r="B268" s="82">
        <f>IF(KC!B18&lt;&gt;"",KC!B18,"")</f>
        <v/>
      </c>
      <c r="C268" s="82">
        <f>IF(KC!B18&lt;&gt;"",KC!C18,"")</f>
        <v/>
      </c>
      <c r="D268" s="82">
        <f>IF(KC!B18&lt;&gt;"",KC!D18,"")</f>
        <v/>
      </c>
      <c r="E268" s="82">
        <f>IF(KC!B18&lt;&gt;"",KC!E18,"")</f>
        <v/>
      </c>
      <c r="F268" s="82">
        <f>IF(KC!B18&lt;&gt;"",KC!F18,"")</f>
        <v/>
      </c>
      <c r="G268" s="82">
        <f>IF(KC!B18&lt;&gt;"",KC!G18,"")</f>
        <v/>
      </c>
      <c r="H268" s="92">
        <f>IF(KC!B18&lt;&gt;"",KC!H18,"")</f>
        <v/>
      </c>
      <c r="I268" s="92">
        <f>IF(KC!B18&lt;&gt;"",KC!I18,"")</f>
        <v/>
      </c>
      <c r="J268" s="82">
        <f>IF(KC!B18&lt;&gt;"",KC!J18,"")</f>
        <v/>
      </c>
    </row>
    <row r="269" ht="15.75" customHeight="1" s="52">
      <c r="A269" s="97">
        <f>IF(KC!B19&lt;&gt;"","KC","")</f>
        <v/>
      </c>
      <c r="B269" s="78">
        <f>IF(KC!B19&lt;&gt;"",KC!B19,"")</f>
        <v/>
      </c>
      <c r="C269" s="78">
        <f>IF(KC!B19&lt;&gt;"",KC!C19,"")</f>
        <v/>
      </c>
      <c r="D269" s="78">
        <f>IF(KC!B19&lt;&gt;"",KC!D19,"")</f>
        <v/>
      </c>
      <c r="E269" s="78">
        <f>IF(KC!B19&lt;&gt;"",KC!E19,"")</f>
        <v/>
      </c>
      <c r="F269" s="78">
        <f>IF(KC!B19&lt;&gt;"",KC!F19,"")</f>
        <v/>
      </c>
      <c r="G269" s="78">
        <f>IF(KC!B19&lt;&gt;"",KC!G19,"")</f>
        <v/>
      </c>
      <c r="H269" s="97">
        <f>IF(KC!B19&lt;&gt;"",KC!H19,"")</f>
        <v/>
      </c>
      <c r="I269" s="97">
        <f>IF(KC!B19&lt;&gt;"",KC!I19,"")</f>
        <v/>
      </c>
      <c r="J269" s="78">
        <f>IF(KC!B19&lt;&gt;"",KC!J19,"")</f>
        <v/>
      </c>
    </row>
    <row r="270" ht="15.75" customHeight="1" s="52">
      <c r="A270" s="92">
        <f>IF(KC!B20&lt;&gt;"","KC","")</f>
        <v/>
      </c>
      <c r="B270" s="82">
        <f>IF(KC!B20&lt;&gt;"",KC!B20,"")</f>
        <v/>
      </c>
      <c r="C270" s="82">
        <f>IF(KC!B20&lt;&gt;"",KC!C20,"")</f>
        <v/>
      </c>
      <c r="D270" s="82">
        <f>IF(KC!B20&lt;&gt;"",KC!D20,"")</f>
        <v/>
      </c>
      <c r="E270" s="82">
        <f>IF(KC!B20&lt;&gt;"",KC!E20,"")</f>
        <v/>
      </c>
      <c r="F270" s="82">
        <f>IF(KC!B20&lt;&gt;"",KC!F20,"")</f>
        <v/>
      </c>
      <c r="G270" s="82">
        <f>IF(KC!B20&lt;&gt;"",KC!G20,"")</f>
        <v/>
      </c>
      <c r="H270" s="92">
        <f>IF(KC!B20&lt;&gt;"",KC!H20,"")</f>
        <v/>
      </c>
      <c r="I270" s="92">
        <f>IF(KC!B20&lt;&gt;"",KC!I20,"")</f>
        <v/>
      </c>
      <c r="J270" s="82">
        <f>IF(KC!B20&lt;&gt;"",KC!J20,"")</f>
        <v/>
      </c>
    </row>
    <row r="271" ht="15.75" customHeight="1" s="52">
      <c r="A271" s="97">
        <f>IF(KC!B21&lt;&gt;"","KC","")</f>
        <v/>
      </c>
      <c r="B271" s="78">
        <f>IF(KC!B21&lt;&gt;"",KC!B21,"")</f>
        <v/>
      </c>
      <c r="C271" s="78">
        <f>IF(KC!B21&lt;&gt;"",KC!C21,"")</f>
        <v/>
      </c>
      <c r="D271" s="78">
        <f>IF(KC!B21&lt;&gt;"",KC!D21,"")</f>
        <v/>
      </c>
      <c r="E271" s="78">
        <f>IF(KC!B21&lt;&gt;"",KC!E21,"")</f>
        <v/>
      </c>
      <c r="F271" s="78">
        <f>IF(KC!B21&lt;&gt;"",KC!F21,"")</f>
        <v/>
      </c>
      <c r="G271" s="78">
        <f>IF(KC!B21&lt;&gt;"",KC!G21,"")</f>
        <v/>
      </c>
      <c r="H271" s="97">
        <f>IF(KC!B21&lt;&gt;"",KC!H21,"")</f>
        <v/>
      </c>
      <c r="I271" s="97">
        <f>IF(KC!B21&lt;&gt;"",KC!I21,"")</f>
        <v/>
      </c>
      <c r="J271" s="78">
        <f>IF(KC!B21&lt;&gt;"",KC!J21,"")</f>
        <v/>
      </c>
    </row>
    <row r="272" ht="15.75" customHeight="1" s="52">
      <c r="A272" s="92">
        <f>IF(KC!B22&lt;&gt;"","KC","")</f>
        <v/>
      </c>
      <c r="B272" s="82">
        <f>IF(KC!B22&lt;&gt;"",KC!B22,"")</f>
        <v/>
      </c>
      <c r="C272" s="82">
        <f>IF(KC!B22&lt;&gt;"",KC!C22,"")</f>
        <v/>
      </c>
      <c r="D272" s="82">
        <f>IF(KC!B22&lt;&gt;"",KC!D22,"")</f>
        <v/>
      </c>
      <c r="E272" s="82">
        <f>IF(KC!B22&lt;&gt;"",KC!E22,"")</f>
        <v/>
      </c>
      <c r="F272" s="82">
        <f>IF(KC!B22&lt;&gt;"",KC!F22,"")</f>
        <v/>
      </c>
      <c r="G272" s="82">
        <f>IF(KC!B22&lt;&gt;"",KC!G22,"")</f>
        <v/>
      </c>
      <c r="H272" s="92">
        <f>IF(KC!B22&lt;&gt;"",KC!H22,"")</f>
        <v/>
      </c>
      <c r="I272" s="92">
        <f>IF(KC!B22&lt;&gt;"",KC!I22,"")</f>
        <v/>
      </c>
      <c r="J272" s="82">
        <f>IF(KC!B22&lt;&gt;"",KC!J22,"")</f>
        <v/>
      </c>
    </row>
    <row r="273" ht="15.75" customHeight="1" s="52">
      <c r="A273" s="97">
        <f>IF(KC!B23&lt;&gt;"","KC","")</f>
        <v/>
      </c>
      <c r="B273" s="78">
        <f>IF(KC!B23&lt;&gt;"",KC!B23,"")</f>
        <v/>
      </c>
      <c r="C273" s="78">
        <f>IF(KC!B23&lt;&gt;"",KC!C23,"")</f>
        <v/>
      </c>
      <c r="D273" s="78">
        <f>IF(KC!B23&lt;&gt;"",KC!D23,"")</f>
        <v/>
      </c>
      <c r="E273" s="78">
        <f>IF(KC!B23&lt;&gt;"",KC!E23,"")</f>
        <v/>
      </c>
      <c r="F273" s="78">
        <f>IF(KC!B23&lt;&gt;"",KC!F23,"")</f>
        <v/>
      </c>
      <c r="G273" s="78">
        <f>IF(KC!B23&lt;&gt;"",KC!G23,"")</f>
        <v/>
      </c>
      <c r="H273" s="97">
        <f>IF(KC!B23&lt;&gt;"",KC!H23,"")</f>
        <v/>
      </c>
      <c r="I273" s="97">
        <f>IF(KC!B23&lt;&gt;"",KC!I23,"")</f>
        <v/>
      </c>
      <c r="J273" s="78">
        <f>IF(KC!B23&lt;&gt;"",KC!J23,"")</f>
        <v/>
      </c>
    </row>
    <row r="274" ht="15.75" customHeight="1" s="52">
      <c r="A274" s="92">
        <f>IF(KC!B24&lt;&gt;"","KC","")</f>
        <v/>
      </c>
      <c r="B274" s="82">
        <f>IF(KC!B24&lt;&gt;"",KC!B24,"")</f>
        <v/>
      </c>
      <c r="C274" s="82">
        <f>IF(KC!B24&lt;&gt;"",KC!C24,"")</f>
        <v/>
      </c>
      <c r="D274" s="82">
        <f>IF(KC!B24&lt;&gt;"",KC!D24,"")</f>
        <v/>
      </c>
      <c r="E274" s="82">
        <f>IF(KC!B24&lt;&gt;"",KC!E24,"")</f>
        <v/>
      </c>
      <c r="F274" s="82">
        <f>IF(KC!B24&lt;&gt;"",KC!F24,"")</f>
        <v/>
      </c>
      <c r="G274" s="82">
        <f>IF(KC!B24&lt;&gt;"",KC!G24,"")</f>
        <v/>
      </c>
      <c r="H274" s="92">
        <f>IF(KC!B24&lt;&gt;"",KC!H24,"")</f>
        <v/>
      </c>
      <c r="I274" s="92">
        <f>IF(KC!B24&lt;&gt;"",KC!I24,"")</f>
        <v/>
      </c>
      <c r="J274" s="82">
        <f>IF(KC!B24&lt;&gt;"",KC!J24,"")</f>
        <v/>
      </c>
    </row>
    <row r="275" ht="15.75" customHeight="1" s="52">
      <c r="A275" s="97">
        <f>IF(KC!B25&lt;&gt;"","KC","")</f>
        <v/>
      </c>
      <c r="B275" s="78">
        <f>IF(KC!B25&lt;&gt;"",KC!B25,"")</f>
        <v/>
      </c>
      <c r="C275" s="78">
        <f>IF(KC!B25&lt;&gt;"",KC!C25,"")</f>
        <v/>
      </c>
      <c r="D275" s="78">
        <f>IF(KC!B25&lt;&gt;"",KC!D25,"")</f>
        <v/>
      </c>
      <c r="E275" s="78">
        <f>IF(KC!B25&lt;&gt;"",KC!E25,"")</f>
        <v/>
      </c>
      <c r="F275" s="78">
        <f>IF(KC!B25&lt;&gt;"",KC!F25,"")</f>
        <v/>
      </c>
      <c r="G275" s="78">
        <f>IF(KC!B25&lt;&gt;"",KC!G25,"")</f>
        <v/>
      </c>
      <c r="H275" s="97">
        <f>IF(KC!B25&lt;&gt;"",KC!H25,"")</f>
        <v/>
      </c>
      <c r="I275" s="97">
        <f>IF(KC!B25&lt;&gt;"",KC!I25,"")</f>
        <v/>
      </c>
      <c r="J275" s="78">
        <f>IF(KC!B25&lt;&gt;"",KC!J25,"")</f>
        <v/>
      </c>
    </row>
    <row r="276" ht="15.75" customHeight="1" s="52">
      <c r="A276" s="92">
        <f>IF(KC!B26&lt;&gt;"","KC","")</f>
        <v/>
      </c>
      <c r="B276" s="82">
        <f>IF(KC!B26&lt;&gt;"",KC!B26,"")</f>
        <v/>
      </c>
      <c r="C276" s="82">
        <f>IF(KC!B26&lt;&gt;"",KC!C26,"")</f>
        <v/>
      </c>
      <c r="D276" s="82">
        <f>IF(KC!B26&lt;&gt;"",KC!D26,"")</f>
        <v/>
      </c>
      <c r="E276" s="82">
        <f>IF(KC!B26&lt;&gt;"",KC!E26,"")</f>
        <v/>
      </c>
      <c r="F276" s="82">
        <f>IF(KC!B26&lt;&gt;"",KC!F26,"")</f>
        <v/>
      </c>
      <c r="G276" s="82">
        <f>IF(KC!B26&lt;&gt;"",KC!G26,"")</f>
        <v/>
      </c>
      <c r="H276" s="92">
        <f>IF(KC!B26&lt;&gt;"",KC!H26,"")</f>
        <v/>
      </c>
      <c r="I276" s="92">
        <f>IF(KC!B26&lt;&gt;"",KC!I26,"")</f>
        <v/>
      </c>
      <c r="J276" s="82">
        <f>IF(KC!B26&lt;&gt;"",KC!J26,"")</f>
        <v/>
      </c>
    </row>
    <row r="277" ht="15.75" customHeight="1" s="52">
      <c r="A277" s="97">
        <f>IF(KC!B27&lt;&gt;"","KC","")</f>
        <v/>
      </c>
      <c r="B277" s="78">
        <f>IF(KC!B27&lt;&gt;"",KC!B27,"")</f>
        <v/>
      </c>
      <c r="C277" s="78">
        <f>IF(KC!B27&lt;&gt;"",KC!C27,"")</f>
        <v/>
      </c>
      <c r="D277" s="78">
        <f>IF(KC!B27&lt;&gt;"",KC!D27,"")</f>
        <v/>
      </c>
      <c r="E277" s="78">
        <f>IF(KC!B27&lt;&gt;"",KC!E27,"")</f>
        <v/>
      </c>
      <c r="F277" s="78">
        <f>IF(KC!B27&lt;&gt;"",KC!F27,"")</f>
        <v/>
      </c>
      <c r="G277" s="78">
        <f>IF(KC!B27&lt;&gt;"",KC!G27,"")</f>
        <v/>
      </c>
      <c r="H277" s="97">
        <f>IF(KC!B27&lt;&gt;"",KC!H27,"")</f>
        <v/>
      </c>
      <c r="I277" s="97">
        <f>IF(KC!B27&lt;&gt;"",KC!I27,"")</f>
        <v/>
      </c>
      <c r="J277" s="78">
        <f>IF(KC!B27&lt;&gt;"",KC!J27,"")</f>
        <v/>
      </c>
    </row>
    <row r="278" ht="15.75" customHeight="1" s="52">
      <c r="A278" s="92">
        <f>IF(KC!B28&lt;&gt;"","KC","")</f>
        <v/>
      </c>
      <c r="B278" s="82">
        <f>IF(KC!B28&lt;&gt;"",KC!B28,"")</f>
        <v/>
      </c>
      <c r="C278" s="82">
        <f>IF(KC!B28&lt;&gt;"",KC!C28,"")</f>
        <v/>
      </c>
      <c r="D278" s="82">
        <f>IF(KC!B28&lt;&gt;"",KC!D28,"")</f>
        <v/>
      </c>
      <c r="E278" s="82">
        <f>IF(KC!B28&lt;&gt;"",KC!E28,"")</f>
        <v/>
      </c>
      <c r="F278" s="82">
        <f>IF(KC!B28&lt;&gt;"",KC!F28,"")</f>
        <v/>
      </c>
      <c r="G278" s="82">
        <f>IF(KC!B28&lt;&gt;"",KC!G28,"")</f>
        <v/>
      </c>
      <c r="H278" s="92">
        <f>IF(KC!B28&lt;&gt;"",KC!H28,"")</f>
        <v/>
      </c>
      <c r="I278" s="92">
        <f>IF(KC!B28&lt;&gt;"",KC!I28,"")</f>
        <v/>
      </c>
      <c r="J278" s="82">
        <f>IF(KC!B28&lt;&gt;"",KC!J28,"")</f>
        <v/>
      </c>
    </row>
    <row r="279" ht="15.75" customHeight="1" s="52">
      <c r="A279" s="97">
        <f>IF(KC!B29&lt;&gt;"","KC","")</f>
        <v/>
      </c>
      <c r="B279" s="78">
        <f>IF(KC!B29&lt;&gt;"",KC!B29,"")</f>
        <v/>
      </c>
      <c r="C279" s="78">
        <f>IF(KC!B29&lt;&gt;"",KC!C29,"")</f>
        <v/>
      </c>
      <c r="D279" s="78">
        <f>IF(KC!B29&lt;&gt;"",KC!D29,"")</f>
        <v/>
      </c>
      <c r="E279" s="78">
        <f>IF(KC!B29&lt;&gt;"",KC!E29,"")</f>
        <v/>
      </c>
      <c r="F279" s="78">
        <f>IF(KC!B29&lt;&gt;"",KC!F29,"")</f>
        <v/>
      </c>
      <c r="G279" s="78">
        <f>IF(KC!B29&lt;&gt;"",KC!G29,"")</f>
        <v/>
      </c>
      <c r="H279" s="97">
        <f>IF(KC!B29&lt;&gt;"",KC!H29,"")</f>
        <v/>
      </c>
      <c r="I279" s="97">
        <f>IF(KC!B29&lt;&gt;"",KC!I29,"")</f>
        <v/>
      </c>
      <c r="J279" s="78">
        <f>IF(KC!B29&lt;&gt;"",KC!J29,"")</f>
        <v/>
      </c>
    </row>
    <row r="280" ht="15.75" customHeight="1" s="52">
      <c r="A280" s="92">
        <f>IF(KC!B30&lt;&gt;"","KC","")</f>
        <v/>
      </c>
      <c r="B280" s="82">
        <f>IF(KC!B30&lt;&gt;"",KC!B30,"")</f>
        <v/>
      </c>
      <c r="C280" s="82">
        <f>IF(KC!B30&lt;&gt;"",KC!C30,"")</f>
        <v/>
      </c>
      <c r="D280" s="82">
        <f>IF(KC!B30&lt;&gt;"",KC!D30,"")</f>
        <v/>
      </c>
      <c r="E280" s="82">
        <f>IF(KC!B30&lt;&gt;"",KC!E30,"")</f>
        <v/>
      </c>
      <c r="F280" s="82">
        <f>IF(KC!B30&lt;&gt;"",KC!F30,"")</f>
        <v/>
      </c>
      <c r="G280" s="82">
        <f>IF(KC!B30&lt;&gt;"",KC!G30,"")</f>
        <v/>
      </c>
      <c r="H280" s="92">
        <f>IF(KC!B30&lt;&gt;"",KC!H30,"")</f>
        <v/>
      </c>
      <c r="I280" s="92">
        <f>IF(KC!B30&lt;&gt;"",KC!I30,"")</f>
        <v/>
      </c>
      <c r="J280" s="82">
        <f>IF(KC!B30&lt;&gt;"",KC!J30,"")</f>
        <v/>
      </c>
    </row>
    <row r="281" ht="15.75" customHeight="1" s="52">
      <c r="A281" s="97">
        <f>IF(KC!B31&lt;&gt;"","KC","")</f>
        <v/>
      </c>
      <c r="B281" s="78">
        <f>IF(KC!B31&lt;&gt;"",KC!B31,"")</f>
        <v/>
      </c>
      <c r="C281" s="78">
        <f>IF(KC!B31&lt;&gt;"",KC!C31,"")</f>
        <v/>
      </c>
      <c r="D281" s="78">
        <f>IF(KC!B31&lt;&gt;"",KC!D31,"")</f>
        <v/>
      </c>
      <c r="E281" s="78">
        <f>IF(KC!B31&lt;&gt;"",KC!E31,"")</f>
        <v/>
      </c>
      <c r="F281" s="78">
        <f>IF(KC!B31&lt;&gt;"",KC!F31,"")</f>
        <v/>
      </c>
      <c r="G281" s="78">
        <f>IF(KC!B31&lt;&gt;"",KC!G31,"")</f>
        <v/>
      </c>
      <c r="H281" s="97">
        <f>IF(KC!B31&lt;&gt;"",KC!H31,"")</f>
        <v/>
      </c>
      <c r="I281" s="97">
        <f>IF(KC!B31&lt;&gt;"",KC!I31,"")</f>
        <v/>
      </c>
      <c r="J281" s="78">
        <f>IF(KC!B31&lt;&gt;"",KC!J31,"")</f>
        <v/>
      </c>
    </row>
    <row r="282" ht="15.75" customHeight="1" s="52">
      <c r="A282" s="92">
        <f>IF(KC!B32&lt;&gt;"","KC","")</f>
        <v/>
      </c>
      <c r="B282" s="82">
        <f>IF(KC!B32&lt;&gt;"",KC!B32,"")</f>
        <v/>
      </c>
      <c r="C282" s="82">
        <f>IF(KC!B32&lt;&gt;"",KC!C32,"")</f>
        <v/>
      </c>
      <c r="D282" s="82">
        <f>IF(KC!B32&lt;&gt;"",KC!D32,"")</f>
        <v/>
      </c>
      <c r="E282" s="82">
        <f>IF(KC!B32&lt;&gt;"",KC!E32,"")</f>
        <v/>
      </c>
      <c r="F282" s="82">
        <f>IF(KC!B32&lt;&gt;"",KC!F32,"")</f>
        <v/>
      </c>
      <c r="G282" s="82">
        <f>IF(KC!B32&lt;&gt;"",KC!G32,"")</f>
        <v/>
      </c>
      <c r="H282" s="92">
        <f>IF(KC!B32&lt;&gt;"",KC!H32,"")</f>
        <v/>
      </c>
      <c r="I282" s="92">
        <f>IF(KC!B32&lt;&gt;"",KC!I32,"")</f>
        <v/>
      </c>
      <c r="J282" s="82">
        <f>IF(KC!B32&lt;&gt;"",KC!J32,"")</f>
        <v/>
      </c>
    </row>
    <row r="283" ht="15.75" customHeight="1" s="52">
      <c r="A283" s="97">
        <f>IF(KC!B33&lt;&gt;"","KC","")</f>
        <v/>
      </c>
      <c r="B283" s="78">
        <f>IF(KC!B33&lt;&gt;"",KC!B33,"")</f>
        <v/>
      </c>
      <c r="C283" s="78">
        <f>IF(KC!B33&lt;&gt;"",KC!C33,"")</f>
        <v/>
      </c>
      <c r="D283" s="78">
        <f>IF(KC!B33&lt;&gt;"",KC!D33,"")</f>
        <v/>
      </c>
      <c r="E283" s="78">
        <f>IF(KC!B33&lt;&gt;"",KC!E33,"")</f>
        <v/>
      </c>
      <c r="F283" s="78">
        <f>IF(KC!B33&lt;&gt;"",KC!F33,"")</f>
        <v/>
      </c>
      <c r="G283" s="78">
        <f>IF(KC!B33&lt;&gt;"",KC!G33,"")</f>
        <v/>
      </c>
      <c r="H283" s="97">
        <f>IF(KC!B33&lt;&gt;"",KC!H33,"")</f>
        <v/>
      </c>
      <c r="I283" s="97">
        <f>IF(KC!B33&lt;&gt;"",KC!I33,"")</f>
        <v/>
      </c>
      <c r="J283" s="78">
        <f>IF(KC!B33&lt;&gt;"",KC!J33,"")</f>
        <v/>
      </c>
    </row>
    <row r="284" ht="15.75" customHeight="1" s="52">
      <c r="A284" s="92">
        <f>IF(KC!B34&lt;&gt;"","KC","")</f>
        <v/>
      </c>
      <c r="B284" s="82">
        <f>IF(KC!B34&lt;&gt;"",KC!B34,"")</f>
        <v/>
      </c>
      <c r="C284" s="82">
        <f>IF(KC!B34&lt;&gt;"",KC!C34,"")</f>
        <v/>
      </c>
      <c r="D284" s="82">
        <f>IF(KC!B34&lt;&gt;"",KC!D34,"")</f>
        <v/>
      </c>
      <c r="E284" s="82">
        <f>IF(KC!B34&lt;&gt;"",KC!E34,"")</f>
        <v/>
      </c>
      <c r="F284" s="82">
        <f>IF(KC!B34&lt;&gt;"",KC!F34,"")</f>
        <v/>
      </c>
      <c r="G284" s="82">
        <f>IF(KC!B34&lt;&gt;"",KC!G34,"")</f>
        <v/>
      </c>
      <c r="H284" s="92">
        <f>IF(KC!B34&lt;&gt;"",KC!H34,"")</f>
        <v/>
      </c>
      <c r="I284" s="92">
        <f>IF(KC!B34&lt;&gt;"",KC!I34,"")</f>
        <v/>
      </c>
      <c r="J284" s="82">
        <f>IF(KC!B34&lt;&gt;"",KC!J34,"")</f>
        <v/>
      </c>
    </row>
    <row r="285" ht="15.75" customHeight="1" s="52">
      <c r="A285" s="97">
        <f>IF(KC!B35&lt;&gt;"","KC","")</f>
        <v/>
      </c>
      <c r="B285" s="78">
        <f>IF(KC!B35&lt;&gt;"",KC!B35,"")</f>
        <v/>
      </c>
      <c r="C285" s="78">
        <f>IF(KC!B35&lt;&gt;"",KC!C35,"")</f>
        <v/>
      </c>
      <c r="D285" s="78">
        <f>IF(KC!B35&lt;&gt;"",KC!D35,"")</f>
        <v/>
      </c>
      <c r="E285" s="78">
        <f>IF(KC!B35&lt;&gt;"",KC!E35,"")</f>
        <v/>
      </c>
      <c r="F285" s="78">
        <f>IF(KC!B35&lt;&gt;"",KC!F35,"")</f>
        <v/>
      </c>
      <c r="G285" s="78">
        <f>IF(KC!B35&lt;&gt;"",KC!G35,"")</f>
        <v/>
      </c>
      <c r="H285" s="97">
        <f>IF(KC!B35&lt;&gt;"",KC!H35,"")</f>
        <v/>
      </c>
      <c r="I285" s="97">
        <f>IF(KC!B35&lt;&gt;"",KC!I35,"")</f>
        <v/>
      </c>
      <c r="J285" s="78">
        <f>IF(KC!B35&lt;&gt;"",KC!J35,"")</f>
        <v/>
      </c>
    </row>
    <row r="286" ht="15.75" customHeight="1" s="52">
      <c r="A286" s="92">
        <f>IF(KC!B36&lt;&gt;"","KC","")</f>
        <v/>
      </c>
      <c r="B286" s="82">
        <f>IF(KC!B36&lt;&gt;"",KC!B36,"")</f>
        <v/>
      </c>
      <c r="C286" s="82">
        <f>IF(KC!B36&lt;&gt;"",KC!C36,"")</f>
        <v/>
      </c>
      <c r="D286" s="82">
        <f>IF(KC!B36&lt;&gt;"",KC!D36,"")</f>
        <v/>
      </c>
      <c r="E286" s="82">
        <f>IF(KC!B36&lt;&gt;"",KC!E36,"")</f>
        <v/>
      </c>
      <c r="F286" s="82">
        <f>IF(KC!B36&lt;&gt;"",KC!F36,"")</f>
        <v/>
      </c>
      <c r="G286" s="82">
        <f>IF(KC!B36&lt;&gt;"",KC!G36,"")</f>
        <v/>
      </c>
      <c r="H286" s="92">
        <f>IF(KC!B36&lt;&gt;"",KC!H36,"")</f>
        <v/>
      </c>
      <c r="I286" s="92">
        <f>IF(KC!B36&lt;&gt;"",KC!I36,"")</f>
        <v/>
      </c>
      <c r="J286" s="82">
        <f>IF(KC!B36&lt;&gt;"",KC!J36,"")</f>
        <v/>
      </c>
    </row>
    <row r="287" ht="15.75" customHeight="1" s="52">
      <c r="A287" s="97">
        <f>IF(KC!B37&lt;&gt;"","KC","")</f>
        <v/>
      </c>
      <c r="B287" s="78">
        <f>IF(KC!B37&lt;&gt;"",KC!B37,"")</f>
        <v/>
      </c>
      <c r="C287" s="78">
        <f>IF(KC!B37&lt;&gt;"",KC!C37,"")</f>
        <v/>
      </c>
      <c r="D287" s="78">
        <f>IF(KC!B37&lt;&gt;"",KC!D37,"")</f>
        <v/>
      </c>
      <c r="E287" s="78">
        <f>IF(KC!B37&lt;&gt;"",KC!E37,"")</f>
        <v/>
      </c>
      <c r="F287" s="78">
        <f>IF(KC!B37&lt;&gt;"",KC!F37,"")</f>
        <v/>
      </c>
      <c r="G287" s="78">
        <f>IF(KC!B37&lt;&gt;"",KC!G37,"")</f>
        <v/>
      </c>
      <c r="H287" s="97">
        <f>IF(KC!B37&lt;&gt;"",KC!H37,"")</f>
        <v/>
      </c>
      <c r="I287" s="97">
        <f>IF(KC!B37&lt;&gt;"",KC!I37,"")</f>
        <v/>
      </c>
      <c r="J287" s="78">
        <f>IF(KC!B37&lt;&gt;"",KC!J37,"")</f>
        <v/>
      </c>
    </row>
    <row r="288" ht="15.75" customHeight="1" s="52">
      <c r="A288" s="92">
        <f>IF(KC!B38&lt;&gt;"","KC","")</f>
        <v/>
      </c>
      <c r="B288" s="82">
        <f>IF(KC!B38&lt;&gt;"",KC!B38,"")</f>
        <v/>
      </c>
      <c r="C288" s="82">
        <f>IF(KC!B38&lt;&gt;"",KC!C38,"")</f>
        <v/>
      </c>
      <c r="D288" s="82">
        <f>IF(KC!B38&lt;&gt;"",KC!D38,"")</f>
        <v/>
      </c>
      <c r="E288" s="82">
        <f>IF(KC!B38&lt;&gt;"",KC!E38,"")</f>
        <v/>
      </c>
      <c r="F288" s="82">
        <f>IF(KC!B38&lt;&gt;"",KC!F38,"")</f>
        <v/>
      </c>
      <c r="G288" s="82">
        <f>IF(KC!B38&lt;&gt;"",KC!G38,"")</f>
        <v/>
      </c>
      <c r="H288" s="92">
        <f>IF(KC!B38&lt;&gt;"",KC!H38,"")</f>
        <v/>
      </c>
      <c r="I288" s="92">
        <f>IF(KC!B38&lt;&gt;"",KC!I38,"")</f>
        <v/>
      </c>
      <c r="J288" s="82">
        <f>IF(KC!B38&lt;&gt;"",KC!J38,"")</f>
        <v/>
      </c>
    </row>
    <row r="289" ht="15.75" customHeight="1" s="52">
      <c r="A289" s="97">
        <f>IF(KC!B39&lt;&gt;"","KC","")</f>
        <v/>
      </c>
      <c r="B289" s="78">
        <f>IF(KC!B39&lt;&gt;"",KC!B39,"")</f>
        <v/>
      </c>
      <c r="C289" s="78">
        <f>IF(KC!B39&lt;&gt;"",KC!C39,"")</f>
        <v/>
      </c>
      <c r="D289" s="78">
        <f>IF(KC!B39&lt;&gt;"",KC!D39,"")</f>
        <v/>
      </c>
      <c r="E289" s="78">
        <f>IF(KC!B39&lt;&gt;"",KC!E39,"")</f>
        <v/>
      </c>
      <c r="F289" s="78">
        <f>IF(KC!B39&lt;&gt;"",KC!F39,"")</f>
        <v/>
      </c>
      <c r="G289" s="78">
        <f>IF(KC!B39&lt;&gt;"",KC!G39,"")</f>
        <v/>
      </c>
      <c r="H289" s="97">
        <f>IF(KC!B39&lt;&gt;"",KC!H39,"")</f>
        <v/>
      </c>
      <c r="I289" s="97">
        <f>IF(KC!B39&lt;&gt;"",KC!I39,"")</f>
        <v/>
      </c>
      <c r="J289" s="78">
        <f>IF(KC!B39&lt;&gt;"",KC!J39,"")</f>
        <v/>
      </c>
    </row>
    <row r="290" ht="15.75" customHeight="1" s="52">
      <c r="A290" s="92">
        <f>IF(KC!B40&lt;&gt;"","KC","")</f>
        <v/>
      </c>
      <c r="B290" s="82">
        <f>IF(KC!B40&lt;&gt;"",KC!B40,"")</f>
        <v/>
      </c>
      <c r="C290" s="82">
        <f>IF(KC!B40&lt;&gt;"",KC!C40,"")</f>
        <v/>
      </c>
      <c r="D290" s="82">
        <f>IF(KC!B40&lt;&gt;"",KC!D40,"")</f>
        <v/>
      </c>
      <c r="E290" s="82">
        <f>IF(KC!B40&lt;&gt;"",KC!E40,"")</f>
        <v/>
      </c>
      <c r="F290" s="82">
        <f>IF(KC!B40&lt;&gt;"",KC!F40,"")</f>
        <v/>
      </c>
      <c r="G290" s="82">
        <f>IF(KC!B40&lt;&gt;"",KC!G40,"")</f>
        <v/>
      </c>
      <c r="H290" s="92">
        <f>IF(KC!B40&lt;&gt;"",KC!H40,"")</f>
        <v/>
      </c>
      <c r="I290" s="92">
        <f>IF(KC!B40&lt;&gt;"",KC!I40,"")</f>
        <v/>
      </c>
      <c r="J290" s="82">
        <f>IF(KC!B40&lt;&gt;"",KC!J40,"")</f>
        <v/>
      </c>
    </row>
    <row r="291" ht="15.75" customHeight="1" s="52">
      <c r="A291" s="97">
        <f>IF(KC!B41&lt;&gt;"","KC","")</f>
        <v/>
      </c>
      <c r="B291" s="78">
        <f>IF(KC!B41&lt;&gt;"",KC!B41,"")</f>
        <v/>
      </c>
      <c r="C291" s="78">
        <f>IF(KC!B41&lt;&gt;"",KC!C41,"")</f>
        <v/>
      </c>
      <c r="D291" s="78">
        <f>IF(KC!B41&lt;&gt;"",KC!D41,"")</f>
        <v/>
      </c>
      <c r="E291" s="78">
        <f>IF(KC!B41&lt;&gt;"",KC!E41,"")</f>
        <v/>
      </c>
      <c r="F291" s="78">
        <f>IF(KC!B41&lt;&gt;"",KC!F41,"")</f>
        <v/>
      </c>
      <c r="G291" s="78">
        <f>IF(KC!B41&lt;&gt;"",KC!G41,"")</f>
        <v/>
      </c>
      <c r="H291" s="97">
        <f>IF(KC!B41&lt;&gt;"",KC!H41,"")</f>
        <v/>
      </c>
      <c r="I291" s="97">
        <f>IF(KC!B41&lt;&gt;"",KC!I41,"")</f>
        <v/>
      </c>
      <c r="J291" s="78">
        <f>IF(KC!B41&lt;&gt;"",KC!J41,"")</f>
        <v/>
      </c>
    </row>
    <row r="292" ht="15.75" customHeight="1" s="52">
      <c r="A292" s="92">
        <f>IF(KC!B42&lt;&gt;"","KC","")</f>
        <v/>
      </c>
      <c r="B292" s="82">
        <f>IF(KC!B42&lt;&gt;"",KC!B42,"")</f>
        <v/>
      </c>
      <c r="C292" s="82">
        <f>IF(KC!B42&lt;&gt;"",KC!C42,"")</f>
        <v/>
      </c>
      <c r="D292" s="82">
        <f>IF(KC!B42&lt;&gt;"",KC!D42,"")</f>
        <v/>
      </c>
      <c r="E292" s="82">
        <f>IF(KC!B42&lt;&gt;"",KC!E42,"")</f>
        <v/>
      </c>
      <c r="F292" s="82">
        <f>IF(KC!B42&lt;&gt;"",KC!F42,"")</f>
        <v/>
      </c>
      <c r="G292" s="82">
        <f>IF(KC!B42&lt;&gt;"",KC!G42,"")</f>
        <v/>
      </c>
      <c r="H292" s="92">
        <f>IF(KC!B42&lt;&gt;"",KC!H42,"")</f>
        <v/>
      </c>
      <c r="I292" s="92">
        <f>IF(KC!B42&lt;&gt;"",KC!I42,"")</f>
        <v/>
      </c>
      <c r="J292" s="82">
        <f>IF(KC!B42&lt;&gt;"",KC!J42,"")</f>
        <v/>
      </c>
    </row>
    <row r="293" ht="15.75" customHeight="1" s="52">
      <c r="A293" s="97">
        <f>IF(KC!B43&lt;&gt;"","KC","")</f>
        <v/>
      </c>
      <c r="B293" s="78">
        <f>IF(KC!B43&lt;&gt;"",KC!B43,"")</f>
        <v/>
      </c>
      <c r="C293" s="78">
        <f>IF(KC!B43&lt;&gt;"",KC!C43,"")</f>
        <v/>
      </c>
      <c r="D293" s="78">
        <f>IF(KC!B43&lt;&gt;"",KC!D43,"")</f>
        <v/>
      </c>
      <c r="E293" s="78">
        <f>IF(KC!B43&lt;&gt;"",KC!E43,"")</f>
        <v/>
      </c>
      <c r="F293" s="78">
        <f>IF(KC!B43&lt;&gt;"",KC!F43,"")</f>
        <v/>
      </c>
      <c r="G293" s="78">
        <f>IF(KC!B43&lt;&gt;"",KC!G43,"")</f>
        <v/>
      </c>
      <c r="H293" s="97">
        <f>IF(KC!B43&lt;&gt;"",KC!H43,"")</f>
        <v/>
      </c>
      <c r="I293" s="97">
        <f>IF(KC!B43&lt;&gt;"",KC!I43,"")</f>
        <v/>
      </c>
      <c r="J293" s="78">
        <f>IF(KC!B43&lt;&gt;"",KC!J43,"")</f>
        <v/>
      </c>
    </row>
    <row r="294" ht="15.75" customHeight="1" s="52">
      <c r="A294" s="92">
        <f>IF(KC!B44&lt;&gt;"","KC","")</f>
        <v/>
      </c>
      <c r="B294" s="82">
        <f>IF(KC!B44&lt;&gt;"",KC!B44,"")</f>
        <v/>
      </c>
      <c r="C294" s="82">
        <f>IF(KC!B44&lt;&gt;"",KC!C44,"")</f>
        <v/>
      </c>
      <c r="D294" s="82">
        <f>IF(KC!B44&lt;&gt;"",KC!D44,"")</f>
        <v/>
      </c>
      <c r="E294" s="82">
        <f>IF(KC!B44&lt;&gt;"",KC!E44,"")</f>
        <v/>
      </c>
      <c r="F294" s="82">
        <f>IF(KC!B44&lt;&gt;"",KC!F44,"")</f>
        <v/>
      </c>
      <c r="G294" s="82">
        <f>IF(KC!B44&lt;&gt;"",KC!G44,"")</f>
        <v/>
      </c>
      <c r="H294" s="92">
        <f>IF(KC!B44&lt;&gt;"",KC!H44,"")</f>
        <v/>
      </c>
      <c r="I294" s="92">
        <f>IF(KC!B44&lt;&gt;"",KC!I44,"")</f>
        <v/>
      </c>
      <c r="J294" s="82">
        <f>IF(KC!B44&lt;&gt;"",KC!J44,"")</f>
        <v/>
      </c>
    </row>
    <row r="295" ht="15.75" customHeight="1" s="52">
      <c r="A295" s="97">
        <f>IF(KC!B45&lt;&gt;"","KC","")</f>
        <v/>
      </c>
      <c r="B295" s="78">
        <f>IF(KC!B45&lt;&gt;"",KC!B45,"")</f>
        <v/>
      </c>
      <c r="C295" s="78">
        <f>IF(KC!B45&lt;&gt;"",KC!C45,"")</f>
        <v/>
      </c>
      <c r="D295" s="78">
        <f>IF(KC!B45&lt;&gt;"",KC!D45,"")</f>
        <v/>
      </c>
      <c r="E295" s="78">
        <f>IF(KC!B45&lt;&gt;"",KC!E45,"")</f>
        <v/>
      </c>
      <c r="F295" s="78">
        <f>IF(KC!B45&lt;&gt;"",KC!F45,"")</f>
        <v/>
      </c>
      <c r="G295" s="78">
        <f>IF(KC!B45&lt;&gt;"",KC!G45,"")</f>
        <v/>
      </c>
      <c r="H295" s="97">
        <f>IF(KC!B45&lt;&gt;"",KC!H45,"")</f>
        <v/>
      </c>
      <c r="I295" s="97">
        <f>IF(KC!B45&lt;&gt;"",KC!I45,"")</f>
        <v/>
      </c>
      <c r="J295" s="78">
        <f>IF(KC!B45&lt;&gt;"",KC!J45,"")</f>
        <v/>
      </c>
    </row>
    <row r="296" ht="15.75" customHeight="1" s="52">
      <c r="A296" s="92">
        <f>IF(KC!B46&lt;&gt;"","KC","")</f>
        <v/>
      </c>
      <c r="B296" s="82">
        <f>IF(KC!B46&lt;&gt;"",KC!B46,"")</f>
        <v/>
      </c>
      <c r="C296" s="82">
        <f>IF(KC!B46&lt;&gt;"",KC!C46,"")</f>
        <v/>
      </c>
      <c r="D296" s="82">
        <f>IF(KC!B46&lt;&gt;"",KC!D46,"")</f>
        <v/>
      </c>
      <c r="E296" s="82">
        <f>IF(KC!B46&lt;&gt;"",KC!E46,"")</f>
        <v/>
      </c>
      <c r="F296" s="82">
        <f>IF(KC!B46&lt;&gt;"",KC!F46,"")</f>
        <v/>
      </c>
      <c r="G296" s="82">
        <f>IF(KC!B46&lt;&gt;"",KC!G46,"")</f>
        <v/>
      </c>
      <c r="H296" s="92">
        <f>IF(KC!B46&lt;&gt;"",KC!H46,"")</f>
        <v/>
      </c>
      <c r="I296" s="92">
        <f>IF(KC!B46&lt;&gt;"",KC!I46,"")</f>
        <v/>
      </c>
      <c r="J296" s="82">
        <f>IF(KC!B46&lt;&gt;"",KC!J46,"")</f>
        <v/>
      </c>
    </row>
    <row r="297" ht="15.75" customHeight="1" s="52">
      <c r="A297" s="97">
        <f>IF(KC!B47&lt;&gt;"","KC","")</f>
        <v/>
      </c>
      <c r="B297" s="78">
        <f>IF(KC!B47&lt;&gt;"",KC!B47,"")</f>
        <v/>
      </c>
      <c r="C297" s="78">
        <f>IF(KC!B47&lt;&gt;"",KC!C47,"")</f>
        <v/>
      </c>
      <c r="D297" s="78">
        <f>IF(KC!B47&lt;&gt;"",KC!D47,"")</f>
        <v/>
      </c>
      <c r="E297" s="78">
        <f>IF(KC!B47&lt;&gt;"",KC!E47,"")</f>
        <v/>
      </c>
      <c r="F297" s="78">
        <f>IF(KC!B47&lt;&gt;"",KC!F47,"")</f>
        <v/>
      </c>
      <c r="G297" s="78">
        <f>IF(KC!B47&lt;&gt;"",KC!G47,"")</f>
        <v/>
      </c>
      <c r="H297" s="97">
        <f>IF(KC!B47&lt;&gt;"",KC!H47,"")</f>
        <v/>
      </c>
      <c r="I297" s="97">
        <f>IF(KC!B47&lt;&gt;"",KC!I47,"")</f>
        <v/>
      </c>
      <c r="J297" s="78">
        <f>IF(KC!B47&lt;&gt;"",KC!J47,"")</f>
        <v/>
      </c>
    </row>
    <row r="298" ht="15.75" customHeight="1" s="52">
      <c r="A298" s="92">
        <f>IF(KC!B48&lt;&gt;"","KC","")</f>
        <v/>
      </c>
      <c r="B298" s="82">
        <f>IF(KC!B48&lt;&gt;"",KC!B48,"")</f>
        <v/>
      </c>
      <c r="C298" s="82">
        <f>IF(KC!B48&lt;&gt;"",KC!C48,"")</f>
        <v/>
      </c>
      <c r="D298" s="82">
        <f>IF(KC!B48&lt;&gt;"",KC!D48,"")</f>
        <v/>
      </c>
      <c r="E298" s="82">
        <f>IF(KC!B48&lt;&gt;"",KC!E48,"")</f>
        <v/>
      </c>
      <c r="F298" s="82">
        <f>IF(KC!B48&lt;&gt;"",KC!F48,"")</f>
        <v/>
      </c>
      <c r="G298" s="82">
        <f>IF(KC!B48&lt;&gt;"",KC!G48,"")</f>
        <v/>
      </c>
      <c r="H298" s="92">
        <f>IF(KC!B48&lt;&gt;"",KC!H48,"")</f>
        <v/>
      </c>
      <c r="I298" s="92">
        <f>IF(KC!B48&lt;&gt;"",KC!I48,"")</f>
        <v/>
      </c>
      <c r="J298" s="82">
        <f>IF(KC!B48&lt;&gt;"",KC!J48,"")</f>
        <v/>
      </c>
    </row>
    <row r="299" ht="15.75" customHeight="1" s="52">
      <c r="A299" s="97">
        <f>IF(KC!B49&lt;&gt;"","KC","")</f>
        <v/>
      </c>
      <c r="B299" s="78">
        <f>IF(KC!B49&lt;&gt;"",KC!B49,"")</f>
        <v/>
      </c>
      <c r="C299" s="78">
        <f>IF(KC!B49&lt;&gt;"",KC!C49,"")</f>
        <v/>
      </c>
      <c r="D299" s="78">
        <f>IF(KC!B49&lt;&gt;"",KC!D49,"")</f>
        <v/>
      </c>
      <c r="E299" s="78">
        <f>IF(KC!B49&lt;&gt;"",KC!E49,"")</f>
        <v/>
      </c>
      <c r="F299" s="78">
        <f>IF(KC!B49&lt;&gt;"",KC!F49,"")</f>
        <v/>
      </c>
      <c r="G299" s="78">
        <f>IF(KC!B49&lt;&gt;"",KC!G49,"")</f>
        <v/>
      </c>
      <c r="H299" s="97">
        <f>IF(KC!B49&lt;&gt;"",KC!H49,"")</f>
        <v/>
      </c>
      <c r="I299" s="97">
        <f>IF(KC!B49&lt;&gt;"",KC!I49,"")</f>
        <v/>
      </c>
      <c r="J299" s="78">
        <f>IF(KC!B49&lt;&gt;"",KC!J49,"")</f>
        <v/>
      </c>
    </row>
    <row r="300" ht="15.75" customHeight="1" s="52">
      <c r="A300" s="92">
        <f>IF(KC!B50&lt;&gt;"","KC","")</f>
        <v/>
      </c>
      <c r="B300" s="82">
        <f>IF(KC!B50&lt;&gt;"",KC!B50,"")</f>
        <v/>
      </c>
      <c r="C300" s="82">
        <f>IF(KC!B50&lt;&gt;"",KC!C50,"")</f>
        <v/>
      </c>
      <c r="D300" s="82">
        <f>IF(KC!B50&lt;&gt;"",KC!D50,"")</f>
        <v/>
      </c>
      <c r="E300" s="82">
        <f>IF(KC!B50&lt;&gt;"",KC!E50,"")</f>
        <v/>
      </c>
      <c r="F300" s="82">
        <f>IF(KC!B50&lt;&gt;"",KC!F50,"")</f>
        <v/>
      </c>
      <c r="G300" s="82">
        <f>IF(KC!B50&lt;&gt;"",KC!G50,"")</f>
        <v/>
      </c>
      <c r="H300" s="92">
        <f>IF(KC!B50&lt;&gt;"",KC!H50,"")</f>
        <v/>
      </c>
      <c r="I300" s="92">
        <f>IF(KC!B50&lt;&gt;"",KC!I50,"")</f>
        <v/>
      </c>
      <c r="J300" s="82">
        <f>IF(KC!B50&lt;&gt;"",KC!J50,"")</f>
        <v/>
      </c>
    </row>
    <row r="301" ht="15.75" customHeight="1" s="52">
      <c r="A301" s="97">
        <f>IF(KC!B51&lt;&gt;"","KC","")</f>
        <v/>
      </c>
      <c r="B301" s="78">
        <f>IF(KC!B51&lt;&gt;"",KC!B51,"")</f>
        <v/>
      </c>
      <c r="C301" s="78">
        <f>IF(KC!B51&lt;&gt;"",KC!C51,"")</f>
        <v/>
      </c>
      <c r="D301" s="78">
        <f>IF(KC!B51&lt;&gt;"",KC!D51,"")</f>
        <v/>
      </c>
      <c r="E301" s="78">
        <f>IF(KC!B51&lt;&gt;"",KC!E51,"")</f>
        <v/>
      </c>
      <c r="F301" s="78">
        <f>IF(KC!B51&lt;&gt;"",KC!F51,"")</f>
        <v/>
      </c>
      <c r="G301" s="78">
        <f>IF(KC!B51&lt;&gt;"",KC!G51,"")</f>
        <v/>
      </c>
      <c r="H301" s="97">
        <f>IF(KC!B51&lt;&gt;"",KC!H51,"")</f>
        <v/>
      </c>
      <c r="I301" s="97">
        <f>IF(KC!B51&lt;&gt;"",KC!I51,"")</f>
        <v/>
      </c>
      <c r="J301" s="78">
        <f>IF(KC!B51&lt;&gt;"",KC!J51,"")</f>
        <v/>
      </c>
    </row>
    <row r="302" ht="15.75" customHeight="1" s="52">
      <c r="A302" s="92">
        <f>IF(KC!B52&lt;&gt;"","KC","")</f>
        <v/>
      </c>
      <c r="B302" s="82">
        <f>IF(KC!B52&lt;&gt;"",KC!B52,"")</f>
        <v/>
      </c>
      <c r="C302" s="82">
        <f>IF(KC!B52&lt;&gt;"",KC!C52,"")</f>
        <v/>
      </c>
      <c r="D302" s="82">
        <f>IF(KC!B52&lt;&gt;"",KC!D52,"")</f>
        <v/>
      </c>
      <c r="E302" s="82">
        <f>IF(KC!B52&lt;&gt;"",KC!E52,"")</f>
        <v/>
      </c>
      <c r="F302" s="82">
        <f>IF(KC!B52&lt;&gt;"",KC!F52,"")</f>
        <v/>
      </c>
      <c r="G302" s="82">
        <f>IF(KC!B52&lt;&gt;"",KC!G52,"")</f>
        <v/>
      </c>
      <c r="H302" s="92">
        <f>IF(KC!B52&lt;&gt;"",KC!H52,"")</f>
        <v/>
      </c>
      <c r="I302" s="92">
        <f>IF(KC!B52&lt;&gt;"",KC!I52,"")</f>
        <v/>
      </c>
      <c r="J302" s="82">
        <f>IF(KC!B52&lt;&gt;"",KC!J52,"")</f>
        <v/>
      </c>
    </row>
    <row r="303" ht="15.75" customHeight="1" s="52">
      <c r="A303" s="97">
        <f>IF(KC!B53&lt;&gt;"","KC","")</f>
        <v/>
      </c>
      <c r="B303" s="78">
        <f>IF(KC!B53&lt;&gt;"",KC!B53,"")</f>
        <v/>
      </c>
      <c r="C303" s="78">
        <f>IF(KC!B53&lt;&gt;"",KC!C53,"")</f>
        <v/>
      </c>
      <c r="D303" s="78">
        <f>IF(KC!B53&lt;&gt;"",KC!D53,"")</f>
        <v/>
      </c>
      <c r="E303" s="78">
        <f>IF(KC!B53&lt;&gt;"",KC!E53,"")</f>
        <v/>
      </c>
      <c r="F303" s="78">
        <f>IF(KC!B53&lt;&gt;"",KC!F53,"")</f>
        <v/>
      </c>
      <c r="G303" s="78">
        <f>IF(KC!B53&lt;&gt;"",KC!G53,"")</f>
        <v/>
      </c>
      <c r="H303" s="97">
        <f>IF(KC!B53&lt;&gt;"",KC!H53,"")</f>
        <v/>
      </c>
      <c r="I303" s="97">
        <f>IF(KC!B53&lt;&gt;"",KC!I53,"")</f>
        <v/>
      </c>
      <c r="J303" s="78">
        <f>IF(KC!B53&lt;&gt;"",KC!J53,"")</f>
        <v/>
      </c>
    </row>
    <row r="304" ht="15.75" customHeight="1" s="52">
      <c r="A304" s="92">
        <f>IF(KC!B54&lt;&gt;"","KC","")</f>
        <v/>
      </c>
      <c r="B304" s="82">
        <f>IF(KC!B54&lt;&gt;"",KC!B54,"")</f>
        <v/>
      </c>
      <c r="C304" s="82">
        <f>IF(KC!B54&lt;&gt;"",KC!C54,"")</f>
        <v/>
      </c>
      <c r="D304" s="82">
        <f>IF(KC!B54&lt;&gt;"",KC!D54,"")</f>
        <v/>
      </c>
      <c r="E304" s="82">
        <f>IF(KC!B54&lt;&gt;"",KC!E54,"")</f>
        <v/>
      </c>
      <c r="F304" s="82">
        <f>IF(KC!B54&lt;&gt;"",KC!F54,"")</f>
        <v/>
      </c>
      <c r="G304" s="82">
        <f>IF(KC!B54&lt;&gt;"",KC!G54,"")</f>
        <v/>
      </c>
      <c r="H304" s="92">
        <f>IF(KC!B54&lt;&gt;"",KC!H54,"")</f>
        <v/>
      </c>
      <c r="I304" s="92">
        <f>IF(KC!B54&lt;&gt;"",KC!I54,"")</f>
        <v/>
      </c>
      <c r="J304" s="82">
        <f>IF(KC!B54&lt;&gt;"",KC!J54,"")</f>
        <v/>
      </c>
    </row>
    <row r="305" ht="15.75" customHeight="1" s="52">
      <c r="A305" s="97">
        <f>IF('1A'!B5&lt;&gt;"","1A","")</f>
        <v/>
      </c>
      <c r="B305" s="78">
        <f>IF('1A'!B5&lt;&gt;"",'1A'!B5,"")</f>
        <v/>
      </c>
      <c r="C305" s="78">
        <f>IF('1A'!B5&lt;&gt;"",'1A'!C5,"")</f>
        <v/>
      </c>
      <c r="D305" s="78">
        <f>IF('1A'!B5&lt;&gt;"",'1A'!D5,"")</f>
        <v/>
      </c>
      <c r="E305" s="78">
        <f>IF('1A'!B5&lt;&gt;"",'1A'!E5,"")</f>
        <v/>
      </c>
      <c r="F305" s="78">
        <f>IF('1A'!B5&lt;&gt;"",'1A'!F5,"")</f>
        <v/>
      </c>
      <c r="G305" s="78">
        <f>IF('1A'!B5&lt;&gt;"",'1A'!G5,"")</f>
        <v/>
      </c>
      <c r="H305" s="97">
        <f>IF('1A'!B5&lt;&gt;"",'1A'!H5,"")</f>
        <v/>
      </c>
      <c r="I305" s="97">
        <f>IF('1A'!B5&lt;&gt;"",'1A'!I5,"")</f>
        <v/>
      </c>
      <c r="J305" s="78">
        <f>IF('1A'!B5&lt;&gt;"",'1A'!J5,"")</f>
        <v/>
      </c>
    </row>
    <row r="306" ht="15.75" customHeight="1" s="52">
      <c r="A306" s="92">
        <f>IF('1A'!B6&lt;&gt;"","1A","")</f>
        <v/>
      </c>
      <c r="B306" s="82">
        <f>IF('1A'!B6&lt;&gt;"",'1A'!B6,"")</f>
        <v/>
      </c>
      <c r="C306" s="82">
        <f>IF('1A'!B6&lt;&gt;"",'1A'!C6,"")</f>
        <v/>
      </c>
      <c r="D306" s="82">
        <f>IF('1A'!B6&lt;&gt;"",'1A'!D6,"")</f>
        <v/>
      </c>
      <c r="E306" s="82">
        <f>IF('1A'!B6&lt;&gt;"",'1A'!E6,"")</f>
        <v/>
      </c>
      <c r="F306" s="82">
        <f>IF('1A'!B6&lt;&gt;"",'1A'!F6,"")</f>
        <v/>
      </c>
      <c r="G306" s="82">
        <f>IF('1A'!B6&lt;&gt;"",'1A'!G6,"")</f>
        <v/>
      </c>
      <c r="H306" s="92">
        <f>IF('1A'!B6&lt;&gt;"",'1A'!H6,"")</f>
        <v/>
      </c>
      <c r="I306" s="92">
        <f>IF('1A'!B6&lt;&gt;"",'1A'!I6,"")</f>
        <v/>
      </c>
      <c r="J306" s="82">
        <f>IF('1A'!B6&lt;&gt;"",'1A'!J6,"")</f>
        <v/>
      </c>
    </row>
    <row r="307" ht="15.75" customHeight="1" s="52">
      <c r="A307" s="97">
        <f>IF('1A'!B7&lt;&gt;"","1A","")</f>
        <v/>
      </c>
      <c r="B307" s="78">
        <f>IF('1A'!B7&lt;&gt;"",'1A'!B7,"")</f>
        <v/>
      </c>
      <c r="C307" s="78">
        <f>IF('1A'!B7&lt;&gt;"",'1A'!C7,"")</f>
        <v/>
      </c>
      <c r="D307" s="78">
        <f>IF('1A'!B7&lt;&gt;"",'1A'!D7,"")</f>
        <v/>
      </c>
      <c r="E307" s="78">
        <f>IF('1A'!B7&lt;&gt;"",'1A'!E7,"")</f>
        <v/>
      </c>
      <c r="F307" s="78">
        <f>IF('1A'!B7&lt;&gt;"",'1A'!F7,"")</f>
        <v/>
      </c>
      <c r="G307" s="78">
        <f>IF('1A'!B7&lt;&gt;"",'1A'!G7,"")</f>
        <v/>
      </c>
      <c r="H307" s="97">
        <f>IF('1A'!B7&lt;&gt;"",'1A'!H7,"")</f>
        <v/>
      </c>
      <c r="I307" s="97">
        <f>IF('1A'!B7&lt;&gt;"",'1A'!I7,"")</f>
        <v/>
      </c>
      <c r="J307" s="78">
        <f>IF('1A'!B7&lt;&gt;"",'1A'!J7,"")</f>
        <v/>
      </c>
    </row>
    <row r="308" ht="15.75" customHeight="1" s="52">
      <c r="A308" s="92">
        <f>IF('1A'!B8&lt;&gt;"","1A","")</f>
        <v/>
      </c>
      <c r="B308" s="82">
        <f>IF('1A'!B8&lt;&gt;"",'1A'!B8,"")</f>
        <v/>
      </c>
      <c r="C308" s="82">
        <f>IF('1A'!B8&lt;&gt;"",'1A'!C8,"")</f>
        <v/>
      </c>
      <c r="D308" s="82">
        <f>IF('1A'!B8&lt;&gt;"",'1A'!D8,"")</f>
        <v/>
      </c>
      <c r="E308" s="82">
        <f>IF('1A'!B8&lt;&gt;"",'1A'!E8,"")</f>
        <v/>
      </c>
      <c r="F308" s="82">
        <f>IF('1A'!B8&lt;&gt;"",'1A'!F8,"")</f>
        <v/>
      </c>
      <c r="G308" s="82">
        <f>IF('1A'!B8&lt;&gt;"",'1A'!G8,"")</f>
        <v/>
      </c>
      <c r="H308" s="92">
        <f>IF('1A'!B8&lt;&gt;"",'1A'!H8,"")</f>
        <v/>
      </c>
      <c r="I308" s="92">
        <f>IF('1A'!B8&lt;&gt;"",'1A'!I8,"")</f>
        <v/>
      </c>
      <c r="J308" s="82">
        <f>IF('1A'!B8&lt;&gt;"",'1A'!J8,"")</f>
        <v/>
      </c>
    </row>
    <row r="309" ht="15.75" customHeight="1" s="52">
      <c r="A309" s="97">
        <f>IF('1A'!B9&lt;&gt;"","1A","")</f>
        <v/>
      </c>
      <c r="B309" s="78">
        <f>IF('1A'!B9&lt;&gt;"",'1A'!B9,"")</f>
        <v/>
      </c>
      <c r="C309" s="78">
        <f>IF('1A'!B9&lt;&gt;"",'1A'!C9,"")</f>
        <v/>
      </c>
      <c r="D309" s="78">
        <f>IF('1A'!B9&lt;&gt;"",'1A'!D9,"")</f>
        <v/>
      </c>
      <c r="E309" s="78">
        <f>IF('1A'!B9&lt;&gt;"",'1A'!E9,"")</f>
        <v/>
      </c>
      <c r="F309" s="78">
        <f>IF('1A'!B9&lt;&gt;"",'1A'!F9,"")</f>
        <v/>
      </c>
      <c r="G309" s="78">
        <f>IF('1A'!B9&lt;&gt;"",'1A'!G9,"")</f>
        <v/>
      </c>
      <c r="H309" s="97">
        <f>IF('1A'!B9&lt;&gt;"",'1A'!H9,"")</f>
        <v/>
      </c>
      <c r="I309" s="97">
        <f>IF('1A'!B9&lt;&gt;"",'1A'!I9,"")</f>
        <v/>
      </c>
      <c r="J309" s="78">
        <f>IF('1A'!B9&lt;&gt;"",'1A'!J9,"")</f>
        <v/>
      </c>
    </row>
    <row r="310" ht="15.75" customHeight="1" s="52">
      <c r="A310" s="92">
        <f>IF('1A'!B10&lt;&gt;"","1A","")</f>
        <v/>
      </c>
      <c r="B310" s="82">
        <f>IF('1A'!B10&lt;&gt;"",'1A'!B10,"")</f>
        <v/>
      </c>
      <c r="C310" s="82">
        <f>IF('1A'!B10&lt;&gt;"",'1A'!C10,"")</f>
        <v/>
      </c>
      <c r="D310" s="82">
        <f>IF('1A'!B10&lt;&gt;"",'1A'!D10,"")</f>
        <v/>
      </c>
      <c r="E310" s="82">
        <f>IF('1A'!B10&lt;&gt;"",'1A'!E10,"")</f>
        <v/>
      </c>
      <c r="F310" s="82">
        <f>IF('1A'!B10&lt;&gt;"",'1A'!F10,"")</f>
        <v/>
      </c>
      <c r="G310" s="82">
        <f>IF('1A'!B10&lt;&gt;"",'1A'!G10,"")</f>
        <v/>
      </c>
      <c r="H310" s="92">
        <f>IF('1A'!B10&lt;&gt;"",'1A'!H10,"")</f>
        <v/>
      </c>
      <c r="I310" s="92">
        <f>IF('1A'!B10&lt;&gt;"",'1A'!I10,"")</f>
        <v/>
      </c>
      <c r="J310" s="82">
        <f>IF('1A'!B10&lt;&gt;"",'1A'!J10,"")</f>
        <v/>
      </c>
    </row>
    <row r="311" ht="15.75" customHeight="1" s="52">
      <c r="A311" s="97">
        <f>IF('1A'!B11&lt;&gt;"","1A","")</f>
        <v/>
      </c>
      <c r="B311" s="78">
        <f>IF('1A'!B11&lt;&gt;"",'1A'!B11,"")</f>
        <v/>
      </c>
      <c r="C311" s="78">
        <f>IF('1A'!B11&lt;&gt;"",'1A'!C11,"")</f>
        <v/>
      </c>
      <c r="D311" s="78">
        <f>IF('1A'!B11&lt;&gt;"",'1A'!D11,"")</f>
        <v/>
      </c>
      <c r="E311" s="78">
        <f>IF('1A'!B11&lt;&gt;"",'1A'!E11,"")</f>
        <v/>
      </c>
      <c r="F311" s="78">
        <f>IF('1A'!B11&lt;&gt;"",'1A'!F11,"")</f>
        <v/>
      </c>
      <c r="G311" s="78">
        <f>IF('1A'!B11&lt;&gt;"",'1A'!G11,"")</f>
        <v/>
      </c>
      <c r="H311" s="97">
        <f>IF('1A'!B11&lt;&gt;"",'1A'!H11,"")</f>
        <v/>
      </c>
      <c r="I311" s="97">
        <f>IF('1A'!B11&lt;&gt;"",'1A'!I11,"")</f>
        <v/>
      </c>
      <c r="J311" s="78">
        <f>IF('1A'!B11&lt;&gt;"",'1A'!J11,"")</f>
        <v/>
      </c>
    </row>
    <row r="312" ht="15.75" customHeight="1" s="52">
      <c r="A312" s="92">
        <f>IF('1A'!B12&lt;&gt;"","1A","")</f>
        <v/>
      </c>
      <c r="B312" s="82">
        <f>IF('1A'!B12&lt;&gt;"",'1A'!B12,"")</f>
        <v/>
      </c>
      <c r="C312" s="82">
        <f>IF('1A'!B12&lt;&gt;"",'1A'!C12,"")</f>
        <v/>
      </c>
      <c r="D312" s="82">
        <f>IF('1A'!B12&lt;&gt;"",'1A'!D12,"")</f>
        <v/>
      </c>
      <c r="E312" s="82">
        <f>IF('1A'!B12&lt;&gt;"",'1A'!E12,"")</f>
        <v/>
      </c>
      <c r="F312" s="82">
        <f>IF('1A'!B12&lt;&gt;"",'1A'!F12,"")</f>
        <v/>
      </c>
      <c r="G312" s="82">
        <f>IF('1A'!B12&lt;&gt;"",'1A'!G12,"")</f>
        <v/>
      </c>
      <c r="H312" s="92">
        <f>IF('1A'!B12&lt;&gt;"",'1A'!H12,"")</f>
        <v/>
      </c>
      <c r="I312" s="92">
        <f>IF('1A'!B12&lt;&gt;"",'1A'!I12,"")</f>
        <v/>
      </c>
      <c r="J312" s="82">
        <f>IF('1A'!B12&lt;&gt;"",'1A'!J12,"")</f>
        <v/>
      </c>
    </row>
    <row r="313" ht="15.75" customHeight="1" s="52">
      <c r="A313" s="97">
        <f>IF('1A'!B13&lt;&gt;"","1A","")</f>
        <v/>
      </c>
      <c r="B313" s="78">
        <f>IF('1A'!B13&lt;&gt;"",'1A'!B13,"")</f>
        <v/>
      </c>
      <c r="C313" s="78">
        <f>IF('1A'!B13&lt;&gt;"",'1A'!C13,"")</f>
        <v/>
      </c>
      <c r="D313" s="78">
        <f>IF('1A'!B13&lt;&gt;"",'1A'!D13,"")</f>
        <v/>
      </c>
      <c r="E313" s="78">
        <f>IF('1A'!B13&lt;&gt;"",'1A'!E13,"")</f>
        <v/>
      </c>
      <c r="F313" s="78">
        <f>IF('1A'!B13&lt;&gt;"",'1A'!F13,"")</f>
        <v/>
      </c>
      <c r="G313" s="78">
        <f>IF('1A'!B13&lt;&gt;"",'1A'!G13,"")</f>
        <v/>
      </c>
      <c r="H313" s="97">
        <f>IF('1A'!B13&lt;&gt;"",'1A'!H13,"")</f>
        <v/>
      </c>
      <c r="I313" s="97">
        <f>IF('1A'!B13&lt;&gt;"",'1A'!I13,"")</f>
        <v/>
      </c>
      <c r="J313" s="78">
        <f>IF('1A'!B13&lt;&gt;"",'1A'!J13,"")</f>
        <v/>
      </c>
    </row>
    <row r="314" ht="15.75" customHeight="1" s="52">
      <c r="A314" s="92">
        <f>IF('1A'!B14&lt;&gt;"","1A","")</f>
        <v/>
      </c>
      <c r="B314" s="82">
        <f>IF('1A'!B14&lt;&gt;"",'1A'!B14,"")</f>
        <v/>
      </c>
      <c r="C314" s="82">
        <f>IF('1A'!B14&lt;&gt;"",'1A'!C14,"")</f>
        <v/>
      </c>
      <c r="D314" s="82">
        <f>IF('1A'!B14&lt;&gt;"",'1A'!D14,"")</f>
        <v/>
      </c>
      <c r="E314" s="82">
        <f>IF('1A'!B14&lt;&gt;"",'1A'!E14,"")</f>
        <v/>
      </c>
      <c r="F314" s="82">
        <f>IF('1A'!B14&lt;&gt;"",'1A'!F14,"")</f>
        <v/>
      </c>
      <c r="G314" s="82">
        <f>IF('1A'!B14&lt;&gt;"",'1A'!G14,"")</f>
        <v/>
      </c>
      <c r="H314" s="92">
        <f>IF('1A'!B14&lt;&gt;"",'1A'!H14,"")</f>
        <v/>
      </c>
      <c r="I314" s="92">
        <f>IF('1A'!B14&lt;&gt;"",'1A'!I14,"")</f>
        <v/>
      </c>
      <c r="J314" s="82">
        <f>IF('1A'!B14&lt;&gt;"",'1A'!J14,"")</f>
        <v/>
      </c>
    </row>
    <row r="315" ht="15.75" customHeight="1" s="52">
      <c r="A315" s="97">
        <f>IF('1A'!B15&lt;&gt;"","1A","")</f>
        <v/>
      </c>
      <c r="B315" s="78">
        <f>IF('1A'!B15&lt;&gt;"",'1A'!B15,"")</f>
        <v/>
      </c>
      <c r="C315" s="78">
        <f>IF('1A'!B15&lt;&gt;"",'1A'!C15,"")</f>
        <v/>
      </c>
      <c r="D315" s="78">
        <f>IF('1A'!B15&lt;&gt;"",'1A'!D15,"")</f>
        <v/>
      </c>
      <c r="E315" s="78">
        <f>IF('1A'!B15&lt;&gt;"",'1A'!E15,"")</f>
        <v/>
      </c>
      <c r="F315" s="78">
        <f>IF('1A'!B15&lt;&gt;"",'1A'!F15,"")</f>
        <v/>
      </c>
      <c r="G315" s="78">
        <f>IF('1A'!B15&lt;&gt;"",'1A'!G15,"")</f>
        <v/>
      </c>
      <c r="H315" s="97">
        <f>IF('1A'!B15&lt;&gt;"",'1A'!H15,"")</f>
        <v/>
      </c>
      <c r="I315" s="97">
        <f>IF('1A'!B15&lt;&gt;"",'1A'!I15,"")</f>
        <v/>
      </c>
      <c r="J315" s="78">
        <f>IF('1A'!B15&lt;&gt;"",'1A'!J15,"")</f>
        <v/>
      </c>
    </row>
    <row r="316" ht="15.75" customHeight="1" s="52">
      <c r="A316" s="92">
        <f>IF('1A'!B16&lt;&gt;"","1A","")</f>
        <v/>
      </c>
      <c r="B316" s="82">
        <f>IF('1A'!B16&lt;&gt;"",'1A'!B16,"")</f>
        <v/>
      </c>
      <c r="C316" s="82">
        <f>IF('1A'!B16&lt;&gt;"",'1A'!C16,"")</f>
        <v/>
      </c>
      <c r="D316" s="82">
        <f>IF('1A'!B16&lt;&gt;"",'1A'!D16,"")</f>
        <v/>
      </c>
      <c r="E316" s="82">
        <f>IF('1A'!B16&lt;&gt;"",'1A'!E16,"")</f>
        <v/>
      </c>
      <c r="F316" s="82">
        <f>IF('1A'!B16&lt;&gt;"",'1A'!F16,"")</f>
        <v/>
      </c>
      <c r="G316" s="82">
        <f>IF('1A'!B16&lt;&gt;"",'1A'!G16,"")</f>
        <v/>
      </c>
      <c r="H316" s="92">
        <f>IF('1A'!B16&lt;&gt;"",'1A'!H16,"")</f>
        <v/>
      </c>
      <c r="I316" s="92">
        <f>IF('1A'!B16&lt;&gt;"",'1A'!I16,"")</f>
        <v/>
      </c>
      <c r="J316" s="82">
        <f>IF('1A'!B16&lt;&gt;"",'1A'!J16,"")</f>
        <v/>
      </c>
    </row>
    <row r="317" ht="15.75" customHeight="1" s="52">
      <c r="A317" s="97">
        <f>IF('1A'!B17&lt;&gt;"","1A","")</f>
        <v/>
      </c>
      <c r="B317" s="78">
        <f>IF('1A'!B17&lt;&gt;"",'1A'!B17,"")</f>
        <v/>
      </c>
      <c r="C317" s="78">
        <f>IF('1A'!B17&lt;&gt;"",'1A'!C17,"")</f>
        <v/>
      </c>
      <c r="D317" s="78">
        <f>IF('1A'!B17&lt;&gt;"",'1A'!D17,"")</f>
        <v/>
      </c>
      <c r="E317" s="78">
        <f>IF('1A'!B17&lt;&gt;"",'1A'!E17,"")</f>
        <v/>
      </c>
      <c r="F317" s="78">
        <f>IF('1A'!B17&lt;&gt;"",'1A'!F17,"")</f>
        <v/>
      </c>
      <c r="G317" s="78">
        <f>IF('1A'!B17&lt;&gt;"",'1A'!G17,"")</f>
        <v/>
      </c>
      <c r="H317" s="97">
        <f>IF('1A'!B17&lt;&gt;"",'1A'!H17,"")</f>
        <v/>
      </c>
      <c r="I317" s="97">
        <f>IF('1A'!B17&lt;&gt;"",'1A'!I17,"")</f>
        <v/>
      </c>
      <c r="J317" s="78">
        <f>IF('1A'!B17&lt;&gt;"",'1A'!J17,"")</f>
        <v/>
      </c>
    </row>
    <row r="318" ht="15.75" customHeight="1" s="52">
      <c r="A318" s="92">
        <f>IF('1A'!B18&lt;&gt;"","1A","")</f>
        <v/>
      </c>
      <c r="B318" s="82">
        <f>IF('1A'!B18&lt;&gt;"",'1A'!B18,"")</f>
        <v/>
      </c>
      <c r="C318" s="82">
        <f>IF('1A'!B18&lt;&gt;"",'1A'!C18,"")</f>
        <v/>
      </c>
      <c r="D318" s="82">
        <f>IF('1A'!B18&lt;&gt;"",'1A'!D18,"")</f>
        <v/>
      </c>
      <c r="E318" s="82">
        <f>IF('1A'!B18&lt;&gt;"",'1A'!E18,"")</f>
        <v/>
      </c>
      <c r="F318" s="82">
        <f>IF('1A'!B18&lt;&gt;"",'1A'!F18,"")</f>
        <v/>
      </c>
      <c r="G318" s="82">
        <f>IF('1A'!B18&lt;&gt;"",'1A'!G18,"")</f>
        <v/>
      </c>
      <c r="H318" s="92">
        <f>IF('1A'!B18&lt;&gt;"",'1A'!H18,"")</f>
        <v/>
      </c>
      <c r="I318" s="92">
        <f>IF('1A'!B18&lt;&gt;"",'1A'!I18,"")</f>
        <v/>
      </c>
      <c r="J318" s="82">
        <f>IF('1A'!B18&lt;&gt;"",'1A'!J18,"")</f>
        <v/>
      </c>
    </row>
    <row r="319" ht="15.75" customHeight="1" s="52">
      <c r="A319" s="97">
        <f>IF('1A'!B19&lt;&gt;"","1A","")</f>
        <v/>
      </c>
      <c r="B319" s="78">
        <f>IF('1A'!B19&lt;&gt;"",'1A'!B19,"")</f>
        <v/>
      </c>
      <c r="C319" s="78">
        <f>IF('1A'!B19&lt;&gt;"",'1A'!C19,"")</f>
        <v/>
      </c>
      <c r="D319" s="78">
        <f>IF('1A'!B19&lt;&gt;"",'1A'!D19,"")</f>
        <v/>
      </c>
      <c r="E319" s="78">
        <f>IF('1A'!B19&lt;&gt;"",'1A'!E19,"")</f>
        <v/>
      </c>
      <c r="F319" s="78">
        <f>IF('1A'!B19&lt;&gt;"",'1A'!F19,"")</f>
        <v/>
      </c>
      <c r="G319" s="78">
        <f>IF('1A'!B19&lt;&gt;"",'1A'!G19,"")</f>
        <v/>
      </c>
      <c r="H319" s="97">
        <f>IF('1A'!B19&lt;&gt;"",'1A'!H19,"")</f>
        <v/>
      </c>
      <c r="I319" s="97">
        <f>IF('1A'!B19&lt;&gt;"",'1A'!I19,"")</f>
        <v/>
      </c>
      <c r="J319" s="78">
        <f>IF('1A'!B19&lt;&gt;"",'1A'!J19,"")</f>
        <v/>
      </c>
    </row>
    <row r="320" ht="15.75" customHeight="1" s="52">
      <c r="A320" s="92">
        <f>IF('1A'!B20&lt;&gt;"","1A","")</f>
        <v/>
      </c>
      <c r="B320" s="82">
        <f>IF('1A'!B20&lt;&gt;"",'1A'!B20,"")</f>
        <v/>
      </c>
      <c r="C320" s="82">
        <f>IF('1A'!B20&lt;&gt;"",'1A'!C20,"")</f>
        <v/>
      </c>
      <c r="D320" s="82">
        <f>IF('1A'!B20&lt;&gt;"",'1A'!D20,"")</f>
        <v/>
      </c>
      <c r="E320" s="82">
        <f>IF('1A'!B20&lt;&gt;"",'1A'!E20,"")</f>
        <v/>
      </c>
      <c r="F320" s="82">
        <f>IF('1A'!B20&lt;&gt;"",'1A'!F20,"")</f>
        <v/>
      </c>
      <c r="G320" s="82">
        <f>IF('1A'!B20&lt;&gt;"",'1A'!G20,"")</f>
        <v/>
      </c>
      <c r="H320" s="92">
        <f>IF('1A'!B20&lt;&gt;"",'1A'!H20,"")</f>
        <v/>
      </c>
      <c r="I320" s="92">
        <f>IF('1A'!B20&lt;&gt;"",'1A'!I20,"")</f>
        <v/>
      </c>
      <c r="J320" s="82">
        <f>IF('1A'!B20&lt;&gt;"",'1A'!J20,"")</f>
        <v/>
      </c>
    </row>
    <row r="321" ht="15.75" customHeight="1" s="52">
      <c r="A321" s="97">
        <f>IF('1A'!B21&lt;&gt;"","1A","")</f>
        <v/>
      </c>
      <c r="B321" s="78">
        <f>IF('1A'!B21&lt;&gt;"",'1A'!B21,"")</f>
        <v/>
      </c>
      <c r="C321" s="78">
        <f>IF('1A'!B21&lt;&gt;"",'1A'!C21,"")</f>
        <v/>
      </c>
      <c r="D321" s="78">
        <f>IF('1A'!B21&lt;&gt;"",'1A'!D21,"")</f>
        <v/>
      </c>
      <c r="E321" s="78">
        <f>IF('1A'!B21&lt;&gt;"",'1A'!E21,"")</f>
        <v/>
      </c>
      <c r="F321" s="78">
        <f>IF('1A'!B21&lt;&gt;"",'1A'!F21,"")</f>
        <v/>
      </c>
      <c r="G321" s="78">
        <f>IF('1A'!B21&lt;&gt;"",'1A'!G21,"")</f>
        <v/>
      </c>
      <c r="H321" s="97">
        <f>IF('1A'!B21&lt;&gt;"",'1A'!H21,"")</f>
        <v/>
      </c>
      <c r="I321" s="97">
        <f>IF('1A'!B21&lt;&gt;"",'1A'!I21,"")</f>
        <v/>
      </c>
      <c r="J321" s="78">
        <f>IF('1A'!B21&lt;&gt;"",'1A'!J21,"")</f>
        <v/>
      </c>
    </row>
    <row r="322" ht="15.75" customHeight="1" s="52">
      <c r="A322" s="92">
        <f>IF('1A'!B22&lt;&gt;"","1A","")</f>
        <v/>
      </c>
      <c r="B322" s="82">
        <f>IF('1A'!B22&lt;&gt;"",'1A'!B22,"")</f>
        <v/>
      </c>
      <c r="C322" s="82">
        <f>IF('1A'!B22&lt;&gt;"",'1A'!C22,"")</f>
        <v/>
      </c>
      <c r="D322" s="82">
        <f>IF('1A'!B22&lt;&gt;"",'1A'!D22,"")</f>
        <v/>
      </c>
      <c r="E322" s="82">
        <f>IF('1A'!B22&lt;&gt;"",'1A'!E22,"")</f>
        <v/>
      </c>
      <c r="F322" s="82">
        <f>IF('1A'!B22&lt;&gt;"",'1A'!F22,"")</f>
        <v/>
      </c>
      <c r="G322" s="82">
        <f>IF('1A'!B22&lt;&gt;"",'1A'!G22,"")</f>
        <v/>
      </c>
      <c r="H322" s="92">
        <f>IF('1A'!B22&lt;&gt;"",'1A'!H22,"")</f>
        <v/>
      </c>
      <c r="I322" s="92">
        <f>IF('1A'!B22&lt;&gt;"",'1A'!I22,"")</f>
        <v/>
      </c>
      <c r="J322" s="82">
        <f>IF('1A'!B22&lt;&gt;"",'1A'!J22,"")</f>
        <v/>
      </c>
    </row>
    <row r="323" ht="15.75" customHeight="1" s="52">
      <c r="A323" s="97">
        <f>IF('1A'!B23&lt;&gt;"","1A","")</f>
        <v/>
      </c>
      <c r="B323" s="78">
        <f>IF('1A'!B23&lt;&gt;"",'1A'!B23,"")</f>
        <v/>
      </c>
      <c r="C323" s="78">
        <f>IF('1A'!B23&lt;&gt;"",'1A'!C23,"")</f>
        <v/>
      </c>
      <c r="D323" s="78">
        <f>IF('1A'!B23&lt;&gt;"",'1A'!D23,"")</f>
        <v/>
      </c>
      <c r="E323" s="78">
        <f>IF('1A'!B23&lt;&gt;"",'1A'!E23,"")</f>
        <v/>
      </c>
      <c r="F323" s="78">
        <f>IF('1A'!B23&lt;&gt;"",'1A'!F23,"")</f>
        <v/>
      </c>
      <c r="G323" s="78">
        <f>IF('1A'!B23&lt;&gt;"",'1A'!G23,"")</f>
        <v/>
      </c>
      <c r="H323" s="97">
        <f>IF('1A'!B23&lt;&gt;"",'1A'!H23,"")</f>
        <v/>
      </c>
      <c r="I323" s="97">
        <f>IF('1A'!B23&lt;&gt;"",'1A'!I23,"")</f>
        <v/>
      </c>
      <c r="J323" s="78">
        <f>IF('1A'!B23&lt;&gt;"",'1A'!J23,"")</f>
        <v/>
      </c>
    </row>
    <row r="324" ht="15.75" customHeight="1" s="52">
      <c r="A324" s="92">
        <f>IF('1A'!B24&lt;&gt;"","1A","")</f>
        <v/>
      </c>
      <c r="B324" s="82">
        <f>IF('1A'!B24&lt;&gt;"",'1A'!B24,"")</f>
        <v/>
      </c>
      <c r="C324" s="82">
        <f>IF('1A'!B24&lt;&gt;"",'1A'!C24,"")</f>
        <v/>
      </c>
      <c r="D324" s="82">
        <f>IF('1A'!B24&lt;&gt;"",'1A'!D24,"")</f>
        <v/>
      </c>
      <c r="E324" s="82">
        <f>IF('1A'!B24&lt;&gt;"",'1A'!E24,"")</f>
        <v/>
      </c>
      <c r="F324" s="82">
        <f>IF('1A'!B24&lt;&gt;"",'1A'!F24,"")</f>
        <v/>
      </c>
      <c r="G324" s="82">
        <f>IF('1A'!B24&lt;&gt;"",'1A'!G24,"")</f>
        <v/>
      </c>
      <c r="H324" s="92">
        <f>IF('1A'!B24&lt;&gt;"",'1A'!H24,"")</f>
        <v/>
      </c>
      <c r="I324" s="92">
        <f>IF('1A'!B24&lt;&gt;"",'1A'!I24,"")</f>
        <v/>
      </c>
      <c r="J324" s="82">
        <f>IF('1A'!B24&lt;&gt;"",'1A'!J24,"")</f>
        <v/>
      </c>
    </row>
    <row r="325" ht="15.75" customHeight="1" s="52">
      <c r="A325" s="97">
        <f>IF('1A'!B25&lt;&gt;"","1A","")</f>
        <v/>
      </c>
      <c r="B325" s="78">
        <f>IF('1A'!B25&lt;&gt;"",'1A'!B25,"")</f>
        <v/>
      </c>
      <c r="C325" s="78">
        <f>IF('1A'!B25&lt;&gt;"",'1A'!C25,"")</f>
        <v/>
      </c>
      <c r="D325" s="78">
        <f>IF('1A'!B25&lt;&gt;"",'1A'!D25,"")</f>
        <v/>
      </c>
      <c r="E325" s="78">
        <f>IF('1A'!B25&lt;&gt;"",'1A'!E25,"")</f>
        <v/>
      </c>
      <c r="F325" s="78">
        <f>IF('1A'!B25&lt;&gt;"",'1A'!F25,"")</f>
        <v/>
      </c>
      <c r="G325" s="78">
        <f>IF('1A'!B25&lt;&gt;"",'1A'!G25,"")</f>
        <v/>
      </c>
      <c r="H325" s="97">
        <f>IF('1A'!B25&lt;&gt;"",'1A'!H25,"")</f>
        <v/>
      </c>
      <c r="I325" s="97">
        <f>IF('1A'!B25&lt;&gt;"",'1A'!I25,"")</f>
        <v/>
      </c>
      <c r="J325" s="78">
        <f>IF('1A'!B25&lt;&gt;"",'1A'!J25,"")</f>
        <v/>
      </c>
    </row>
    <row r="326" ht="15.75" customHeight="1" s="52">
      <c r="A326" s="92">
        <f>IF('1A'!B26&lt;&gt;"","1A","")</f>
        <v/>
      </c>
      <c r="B326" s="82">
        <f>IF('1A'!B26&lt;&gt;"",'1A'!B26,"")</f>
        <v/>
      </c>
      <c r="C326" s="82">
        <f>IF('1A'!B26&lt;&gt;"",'1A'!C26,"")</f>
        <v/>
      </c>
      <c r="D326" s="82">
        <f>IF('1A'!B26&lt;&gt;"",'1A'!D26,"")</f>
        <v/>
      </c>
      <c r="E326" s="82">
        <f>IF('1A'!B26&lt;&gt;"",'1A'!E26,"")</f>
        <v/>
      </c>
      <c r="F326" s="82">
        <f>IF('1A'!B26&lt;&gt;"",'1A'!F26,"")</f>
        <v/>
      </c>
      <c r="G326" s="82">
        <f>IF('1A'!B26&lt;&gt;"",'1A'!G26,"")</f>
        <v/>
      </c>
      <c r="H326" s="92">
        <f>IF('1A'!B26&lt;&gt;"",'1A'!H26,"")</f>
        <v/>
      </c>
      <c r="I326" s="92">
        <f>IF('1A'!B26&lt;&gt;"",'1A'!I26,"")</f>
        <v/>
      </c>
      <c r="J326" s="82">
        <f>IF('1A'!B26&lt;&gt;"",'1A'!J26,"")</f>
        <v/>
      </c>
    </row>
    <row r="327" ht="15.75" customHeight="1" s="52">
      <c r="A327" s="97">
        <f>IF('1A'!B27&lt;&gt;"","1A","")</f>
        <v/>
      </c>
      <c r="B327" s="78">
        <f>IF('1A'!B27&lt;&gt;"",'1A'!B27,"")</f>
        <v/>
      </c>
      <c r="C327" s="78">
        <f>IF('1A'!B27&lt;&gt;"",'1A'!C27,"")</f>
        <v/>
      </c>
      <c r="D327" s="78">
        <f>IF('1A'!B27&lt;&gt;"",'1A'!D27,"")</f>
        <v/>
      </c>
      <c r="E327" s="78">
        <f>IF('1A'!B27&lt;&gt;"",'1A'!E27,"")</f>
        <v/>
      </c>
      <c r="F327" s="78">
        <f>IF('1A'!B27&lt;&gt;"",'1A'!F27,"")</f>
        <v/>
      </c>
      <c r="G327" s="78">
        <f>IF('1A'!B27&lt;&gt;"",'1A'!G27,"")</f>
        <v/>
      </c>
      <c r="H327" s="97">
        <f>IF('1A'!B27&lt;&gt;"",'1A'!H27,"")</f>
        <v/>
      </c>
      <c r="I327" s="97">
        <f>IF('1A'!B27&lt;&gt;"",'1A'!I27,"")</f>
        <v/>
      </c>
      <c r="J327" s="78">
        <f>IF('1A'!B27&lt;&gt;"",'1A'!J27,"")</f>
        <v/>
      </c>
    </row>
    <row r="328" ht="15.75" customHeight="1" s="52">
      <c r="A328" s="92">
        <f>IF('1A'!B28&lt;&gt;"","1A","")</f>
        <v/>
      </c>
      <c r="B328" s="82">
        <f>IF('1A'!B28&lt;&gt;"",'1A'!B28,"")</f>
        <v/>
      </c>
      <c r="C328" s="82">
        <f>IF('1A'!B28&lt;&gt;"",'1A'!C28,"")</f>
        <v/>
      </c>
      <c r="D328" s="82">
        <f>IF('1A'!B28&lt;&gt;"",'1A'!D28,"")</f>
        <v/>
      </c>
      <c r="E328" s="82">
        <f>IF('1A'!B28&lt;&gt;"",'1A'!E28,"")</f>
        <v/>
      </c>
      <c r="F328" s="82">
        <f>IF('1A'!B28&lt;&gt;"",'1A'!F28,"")</f>
        <v/>
      </c>
      <c r="G328" s="82">
        <f>IF('1A'!B28&lt;&gt;"",'1A'!G28,"")</f>
        <v/>
      </c>
      <c r="H328" s="92">
        <f>IF('1A'!B28&lt;&gt;"",'1A'!H28,"")</f>
        <v/>
      </c>
      <c r="I328" s="92">
        <f>IF('1A'!B28&lt;&gt;"",'1A'!I28,"")</f>
        <v/>
      </c>
      <c r="J328" s="82">
        <f>IF('1A'!B28&lt;&gt;"",'1A'!J28,"")</f>
        <v/>
      </c>
    </row>
    <row r="329" ht="15.75" customHeight="1" s="52">
      <c r="A329" s="97">
        <f>IF('1A'!B29&lt;&gt;"","1A","")</f>
        <v/>
      </c>
      <c r="B329" s="78">
        <f>IF('1A'!B29&lt;&gt;"",'1A'!B29,"")</f>
        <v/>
      </c>
      <c r="C329" s="78">
        <f>IF('1A'!B29&lt;&gt;"",'1A'!C29,"")</f>
        <v/>
      </c>
      <c r="D329" s="78">
        <f>IF('1A'!B29&lt;&gt;"",'1A'!D29,"")</f>
        <v/>
      </c>
      <c r="E329" s="78">
        <f>IF('1A'!B29&lt;&gt;"",'1A'!E29,"")</f>
        <v/>
      </c>
      <c r="F329" s="78">
        <f>IF('1A'!B29&lt;&gt;"",'1A'!F29,"")</f>
        <v/>
      </c>
      <c r="G329" s="78">
        <f>IF('1A'!B29&lt;&gt;"",'1A'!G29,"")</f>
        <v/>
      </c>
      <c r="H329" s="97">
        <f>IF('1A'!B29&lt;&gt;"",'1A'!H29,"")</f>
        <v/>
      </c>
      <c r="I329" s="97">
        <f>IF('1A'!B29&lt;&gt;"",'1A'!I29,"")</f>
        <v/>
      </c>
      <c r="J329" s="78">
        <f>IF('1A'!B29&lt;&gt;"",'1A'!J29,"")</f>
        <v/>
      </c>
    </row>
    <row r="330" ht="15.75" customHeight="1" s="52">
      <c r="A330" s="92">
        <f>IF('1A'!B30&lt;&gt;"","1A","")</f>
        <v/>
      </c>
      <c r="B330" s="82">
        <f>IF('1A'!B30&lt;&gt;"",'1A'!B30,"")</f>
        <v/>
      </c>
      <c r="C330" s="82">
        <f>IF('1A'!B30&lt;&gt;"",'1A'!C30,"")</f>
        <v/>
      </c>
      <c r="D330" s="82">
        <f>IF('1A'!B30&lt;&gt;"",'1A'!D30,"")</f>
        <v/>
      </c>
      <c r="E330" s="82">
        <f>IF('1A'!B30&lt;&gt;"",'1A'!E30,"")</f>
        <v/>
      </c>
      <c r="F330" s="82">
        <f>IF('1A'!B30&lt;&gt;"",'1A'!F30,"")</f>
        <v/>
      </c>
      <c r="G330" s="82">
        <f>IF('1A'!B30&lt;&gt;"",'1A'!G30,"")</f>
        <v/>
      </c>
      <c r="H330" s="92">
        <f>IF('1A'!B30&lt;&gt;"",'1A'!H30,"")</f>
        <v/>
      </c>
      <c r="I330" s="92">
        <f>IF('1A'!B30&lt;&gt;"",'1A'!I30,"")</f>
        <v/>
      </c>
      <c r="J330" s="82">
        <f>IF('1A'!B30&lt;&gt;"",'1A'!J30,"")</f>
        <v/>
      </c>
    </row>
    <row r="331" ht="15.75" customHeight="1" s="52">
      <c r="A331" s="97">
        <f>IF('1A'!B31&lt;&gt;"","1A","")</f>
        <v/>
      </c>
      <c r="B331" s="78">
        <f>IF('1A'!B31&lt;&gt;"",'1A'!B31,"")</f>
        <v/>
      </c>
      <c r="C331" s="78">
        <f>IF('1A'!B31&lt;&gt;"",'1A'!C31,"")</f>
        <v/>
      </c>
      <c r="D331" s="78">
        <f>IF('1A'!B31&lt;&gt;"",'1A'!D31,"")</f>
        <v/>
      </c>
      <c r="E331" s="78">
        <f>IF('1A'!B31&lt;&gt;"",'1A'!E31,"")</f>
        <v/>
      </c>
      <c r="F331" s="78">
        <f>IF('1A'!B31&lt;&gt;"",'1A'!F31,"")</f>
        <v/>
      </c>
      <c r="G331" s="78">
        <f>IF('1A'!B31&lt;&gt;"",'1A'!G31,"")</f>
        <v/>
      </c>
      <c r="H331" s="97">
        <f>IF('1A'!B31&lt;&gt;"",'1A'!H31,"")</f>
        <v/>
      </c>
      <c r="I331" s="97">
        <f>IF('1A'!B31&lt;&gt;"",'1A'!I31,"")</f>
        <v/>
      </c>
      <c r="J331" s="78">
        <f>IF('1A'!B31&lt;&gt;"",'1A'!J31,"")</f>
        <v/>
      </c>
    </row>
    <row r="332" ht="15.75" customHeight="1" s="52">
      <c r="A332" s="92">
        <f>IF('1A'!B32&lt;&gt;"","1A","")</f>
        <v/>
      </c>
      <c r="B332" s="82">
        <f>IF('1A'!B32&lt;&gt;"",'1A'!B32,"")</f>
        <v/>
      </c>
      <c r="C332" s="82">
        <f>IF('1A'!B32&lt;&gt;"",'1A'!C32,"")</f>
        <v/>
      </c>
      <c r="D332" s="82">
        <f>IF('1A'!B32&lt;&gt;"",'1A'!D32,"")</f>
        <v/>
      </c>
      <c r="E332" s="82">
        <f>IF('1A'!B32&lt;&gt;"",'1A'!E32,"")</f>
        <v/>
      </c>
      <c r="F332" s="82">
        <f>IF('1A'!B32&lt;&gt;"",'1A'!F32,"")</f>
        <v/>
      </c>
      <c r="G332" s="82">
        <f>IF('1A'!B32&lt;&gt;"",'1A'!G32,"")</f>
        <v/>
      </c>
      <c r="H332" s="92">
        <f>IF('1A'!B32&lt;&gt;"",'1A'!H32,"")</f>
        <v/>
      </c>
      <c r="I332" s="92">
        <f>IF('1A'!B32&lt;&gt;"",'1A'!I32,"")</f>
        <v/>
      </c>
      <c r="J332" s="82">
        <f>IF('1A'!B32&lt;&gt;"",'1A'!J32,"")</f>
        <v/>
      </c>
    </row>
    <row r="333" ht="15.75" customHeight="1" s="52">
      <c r="A333" s="97">
        <f>IF('1A'!B33&lt;&gt;"","1A","")</f>
        <v/>
      </c>
      <c r="B333" s="78">
        <f>IF('1A'!B33&lt;&gt;"",'1A'!B33,"")</f>
        <v/>
      </c>
      <c r="C333" s="78">
        <f>IF('1A'!B33&lt;&gt;"",'1A'!C33,"")</f>
        <v/>
      </c>
      <c r="D333" s="78">
        <f>IF('1A'!B33&lt;&gt;"",'1A'!D33,"")</f>
        <v/>
      </c>
      <c r="E333" s="78">
        <f>IF('1A'!B33&lt;&gt;"",'1A'!E33,"")</f>
        <v/>
      </c>
      <c r="F333" s="78">
        <f>IF('1A'!B33&lt;&gt;"",'1A'!F33,"")</f>
        <v/>
      </c>
      <c r="G333" s="78">
        <f>IF('1A'!B33&lt;&gt;"",'1A'!G33,"")</f>
        <v/>
      </c>
      <c r="H333" s="97">
        <f>IF('1A'!B33&lt;&gt;"",'1A'!H33,"")</f>
        <v/>
      </c>
      <c r="I333" s="97">
        <f>IF('1A'!B33&lt;&gt;"",'1A'!I33,"")</f>
        <v/>
      </c>
      <c r="J333" s="78">
        <f>IF('1A'!B33&lt;&gt;"",'1A'!J33,"")</f>
        <v/>
      </c>
    </row>
    <row r="334" ht="15.75" customHeight="1" s="52">
      <c r="A334" s="92">
        <f>IF('1A'!B34&lt;&gt;"","1A","")</f>
        <v/>
      </c>
      <c r="B334" s="82">
        <f>IF('1A'!B34&lt;&gt;"",'1A'!B34,"")</f>
        <v/>
      </c>
      <c r="C334" s="82">
        <f>IF('1A'!B34&lt;&gt;"",'1A'!C34,"")</f>
        <v/>
      </c>
      <c r="D334" s="82">
        <f>IF('1A'!B34&lt;&gt;"",'1A'!D34,"")</f>
        <v/>
      </c>
      <c r="E334" s="82">
        <f>IF('1A'!B34&lt;&gt;"",'1A'!E34,"")</f>
        <v/>
      </c>
      <c r="F334" s="82">
        <f>IF('1A'!B34&lt;&gt;"",'1A'!F34,"")</f>
        <v/>
      </c>
      <c r="G334" s="82">
        <f>IF('1A'!B34&lt;&gt;"",'1A'!G34,"")</f>
        <v/>
      </c>
      <c r="H334" s="92">
        <f>IF('1A'!B34&lt;&gt;"",'1A'!H34,"")</f>
        <v/>
      </c>
      <c r="I334" s="92">
        <f>IF('1A'!B34&lt;&gt;"",'1A'!I34,"")</f>
        <v/>
      </c>
      <c r="J334" s="82">
        <f>IF('1A'!B34&lt;&gt;"",'1A'!J34,"")</f>
        <v/>
      </c>
    </row>
    <row r="335" ht="15.75" customHeight="1" s="52">
      <c r="A335" s="97">
        <f>IF('1A'!B35&lt;&gt;"","1A","")</f>
        <v/>
      </c>
      <c r="B335" s="78">
        <f>IF('1A'!B35&lt;&gt;"",'1A'!B35,"")</f>
        <v/>
      </c>
      <c r="C335" s="78">
        <f>IF('1A'!B35&lt;&gt;"",'1A'!C35,"")</f>
        <v/>
      </c>
      <c r="D335" s="78">
        <f>IF('1A'!B35&lt;&gt;"",'1A'!D35,"")</f>
        <v/>
      </c>
      <c r="E335" s="78">
        <f>IF('1A'!B35&lt;&gt;"",'1A'!E35,"")</f>
        <v/>
      </c>
      <c r="F335" s="78">
        <f>IF('1A'!B35&lt;&gt;"",'1A'!F35,"")</f>
        <v/>
      </c>
      <c r="G335" s="78">
        <f>IF('1A'!B35&lt;&gt;"",'1A'!G35,"")</f>
        <v/>
      </c>
      <c r="H335" s="97">
        <f>IF('1A'!B35&lt;&gt;"",'1A'!H35,"")</f>
        <v/>
      </c>
      <c r="I335" s="97">
        <f>IF('1A'!B35&lt;&gt;"",'1A'!I35,"")</f>
        <v/>
      </c>
      <c r="J335" s="78">
        <f>IF('1A'!B35&lt;&gt;"",'1A'!J35,"")</f>
        <v/>
      </c>
    </row>
    <row r="336" ht="15.75" customHeight="1" s="52">
      <c r="A336" s="92">
        <f>IF('1A'!B36&lt;&gt;"","1A","")</f>
        <v/>
      </c>
      <c r="B336" s="82">
        <f>IF('1A'!B36&lt;&gt;"",'1A'!B36,"")</f>
        <v/>
      </c>
      <c r="C336" s="82">
        <f>IF('1A'!B36&lt;&gt;"",'1A'!C36,"")</f>
        <v/>
      </c>
      <c r="D336" s="82">
        <f>IF('1A'!B36&lt;&gt;"",'1A'!D36,"")</f>
        <v/>
      </c>
      <c r="E336" s="82">
        <f>IF('1A'!B36&lt;&gt;"",'1A'!E36,"")</f>
        <v/>
      </c>
      <c r="F336" s="82">
        <f>IF('1A'!B36&lt;&gt;"",'1A'!F36,"")</f>
        <v/>
      </c>
      <c r="G336" s="82">
        <f>IF('1A'!B36&lt;&gt;"",'1A'!G36,"")</f>
        <v/>
      </c>
      <c r="H336" s="92">
        <f>IF('1A'!B36&lt;&gt;"",'1A'!H36,"")</f>
        <v/>
      </c>
      <c r="I336" s="92">
        <f>IF('1A'!B36&lt;&gt;"",'1A'!I36,"")</f>
        <v/>
      </c>
      <c r="J336" s="82">
        <f>IF('1A'!B36&lt;&gt;"",'1A'!J36,"")</f>
        <v/>
      </c>
    </row>
    <row r="337" ht="15.75" customHeight="1" s="52">
      <c r="A337" s="97">
        <f>IF('1A'!B37&lt;&gt;"","1A","")</f>
        <v/>
      </c>
      <c r="B337" s="78">
        <f>IF('1A'!B37&lt;&gt;"",'1A'!B37,"")</f>
        <v/>
      </c>
      <c r="C337" s="78">
        <f>IF('1A'!B37&lt;&gt;"",'1A'!C37,"")</f>
        <v/>
      </c>
      <c r="D337" s="78">
        <f>IF('1A'!B37&lt;&gt;"",'1A'!D37,"")</f>
        <v/>
      </c>
      <c r="E337" s="78">
        <f>IF('1A'!B37&lt;&gt;"",'1A'!E37,"")</f>
        <v/>
      </c>
      <c r="F337" s="78">
        <f>IF('1A'!B37&lt;&gt;"",'1A'!F37,"")</f>
        <v/>
      </c>
      <c r="G337" s="78">
        <f>IF('1A'!B37&lt;&gt;"",'1A'!G37,"")</f>
        <v/>
      </c>
      <c r="H337" s="97">
        <f>IF('1A'!B37&lt;&gt;"",'1A'!H37,"")</f>
        <v/>
      </c>
      <c r="I337" s="97">
        <f>IF('1A'!B37&lt;&gt;"",'1A'!I37,"")</f>
        <v/>
      </c>
      <c r="J337" s="78">
        <f>IF('1A'!B37&lt;&gt;"",'1A'!J37,"")</f>
        <v/>
      </c>
    </row>
    <row r="338" ht="15.75" customHeight="1" s="52">
      <c r="A338" s="92">
        <f>IF('1A'!B38&lt;&gt;"","1A","")</f>
        <v/>
      </c>
      <c r="B338" s="82">
        <f>IF('1A'!B38&lt;&gt;"",'1A'!B38,"")</f>
        <v/>
      </c>
      <c r="C338" s="82">
        <f>IF('1A'!B38&lt;&gt;"",'1A'!C38,"")</f>
        <v/>
      </c>
      <c r="D338" s="82">
        <f>IF('1A'!B38&lt;&gt;"",'1A'!D38,"")</f>
        <v/>
      </c>
      <c r="E338" s="82">
        <f>IF('1A'!B38&lt;&gt;"",'1A'!E38,"")</f>
        <v/>
      </c>
      <c r="F338" s="82">
        <f>IF('1A'!B38&lt;&gt;"",'1A'!F38,"")</f>
        <v/>
      </c>
      <c r="G338" s="82">
        <f>IF('1A'!B38&lt;&gt;"",'1A'!G38,"")</f>
        <v/>
      </c>
      <c r="H338" s="92">
        <f>IF('1A'!B38&lt;&gt;"",'1A'!H38,"")</f>
        <v/>
      </c>
      <c r="I338" s="92">
        <f>IF('1A'!B38&lt;&gt;"",'1A'!I38,"")</f>
        <v/>
      </c>
      <c r="J338" s="82">
        <f>IF('1A'!B38&lt;&gt;"",'1A'!J38,"")</f>
        <v/>
      </c>
    </row>
    <row r="339" ht="15.75" customHeight="1" s="52">
      <c r="A339" s="97">
        <f>IF('1A'!B39&lt;&gt;"","1A","")</f>
        <v/>
      </c>
      <c r="B339" s="78">
        <f>IF('1A'!B39&lt;&gt;"",'1A'!B39,"")</f>
        <v/>
      </c>
      <c r="C339" s="78">
        <f>IF('1A'!B39&lt;&gt;"",'1A'!C39,"")</f>
        <v/>
      </c>
      <c r="D339" s="78">
        <f>IF('1A'!B39&lt;&gt;"",'1A'!D39,"")</f>
        <v/>
      </c>
      <c r="E339" s="78">
        <f>IF('1A'!B39&lt;&gt;"",'1A'!E39,"")</f>
        <v/>
      </c>
      <c r="F339" s="78">
        <f>IF('1A'!B39&lt;&gt;"",'1A'!F39,"")</f>
        <v/>
      </c>
      <c r="G339" s="78">
        <f>IF('1A'!B39&lt;&gt;"",'1A'!G39,"")</f>
        <v/>
      </c>
      <c r="H339" s="97">
        <f>IF('1A'!B39&lt;&gt;"",'1A'!H39,"")</f>
        <v/>
      </c>
      <c r="I339" s="97">
        <f>IF('1A'!B39&lt;&gt;"",'1A'!I39,"")</f>
        <v/>
      </c>
      <c r="J339" s="78">
        <f>IF('1A'!B39&lt;&gt;"",'1A'!J39,"")</f>
        <v/>
      </c>
    </row>
    <row r="340" ht="15.75" customHeight="1" s="52">
      <c r="A340" s="92">
        <f>IF('1A'!B40&lt;&gt;"","1A","")</f>
        <v/>
      </c>
      <c r="B340" s="82">
        <f>IF('1A'!B40&lt;&gt;"",'1A'!B40,"")</f>
        <v/>
      </c>
      <c r="C340" s="82">
        <f>IF('1A'!B40&lt;&gt;"",'1A'!C40,"")</f>
        <v/>
      </c>
      <c r="D340" s="82">
        <f>IF('1A'!B40&lt;&gt;"",'1A'!D40,"")</f>
        <v/>
      </c>
      <c r="E340" s="82">
        <f>IF('1A'!B40&lt;&gt;"",'1A'!E40,"")</f>
        <v/>
      </c>
      <c r="F340" s="82">
        <f>IF('1A'!B40&lt;&gt;"",'1A'!F40,"")</f>
        <v/>
      </c>
      <c r="G340" s="82">
        <f>IF('1A'!B40&lt;&gt;"",'1A'!G40,"")</f>
        <v/>
      </c>
      <c r="H340" s="92">
        <f>IF('1A'!B40&lt;&gt;"",'1A'!H40,"")</f>
        <v/>
      </c>
      <c r="I340" s="92">
        <f>IF('1A'!B40&lt;&gt;"",'1A'!I40,"")</f>
        <v/>
      </c>
      <c r="J340" s="82">
        <f>IF('1A'!B40&lt;&gt;"",'1A'!J40,"")</f>
        <v/>
      </c>
    </row>
    <row r="341" ht="15.75" customHeight="1" s="52">
      <c r="A341" s="97">
        <f>IF('1A'!B41&lt;&gt;"","1A","")</f>
        <v/>
      </c>
      <c r="B341" s="78">
        <f>IF('1A'!B41&lt;&gt;"",'1A'!B41,"")</f>
        <v/>
      </c>
      <c r="C341" s="78">
        <f>IF('1A'!B41&lt;&gt;"",'1A'!C41,"")</f>
        <v/>
      </c>
      <c r="D341" s="78">
        <f>IF('1A'!B41&lt;&gt;"",'1A'!D41,"")</f>
        <v/>
      </c>
      <c r="E341" s="78">
        <f>IF('1A'!B41&lt;&gt;"",'1A'!E41,"")</f>
        <v/>
      </c>
      <c r="F341" s="78">
        <f>IF('1A'!B41&lt;&gt;"",'1A'!F41,"")</f>
        <v/>
      </c>
      <c r="G341" s="78">
        <f>IF('1A'!B41&lt;&gt;"",'1A'!G41,"")</f>
        <v/>
      </c>
      <c r="H341" s="97">
        <f>IF('1A'!B41&lt;&gt;"",'1A'!H41,"")</f>
        <v/>
      </c>
      <c r="I341" s="97">
        <f>IF('1A'!B41&lt;&gt;"",'1A'!I41,"")</f>
        <v/>
      </c>
      <c r="J341" s="78">
        <f>IF('1A'!B41&lt;&gt;"",'1A'!J41,"")</f>
        <v/>
      </c>
    </row>
    <row r="342" ht="15.75" customHeight="1" s="52">
      <c r="A342" s="92">
        <f>IF('1A'!B42&lt;&gt;"","1A","")</f>
        <v/>
      </c>
      <c r="B342" s="82">
        <f>IF('1A'!B42&lt;&gt;"",'1A'!B42,"")</f>
        <v/>
      </c>
      <c r="C342" s="82">
        <f>IF('1A'!B42&lt;&gt;"",'1A'!C42,"")</f>
        <v/>
      </c>
      <c r="D342" s="82">
        <f>IF('1A'!B42&lt;&gt;"",'1A'!D42,"")</f>
        <v/>
      </c>
      <c r="E342" s="82">
        <f>IF('1A'!B42&lt;&gt;"",'1A'!E42,"")</f>
        <v/>
      </c>
      <c r="F342" s="82">
        <f>IF('1A'!B42&lt;&gt;"",'1A'!F42,"")</f>
        <v/>
      </c>
      <c r="G342" s="82">
        <f>IF('1A'!B42&lt;&gt;"",'1A'!G42,"")</f>
        <v/>
      </c>
      <c r="H342" s="92">
        <f>IF('1A'!B42&lt;&gt;"",'1A'!H42,"")</f>
        <v/>
      </c>
      <c r="I342" s="92">
        <f>IF('1A'!B42&lt;&gt;"",'1A'!I42,"")</f>
        <v/>
      </c>
      <c r="J342" s="82">
        <f>IF('1A'!B42&lt;&gt;"",'1A'!J42,"")</f>
        <v/>
      </c>
    </row>
    <row r="343" ht="15.75" customHeight="1" s="52">
      <c r="A343" s="97">
        <f>IF('1A'!B43&lt;&gt;"","1A","")</f>
        <v/>
      </c>
      <c r="B343" s="78">
        <f>IF('1A'!B43&lt;&gt;"",'1A'!B43,"")</f>
        <v/>
      </c>
      <c r="C343" s="78">
        <f>IF('1A'!B43&lt;&gt;"",'1A'!C43,"")</f>
        <v/>
      </c>
      <c r="D343" s="78">
        <f>IF('1A'!B43&lt;&gt;"",'1A'!D43,"")</f>
        <v/>
      </c>
      <c r="E343" s="78">
        <f>IF('1A'!B43&lt;&gt;"",'1A'!E43,"")</f>
        <v/>
      </c>
      <c r="F343" s="78">
        <f>IF('1A'!B43&lt;&gt;"",'1A'!F43,"")</f>
        <v/>
      </c>
      <c r="G343" s="78">
        <f>IF('1A'!B43&lt;&gt;"",'1A'!G43,"")</f>
        <v/>
      </c>
      <c r="H343" s="97">
        <f>IF('1A'!B43&lt;&gt;"",'1A'!H43,"")</f>
        <v/>
      </c>
      <c r="I343" s="97">
        <f>IF('1A'!B43&lt;&gt;"",'1A'!I43,"")</f>
        <v/>
      </c>
      <c r="J343" s="78">
        <f>IF('1A'!B43&lt;&gt;"",'1A'!J43,"")</f>
        <v/>
      </c>
    </row>
    <row r="344" ht="15.75" customHeight="1" s="52">
      <c r="A344" s="92">
        <f>IF('1A'!B44&lt;&gt;"","1A","")</f>
        <v/>
      </c>
      <c r="B344" s="82">
        <f>IF('1A'!B44&lt;&gt;"",'1A'!B44,"")</f>
        <v/>
      </c>
      <c r="C344" s="82">
        <f>IF('1A'!B44&lt;&gt;"",'1A'!C44,"")</f>
        <v/>
      </c>
      <c r="D344" s="82">
        <f>IF('1A'!B44&lt;&gt;"",'1A'!D44,"")</f>
        <v/>
      </c>
      <c r="E344" s="82">
        <f>IF('1A'!B44&lt;&gt;"",'1A'!E44,"")</f>
        <v/>
      </c>
      <c r="F344" s="82">
        <f>IF('1A'!B44&lt;&gt;"",'1A'!F44,"")</f>
        <v/>
      </c>
      <c r="G344" s="82">
        <f>IF('1A'!B44&lt;&gt;"",'1A'!G44,"")</f>
        <v/>
      </c>
      <c r="H344" s="92">
        <f>IF('1A'!B44&lt;&gt;"",'1A'!H44,"")</f>
        <v/>
      </c>
      <c r="I344" s="92">
        <f>IF('1A'!B44&lt;&gt;"",'1A'!I44,"")</f>
        <v/>
      </c>
      <c r="J344" s="82">
        <f>IF('1A'!B44&lt;&gt;"",'1A'!J44,"")</f>
        <v/>
      </c>
    </row>
    <row r="345" ht="15.75" customHeight="1" s="52">
      <c r="A345" s="97">
        <f>IF('1A'!B45&lt;&gt;"","1A","")</f>
        <v/>
      </c>
      <c r="B345" s="78">
        <f>IF('1A'!B45&lt;&gt;"",'1A'!B45,"")</f>
        <v/>
      </c>
      <c r="C345" s="78">
        <f>IF('1A'!B45&lt;&gt;"",'1A'!C45,"")</f>
        <v/>
      </c>
      <c r="D345" s="78">
        <f>IF('1A'!B45&lt;&gt;"",'1A'!D45,"")</f>
        <v/>
      </c>
      <c r="E345" s="78">
        <f>IF('1A'!B45&lt;&gt;"",'1A'!E45,"")</f>
        <v/>
      </c>
      <c r="F345" s="78">
        <f>IF('1A'!B45&lt;&gt;"",'1A'!F45,"")</f>
        <v/>
      </c>
      <c r="G345" s="78">
        <f>IF('1A'!B45&lt;&gt;"",'1A'!G45,"")</f>
        <v/>
      </c>
      <c r="H345" s="97">
        <f>IF('1A'!B45&lt;&gt;"",'1A'!H45,"")</f>
        <v/>
      </c>
      <c r="I345" s="97">
        <f>IF('1A'!B45&lt;&gt;"",'1A'!I45,"")</f>
        <v/>
      </c>
      <c r="J345" s="78">
        <f>IF('1A'!B45&lt;&gt;"",'1A'!J45,"")</f>
        <v/>
      </c>
    </row>
    <row r="346" ht="15.75" customHeight="1" s="52">
      <c r="A346" s="92">
        <f>IF('1A'!B46&lt;&gt;"","1A","")</f>
        <v/>
      </c>
      <c r="B346" s="82">
        <f>IF('1A'!B46&lt;&gt;"",'1A'!B46,"")</f>
        <v/>
      </c>
      <c r="C346" s="82">
        <f>IF('1A'!B46&lt;&gt;"",'1A'!C46,"")</f>
        <v/>
      </c>
      <c r="D346" s="82">
        <f>IF('1A'!B46&lt;&gt;"",'1A'!D46,"")</f>
        <v/>
      </c>
      <c r="E346" s="82">
        <f>IF('1A'!B46&lt;&gt;"",'1A'!E46,"")</f>
        <v/>
      </c>
      <c r="F346" s="82">
        <f>IF('1A'!B46&lt;&gt;"",'1A'!F46,"")</f>
        <v/>
      </c>
      <c r="G346" s="82">
        <f>IF('1A'!B46&lt;&gt;"",'1A'!G46,"")</f>
        <v/>
      </c>
      <c r="H346" s="92">
        <f>IF('1A'!B46&lt;&gt;"",'1A'!H46,"")</f>
        <v/>
      </c>
      <c r="I346" s="92">
        <f>IF('1A'!B46&lt;&gt;"",'1A'!I46,"")</f>
        <v/>
      </c>
      <c r="J346" s="82">
        <f>IF('1A'!B46&lt;&gt;"",'1A'!J46,"")</f>
        <v/>
      </c>
    </row>
    <row r="347" ht="15.75" customHeight="1" s="52">
      <c r="A347" s="97">
        <f>IF('1A'!B47&lt;&gt;"","1A","")</f>
        <v/>
      </c>
      <c r="B347" s="78">
        <f>IF('1A'!B47&lt;&gt;"",'1A'!B47,"")</f>
        <v/>
      </c>
      <c r="C347" s="78">
        <f>IF('1A'!B47&lt;&gt;"",'1A'!C47,"")</f>
        <v/>
      </c>
      <c r="D347" s="78">
        <f>IF('1A'!B47&lt;&gt;"",'1A'!D47,"")</f>
        <v/>
      </c>
      <c r="E347" s="78">
        <f>IF('1A'!B47&lt;&gt;"",'1A'!E47,"")</f>
        <v/>
      </c>
      <c r="F347" s="78">
        <f>IF('1A'!B47&lt;&gt;"",'1A'!F47,"")</f>
        <v/>
      </c>
      <c r="G347" s="78">
        <f>IF('1A'!B47&lt;&gt;"",'1A'!G47,"")</f>
        <v/>
      </c>
      <c r="H347" s="97">
        <f>IF('1A'!B47&lt;&gt;"",'1A'!H47,"")</f>
        <v/>
      </c>
      <c r="I347" s="97">
        <f>IF('1A'!B47&lt;&gt;"",'1A'!I47,"")</f>
        <v/>
      </c>
      <c r="J347" s="78">
        <f>IF('1A'!B47&lt;&gt;"",'1A'!J47,"")</f>
        <v/>
      </c>
    </row>
    <row r="348" ht="15.75" customHeight="1" s="52">
      <c r="A348" s="92">
        <f>IF('1A'!B48&lt;&gt;"","1A","")</f>
        <v/>
      </c>
      <c r="B348" s="82">
        <f>IF('1A'!B48&lt;&gt;"",'1A'!B48,"")</f>
        <v/>
      </c>
      <c r="C348" s="82">
        <f>IF('1A'!B48&lt;&gt;"",'1A'!C48,"")</f>
        <v/>
      </c>
      <c r="D348" s="82">
        <f>IF('1A'!B48&lt;&gt;"",'1A'!D48,"")</f>
        <v/>
      </c>
      <c r="E348" s="82">
        <f>IF('1A'!B48&lt;&gt;"",'1A'!E48,"")</f>
        <v/>
      </c>
      <c r="F348" s="82">
        <f>IF('1A'!B48&lt;&gt;"",'1A'!F48,"")</f>
        <v/>
      </c>
      <c r="G348" s="82">
        <f>IF('1A'!B48&lt;&gt;"",'1A'!G48,"")</f>
        <v/>
      </c>
      <c r="H348" s="92">
        <f>IF('1A'!B48&lt;&gt;"",'1A'!H48,"")</f>
        <v/>
      </c>
      <c r="I348" s="92">
        <f>IF('1A'!B48&lt;&gt;"",'1A'!I48,"")</f>
        <v/>
      </c>
      <c r="J348" s="82">
        <f>IF('1A'!B48&lt;&gt;"",'1A'!J48,"")</f>
        <v/>
      </c>
    </row>
    <row r="349" ht="15.75" customHeight="1" s="52">
      <c r="A349" s="97">
        <f>IF('1A'!B49&lt;&gt;"","1A","")</f>
        <v/>
      </c>
      <c r="B349" s="78">
        <f>IF('1A'!B49&lt;&gt;"",'1A'!B49,"")</f>
        <v/>
      </c>
      <c r="C349" s="78">
        <f>IF('1A'!B49&lt;&gt;"",'1A'!C49,"")</f>
        <v/>
      </c>
      <c r="D349" s="78">
        <f>IF('1A'!B49&lt;&gt;"",'1A'!D49,"")</f>
        <v/>
      </c>
      <c r="E349" s="78">
        <f>IF('1A'!B49&lt;&gt;"",'1A'!E49,"")</f>
        <v/>
      </c>
      <c r="F349" s="78">
        <f>IF('1A'!B49&lt;&gt;"",'1A'!F49,"")</f>
        <v/>
      </c>
      <c r="G349" s="78">
        <f>IF('1A'!B49&lt;&gt;"",'1A'!G49,"")</f>
        <v/>
      </c>
      <c r="H349" s="97">
        <f>IF('1A'!B49&lt;&gt;"",'1A'!H49,"")</f>
        <v/>
      </c>
      <c r="I349" s="97">
        <f>IF('1A'!B49&lt;&gt;"",'1A'!I49,"")</f>
        <v/>
      </c>
      <c r="J349" s="78">
        <f>IF('1A'!B49&lt;&gt;"",'1A'!J49,"")</f>
        <v/>
      </c>
    </row>
    <row r="350" ht="15.75" customHeight="1" s="52">
      <c r="A350" s="92">
        <f>IF('1A'!B50&lt;&gt;"","1A","")</f>
        <v/>
      </c>
      <c r="B350" s="82">
        <f>IF('1A'!B50&lt;&gt;"",'1A'!B50,"")</f>
        <v/>
      </c>
      <c r="C350" s="82">
        <f>IF('1A'!B50&lt;&gt;"",'1A'!C50,"")</f>
        <v/>
      </c>
      <c r="D350" s="82">
        <f>IF('1A'!B50&lt;&gt;"",'1A'!D50,"")</f>
        <v/>
      </c>
      <c r="E350" s="82">
        <f>IF('1A'!B50&lt;&gt;"",'1A'!E50,"")</f>
        <v/>
      </c>
      <c r="F350" s="82">
        <f>IF('1A'!B50&lt;&gt;"",'1A'!F50,"")</f>
        <v/>
      </c>
      <c r="G350" s="82">
        <f>IF('1A'!B50&lt;&gt;"",'1A'!G50,"")</f>
        <v/>
      </c>
      <c r="H350" s="92">
        <f>IF('1A'!B50&lt;&gt;"",'1A'!H50,"")</f>
        <v/>
      </c>
      <c r="I350" s="92">
        <f>IF('1A'!B50&lt;&gt;"",'1A'!I50,"")</f>
        <v/>
      </c>
      <c r="J350" s="82">
        <f>IF('1A'!B50&lt;&gt;"",'1A'!J50,"")</f>
        <v/>
      </c>
    </row>
    <row r="351" ht="15.75" customHeight="1" s="52">
      <c r="A351" s="97">
        <f>IF('1A'!B51&lt;&gt;"","1A","")</f>
        <v/>
      </c>
      <c r="B351" s="78">
        <f>IF('1A'!B51&lt;&gt;"",'1A'!B51,"")</f>
        <v/>
      </c>
      <c r="C351" s="78">
        <f>IF('1A'!B51&lt;&gt;"",'1A'!C51,"")</f>
        <v/>
      </c>
      <c r="D351" s="78">
        <f>IF('1A'!B51&lt;&gt;"",'1A'!D51,"")</f>
        <v/>
      </c>
      <c r="E351" s="78">
        <f>IF('1A'!B51&lt;&gt;"",'1A'!E51,"")</f>
        <v/>
      </c>
      <c r="F351" s="78">
        <f>IF('1A'!B51&lt;&gt;"",'1A'!F51,"")</f>
        <v/>
      </c>
      <c r="G351" s="78">
        <f>IF('1A'!B51&lt;&gt;"",'1A'!G51,"")</f>
        <v/>
      </c>
      <c r="H351" s="97">
        <f>IF('1A'!B51&lt;&gt;"",'1A'!H51,"")</f>
        <v/>
      </c>
      <c r="I351" s="97">
        <f>IF('1A'!B51&lt;&gt;"",'1A'!I51,"")</f>
        <v/>
      </c>
      <c r="J351" s="78">
        <f>IF('1A'!B51&lt;&gt;"",'1A'!J51,"")</f>
        <v/>
      </c>
    </row>
    <row r="352" ht="15.75" customHeight="1" s="52">
      <c r="A352" s="92">
        <f>IF('1A'!B52&lt;&gt;"","1A","")</f>
        <v/>
      </c>
      <c r="B352" s="82">
        <f>IF('1A'!B52&lt;&gt;"",'1A'!B52,"")</f>
        <v/>
      </c>
      <c r="C352" s="82">
        <f>IF('1A'!B52&lt;&gt;"",'1A'!C52,"")</f>
        <v/>
      </c>
      <c r="D352" s="82">
        <f>IF('1A'!B52&lt;&gt;"",'1A'!D52,"")</f>
        <v/>
      </c>
      <c r="E352" s="82">
        <f>IF('1A'!B52&lt;&gt;"",'1A'!E52,"")</f>
        <v/>
      </c>
      <c r="F352" s="82">
        <f>IF('1A'!B52&lt;&gt;"",'1A'!F52,"")</f>
        <v/>
      </c>
      <c r="G352" s="82">
        <f>IF('1A'!B52&lt;&gt;"",'1A'!G52,"")</f>
        <v/>
      </c>
      <c r="H352" s="92">
        <f>IF('1A'!B52&lt;&gt;"",'1A'!H52,"")</f>
        <v/>
      </c>
      <c r="I352" s="92">
        <f>IF('1A'!B52&lt;&gt;"",'1A'!I52,"")</f>
        <v/>
      </c>
      <c r="J352" s="82">
        <f>IF('1A'!B52&lt;&gt;"",'1A'!J52,"")</f>
        <v/>
      </c>
    </row>
    <row r="353" ht="15.75" customHeight="1" s="52">
      <c r="A353" s="97">
        <f>IF('1A'!B53&lt;&gt;"","1A","")</f>
        <v/>
      </c>
      <c r="B353" s="78">
        <f>IF('1A'!B53&lt;&gt;"",'1A'!B53,"")</f>
        <v/>
      </c>
      <c r="C353" s="78">
        <f>IF('1A'!B53&lt;&gt;"",'1A'!C53,"")</f>
        <v/>
      </c>
      <c r="D353" s="78">
        <f>IF('1A'!B53&lt;&gt;"",'1A'!D53,"")</f>
        <v/>
      </c>
      <c r="E353" s="78">
        <f>IF('1A'!B53&lt;&gt;"",'1A'!E53,"")</f>
        <v/>
      </c>
      <c r="F353" s="78">
        <f>IF('1A'!B53&lt;&gt;"",'1A'!F53,"")</f>
        <v/>
      </c>
      <c r="G353" s="78">
        <f>IF('1A'!B53&lt;&gt;"",'1A'!G53,"")</f>
        <v/>
      </c>
      <c r="H353" s="97">
        <f>IF('1A'!B53&lt;&gt;"",'1A'!H53,"")</f>
        <v/>
      </c>
      <c r="I353" s="97">
        <f>IF('1A'!B53&lt;&gt;"",'1A'!I53,"")</f>
        <v/>
      </c>
      <c r="J353" s="78">
        <f>IF('1A'!B53&lt;&gt;"",'1A'!J53,"")</f>
        <v/>
      </c>
    </row>
    <row r="354" ht="15.75" customHeight="1" s="52">
      <c r="A354" s="92">
        <f>IF('1A'!B54&lt;&gt;"","1A","")</f>
        <v/>
      </c>
      <c r="B354" s="82">
        <f>IF('1A'!B54&lt;&gt;"",'1A'!B54,"")</f>
        <v/>
      </c>
      <c r="C354" s="82">
        <f>IF('1A'!B54&lt;&gt;"",'1A'!C54,"")</f>
        <v/>
      </c>
      <c r="D354" s="82">
        <f>IF('1A'!B54&lt;&gt;"",'1A'!D54,"")</f>
        <v/>
      </c>
      <c r="E354" s="82">
        <f>IF('1A'!B54&lt;&gt;"",'1A'!E54,"")</f>
        <v/>
      </c>
      <c r="F354" s="82">
        <f>IF('1A'!B54&lt;&gt;"",'1A'!F54,"")</f>
        <v/>
      </c>
      <c r="G354" s="82">
        <f>IF('1A'!B54&lt;&gt;"",'1A'!G54,"")</f>
        <v/>
      </c>
      <c r="H354" s="92">
        <f>IF('1A'!B54&lt;&gt;"",'1A'!H54,"")</f>
        <v/>
      </c>
      <c r="I354" s="92">
        <f>IF('1A'!B54&lt;&gt;"",'1A'!I54,"")</f>
        <v/>
      </c>
      <c r="J354" s="82">
        <f>IF('1A'!B54&lt;&gt;"",'1A'!J54,"")</f>
        <v/>
      </c>
    </row>
    <row r="355" ht="15.75" customHeight="1" s="52">
      <c r="A355" s="97">
        <f>IF('1B'!B5&lt;&gt;"","1B","")</f>
        <v/>
      </c>
      <c r="B355" s="78">
        <f>IF('1B'!B5&lt;&gt;"",'1B'!B5,"")</f>
        <v/>
      </c>
      <c r="C355" s="78">
        <f>IF('1B'!B5&lt;&gt;"",'1B'!C5,"")</f>
        <v/>
      </c>
      <c r="D355" s="78">
        <f>IF('1B'!B5&lt;&gt;"",'1B'!D5,"")</f>
        <v/>
      </c>
      <c r="E355" s="78">
        <f>IF('1B'!B5&lt;&gt;"",'1B'!E5,"")</f>
        <v/>
      </c>
      <c r="F355" s="78">
        <f>IF('1B'!B5&lt;&gt;"",'1B'!F5,"")</f>
        <v/>
      </c>
      <c r="G355" s="78">
        <f>IF('1B'!B5&lt;&gt;"",'1B'!G5,"")</f>
        <v/>
      </c>
      <c r="H355" s="97">
        <f>IF('1B'!B5&lt;&gt;"",'1B'!H5,"")</f>
        <v/>
      </c>
      <c r="I355" s="97">
        <f>IF('1B'!B5&lt;&gt;"",'1B'!I5,"")</f>
        <v/>
      </c>
      <c r="J355" s="78">
        <f>IF('1B'!B5&lt;&gt;"",'1B'!J5,"")</f>
        <v/>
      </c>
    </row>
    <row r="356" ht="15.75" customHeight="1" s="52">
      <c r="A356" s="92">
        <f>IF('1B'!B6&lt;&gt;"","1B","")</f>
        <v/>
      </c>
      <c r="B356" s="82">
        <f>IF('1B'!B6&lt;&gt;"",'1B'!B6,"")</f>
        <v/>
      </c>
      <c r="C356" s="82">
        <f>IF('1B'!B6&lt;&gt;"",'1B'!C6,"")</f>
        <v/>
      </c>
      <c r="D356" s="82">
        <f>IF('1B'!B6&lt;&gt;"",'1B'!D6,"")</f>
        <v/>
      </c>
      <c r="E356" s="82">
        <f>IF('1B'!B6&lt;&gt;"",'1B'!E6,"")</f>
        <v/>
      </c>
      <c r="F356" s="82">
        <f>IF('1B'!B6&lt;&gt;"",'1B'!F6,"")</f>
        <v/>
      </c>
      <c r="G356" s="82">
        <f>IF('1B'!B6&lt;&gt;"",'1B'!G6,"")</f>
        <v/>
      </c>
      <c r="H356" s="92">
        <f>IF('1B'!B6&lt;&gt;"",'1B'!H6,"")</f>
        <v/>
      </c>
      <c r="I356" s="92">
        <f>IF('1B'!B6&lt;&gt;"",'1B'!I6,"")</f>
        <v/>
      </c>
      <c r="J356" s="82">
        <f>IF('1B'!B6&lt;&gt;"",'1B'!J6,"")</f>
        <v/>
      </c>
    </row>
    <row r="357" ht="15.75" customHeight="1" s="52">
      <c r="A357" s="97">
        <f>IF('1B'!B7&lt;&gt;"","1B","")</f>
        <v/>
      </c>
      <c r="B357" s="78">
        <f>IF('1B'!B7&lt;&gt;"",'1B'!B7,"")</f>
        <v/>
      </c>
      <c r="C357" s="78">
        <f>IF('1B'!B7&lt;&gt;"",'1B'!C7,"")</f>
        <v/>
      </c>
      <c r="D357" s="78">
        <f>IF('1B'!B7&lt;&gt;"",'1B'!D7,"")</f>
        <v/>
      </c>
      <c r="E357" s="78">
        <f>IF('1B'!B7&lt;&gt;"",'1B'!E7,"")</f>
        <v/>
      </c>
      <c r="F357" s="78">
        <f>IF('1B'!B7&lt;&gt;"",'1B'!F7,"")</f>
        <v/>
      </c>
      <c r="G357" s="78">
        <f>IF('1B'!B7&lt;&gt;"",'1B'!G7,"")</f>
        <v/>
      </c>
      <c r="H357" s="97">
        <f>IF('1B'!B7&lt;&gt;"",'1B'!H7,"")</f>
        <v/>
      </c>
      <c r="I357" s="97">
        <f>IF('1B'!B7&lt;&gt;"",'1B'!I7,"")</f>
        <v/>
      </c>
      <c r="J357" s="78">
        <f>IF('1B'!B7&lt;&gt;"",'1B'!J7,"")</f>
        <v/>
      </c>
    </row>
    <row r="358" ht="15.75" customHeight="1" s="52">
      <c r="A358" s="92">
        <f>IF('1B'!B8&lt;&gt;"","1B","")</f>
        <v/>
      </c>
      <c r="B358" s="82">
        <f>IF('1B'!B8&lt;&gt;"",'1B'!B8,"")</f>
        <v/>
      </c>
      <c r="C358" s="82">
        <f>IF('1B'!B8&lt;&gt;"",'1B'!C8,"")</f>
        <v/>
      </c>
      <c r="D358" s="82">
        <f>IF('1B'!B8&lt;&gt;"",'1B'!D8,"")</f>
        <v/>
      </c>
      <c r="E358" s="82">
        <f>IF('1B'!B8&lt;&gt;"",'1B'!E8,"")</f>
        <v/>
      </c>
      <c r="F358" s="82">
        <f>IF('1B'!B8&lt;&gt;"",'1B'!F8,"")</f>
        <v/>
      </c>
      <c r="G358" s="82">
        <f>IF('1B'!B8&lt;&gt;"",'1B'!G8,"")</f>
        <v/>
      </c>
      <c r="H358" s="92">
        <f>IF('1B'!B8&lt;&gt;"",'1B'!H8,"")</f>
        <v/>
      </c>
      <c r="I358" s="92">
        <f>IF('1B'!B8&lt;&gt;"",'1B'!I8,"")</f>
        <v/>
      </c>
      <c r="J358" s="82">
        <f>IF('1B'!B8&lt;&gt;"",'1B'!J8,"")</f>
        <v/>
      </c>
    </row>
    <row r="359" ht="15.75" customHeight="1" s="52">
      <c r="A359" s="97">
        <f>IF('1B'!B9&lt;&gt;"","1B","")</f>
        <v/>
      </c>
      <c r="B359" s="78">
        <f>IF('1B'!B9&lt;&gt;"",'1B'!B9,"")</f>
        <v/>
      </c>
      <c r="C359" s="78">
        <f>IF('1B'!B9&lt;&gt;"",'1B'!C9,"")</f>
        <v/>
      </c>
      <c r="D359" s="78">
        <f>IF('1B'!B9&lt;&gt;"",'1B'!D9,"")</f>
        <v/>
      </c>
      <c r="E359" s="78">
        <f>IF('1B'!B9&lt;&gt;"",'1B'!E9,"")</f>
        <v/>
      </c>
      <c r="F359" s="78">
        <f>IF('1B'!B9&lt;&gt;"",'1B'!F9,"")</f>
        <v/>
      </c>
      <c r="G359" s="78">
        <f>IF('1B'!B9&lt;&gt;"",'1B'!G9,"")</f>
        <v/>
      </c>
      <c r="H359" s="97">
        <f>IF('1B'!B9&lt;&gt;"",'1B'!H9,"")</f>
        <v/>
      </c>
      <c r="I359" s="97">
        <f>IF('1B'!B9&lt;&gt;"",'1B'!I9,"")</f>
        <v/>
      </c>
      <c r="J359" s="78">
        <f>IF('1B'!B9&lt;&gt;"",'1B'!J9,"")</f>
        <v/>
      </c>
    </row>
    <row r="360" ht="15.75" customHeight="1" s="52">
      <c r="A360" s="92">
        <f>IF('1B'!B10&lt;&gt;"","1B","")</f>
        <v/>
      </c>
      <c r="B360" s="82">
        <f>IF('1B'!B10&lt;&gt;"",'1B'!B10,"")</f>
        <v/>
      </c>
      <c r="C360" s="82">
        <f>IF('1B'!B10&lt;&gt;"",'1B'!C10,"")</f>
        <v/>
      </c>
      <c r="D360" s="82">
        <f>IF('1B'!B10&lt;&gt;"",'1B'!D10,"")</f>
        <v/>
      </c>
      <c r="E360" s="82">
        <f>IF('1B'!B10&lt;&gt;"",'1B'!E10,"")</f>
        <v/>
      </c>
      <c r="F360" s="82">
        <f>IF('1B'!B10&lt;&gt;"",'1B'!F10,"")</f>
        <v/>
      </c>
      <c r="G360" s="82">
        <f>IF('1B'!B10&lt;&gt;"",'1B'!G10,"")</f>
        <v/>
      </c>
      <c r="H360" s="92">
        <f>IF('1B'!B10&lt;&gt;"",'1B'!H10,"")</f>
        <v/>
      </c>
      <c r="I360" s="92">
        <f>IF('1B'!B10&lt;&gt;"",'1B'!I10,"")</f>
        <v/>
      </c>
      <c r="J360" s="82">
        <f>IF('1B'!B10&lt;&gt;"",'1B'!J10,"")</f>
        <v/>
      </c>
    </row>
    <row r="361" ht="15.75" customHeight="1" s="52">
      <c r="A361" s="97">
        <f>IF('1B'!B11&lt;&gt;"","1B","")</f>
        <v/>
      </c>
      <c r="B361" s="78">
        <f>IF('1B'!B11&lt;&gt;"",'1B'!B11,"")</f>
        <v/>
      </c>
      <c r="C361" s="78">
        <f>IF('1B'!B11&lt;&gt;"",'1B'!C11,"")</f>
        <v/>
      </c>
      <c r="D361" s="78">
        <f>IF('1B'!B11&lt;&gt;"",'1B'!D11,"")</f>
        <v/>
      </c>
      <c r="E361" s="78">
        <f>IF('1B'!B11&lt;&gt;"",'1B'!E11,"")</f>
        <v/>
      </c>
      <c r="F361" s="78">
        <f>IF('1B'!B11&lt;&gt;"",'1B'!F11,"")</f>
        <v/>
      </c>
      <c r="G361" s="78">
        <f>IF('1B'!B11&lt;&gt;"",'1B'!G11,"")</f>
        <v/>
      </c>
      <c r="H361" s="97">
        <f>IF('1B'!B11&lt;&gt;"",'1B'!H11,"")</f>
        <v/>
      </c>
      <c r="I361" s="97">
        <f>IF('1B'!B11&lt;&gt;"",'1B'!I11,"")</f>
        <v/>
      </c>
      <c r="J361" s="78">
        <f>IF('1B'!B11&lt;&gt;"",'1B'!J11,"")</f>
        <v/>
      </c>
    </row>
    <row r="362" ht="15.75" customHeight="1" s="52">
      <c r="A362" s="92">
        <f>IF('1B'!B12&lt;&gt;"","1B","")</f>
        <v/>
      </c>
      <c r="B362" s="82">
        <f>IF('1B'!B12&lt;&gt;"",'1B'!B12,"")</f>
        <v/>
      </c>
      <c r="C362" s="82">
        <f>IF('1B'!B12&lt;&gt;"",'1B'!C12,"")</f>
        <v/>
      </c>
      <c r="D362" s="82">
        <f>IF('1B'!B12&lt;&gt;"",'1B'!D12,"")</f>
        <v/>
      </c>
      <c r="E362" s="82">
        <f>IF('1B'!B12&lt;&gt;"",'1B'!E12,"")</f>
        <v/>
      </c>
      <c r="F362" s="82">
        <f>IF('1B'!B12&lt;&gt;"",'1B'!F12,"")</f>
        <v/>
      </c>
      <c r="G362" s="82">
        <f>IF('1B'!B12&lt;&gt;"",'1B'!G12,"")</f>
        <v/>
      </c>
      <c r="H362" s="92">
        <f>IF('1B'!B12&lt;&gt;"",'1B'!H12,"")</f>
        <v/>
      </c>
      <c r="I362" s="92">
        <f>IF('1B'!B12&lt;&gt;"",'1B'!I12,"")</f>
        <v/>
      </c>
      <c r="J362" s="82">
        <f>IF('1B'!B12&lt;&gt;"",'1B'!J12,"")</f>
        <v/>
      </c>
    </row>
    <row r="363" ht="15.75" customHeight="1" s="52">
      <c r="A363" s="97">
        <f>IF('1B'!B13&lt;&gt;"","1B","")</f>
        <v/>
      </c>
      <c r="B363" s="78">
        <f>IF('1B'!B13&lt;&gt;"",'1B'!B13,"")</f>
        <v/>
      </c>
      <c r="C363" s="78">
        <f>IF('1B'!B13&lt;&gt;"",'1B'!C13,"")</f>
        <v/>
      </c>
      <c r="D363" s="78">
        <f>IF('1B'!B13&lt;&gt;"",'1B'!D13,"")</f>
        <v/>
      </c>
      <c r="E363" s="78">
        <f>IF('1B'!B13&lt;&gt;"",'1B'!E13,"")</f>
        <v/>
      </c>
      <c r="F363" s="78">
        <f>IF('1B'!B13&lt;&gt;"",'1B'!F13,"")</f>
        <v/>
      </c>
      <c r="G363" s="78">
        <f>IF('1B'!B13&lt;&gt;"",'1B'!G13,"")</f>
        <v/>
      </c>
      <c r="H363" s="97">
        <f>IF('1B'!B13&lt;&gt;"",'1B'!H13,"")</f>
        <v/>
      </c>
      <c r="I363" s="97">
        <f>IF('1B'!B13&lt;&gt;"",'1B'!I13,"")</f>
        <v/>
      </c>
      <c r="J363" s="78">
        <f>IF('1B'!B13&lt;&gt;"",'1B'!J13,"")</f>
        <v/>
      </c>
    </row>
    <row r="364" ht="15.75" customHeight="1" s="52">
      <c r="A364" s="92">
        <f>IF('1B'!B14&lt;&gt;"","1B","")</f>
        <v/>
      </c>
      <c r="B364" s="82">
        <f>IF('1B'!B14&lt;&gt;"",'1B'!B14,"")</f>
        <v/>
      </c>
      <c r="C364" s="82">
        <f>IF('1B'!B14&lt;&gt;"",'1B'!C14,"")</f>
        <v/>
      </c>
      <c r="D364" s="82">
        <f>IF('1B'!B14&lt;&gt;"",'1B'!D14,"")</f>
        <v/>
      </c>
      <c r="E364" s="82">
        <f>IF('1B'!B14&lt;&gt;"",'1B'!E14,"")</f>
        <v/>
      </c>
      <c r="F364" s="82">
        <f>IF('1B'!B14&lt;&gt;"",'1B'!F14,"")</f>
        <v/>
      </c>
      <c r="G364" s="82">
        <f>IF('1B'!B14&lt;&gt;"",'1B'!G14,"")</f>
        <v/>
      </c>
      <c r="H364" s="92">
        <f>IF('1B'!B14&lt;&gt;"",'1B'!H14,"")</f>
        <v/>
      </c>
      <c r="I364" s="92">
        <f>IF('1B'!B14&lt;&gt;"",'1B'!I14,"")</f>
        <v/>
      </c>
      <c r="J364" s="82">
        <f>IF('1B'!B14&lt;&gt;"",'1B'!J14,"")</f>
        <v/>
      </c>
    </row>
    <row r="365" ht="15.75" customHeight="1" s="52">
      <c r="A365" s="97">
        <f>IF('1B'!B15&lt;&gt;"","1B","")</f>
        <v/>
      </c>
      <c r="B365" s="78">
        <f>IF('1B'!B15&lt;&gt;"",'1B'!B15,"")</f>
        <v/>
      </c>
      <c r="C365" s="78">
        <f>IF('1B'!B15&lt;&gt;"",'1B'!C15,"")</f>
        <v/>
      </c>
      <c r="D365" s="78">
        <f>IF('1B'!B15&lt;&gt;"",'1B'!D15,"")</f>
        <v/>
      </c>
      <c r="E365" s="78">
        <f>IF('1B'!B15&lt;&gt;"",'1B'!E15,"")</f>
        <v/>
      </c>
      <c r="F365" s="78">
        <f>IF('1B'!B15&lt;&gt;"",'1B'!F15,"")</f>
        <v/>
      </c>
      <c r="G365" s="78">
        <f>IF('1B'!B15&lt;&gt;"",'1B'!G15,"")</f>
        <v/>
      </c>
      <c r="H365" s="97">
        <f>IF('1B'!B15&lt;&gt;"",'1B'!H15,"")</f>
        <v/>
      </c>
      <c r="I365" s="97">
        <f>IF('1B'!B15&lt;&gt;"",'1B'!I15,"")</f>
        <v/>
      </c>
      <c r="J365" s="78">
        <f>IF('1B'!B15&lt;&gt;"",'1B'!J15,"")</f>
        <v/>
      </c>
    </row>
    <row r="366" ht="15.75" customHeight="1" s="52">
      <c r="A366" s="92">
        <f>IF('1B'!B16&lt;&gt;"","1B","")</f>
        <v/>
      </c>
      <c r="B366" s="82">
        <f>IF('1B'!B16&lt;&gt;"",'1B'!B16,"")</f>
        <v/>
      </c>
      <c r="C366" s="82">
        <f>IF('1B'!B16&lt;&gt;"",'1B'!C16,"")</f>
        <v/>
      </c>
      <c r="D366" s="82">
        <f>IF('1B'!B16&lt;&gt;"",'1B'!D16,"")</f>
        <v/>
      </c>
      <c r="E366" s="82">
        <f>IF('1B'!B16&lt;&gt;"",'1B'!E16,"")</f>
        <v/>
      </c>
      <c r="F366" s="82">
        <f>IF('1B'!B16&lt;&gt;"",'1B'!F16,"")</f>
        <v/>
      </c>
      <c r="G366" s="82">
        <f>IF('1B'!B16&lt;&gt;"",'1B'!G16,"")</f>
        <v/>
      </c>
      <c r="H366" s="92">
        <f>IF('1B'!B16&lt;&gt;"",'1B'!H16,"")</f>
        <v/>
      </c>
      <c r="I366" s="92">
        <f>IF('1B'!B16&lt;&gt;"",'1B'!I16,"")</f>
        <v/>
      </c>
      <c r="J366" s="82">
        <f>IF('1B'!B16&lt;&gt;"",'1B'!J16,"")</f>
        <v/>
      </c>
    </row>
    <row r="367" ht="15.75" customHeight="1" s="52">
      <c r="A367" s="97">
        <f>IF('1B'!B17&lt;&gt;"","1B","")</f>
        <v/>
      </c>
      <c r="B367" s="78">
        <f>IF('1B'!B17&lt;&gt;"",'1B'!B17,"")</f>
        <v/>
      </c>
      <c r="C367" s="78">
        <f>IF('1B'!B17&lt;&gt;"",'1B'!C17,"")</f>
        <v/>
      </c>
      <c r="D367" s="78">
        <f>IF('1B'!B17&lt;&gt;"",'1B'!D17,"")</f>
        <v/>
      </c>
      <c r="E367" s="78">
        <f>IF('1B'!B17&lt;&gt;"",'1B'!E17,"")</f>
        <v/>
      </c>
      <c r="F367" s="78">
        <f>IF('1B'!B17&lt;&gt;"",'1B'!F17,"")</f>
        <v/>
      </c>
      <c r="G367" s="78">
        <f>IF('1B'!B17&lt;&gt;"",'1B'!G17,"")</f>
        <v/>
      </c>
      <c r="H367" s="97">
        <f>IF('1B'!B17&lt;&gt;"",'1B'!H17,"")</f>
        <v/>
      </c>
      <c r="I367" s="97">
        <f>IF('1B'!B17&lt;&gt;"",'1B'!I17,"")</f>
        <v/>
      </c>
      <c r="J367" s="78">
        <f>IF('1B'!B17&lt;&gt;"",'1B'!J17,"")</f>
        <v/>
      </c>
    </row>
    <row r="368" ht="15.75" customHeight="1" s="52">
      <c r="A368" s="92">
        <f>IF('1B'!B18&lt;&gt;"","1B","")</f>
        <v/>
      </c>
      <c r="B368" s="82">
        <f>IF('1B'!B18&lt;&gt;"",'1B'!B18,"")</f>
        <v/>
      </c>
      <c r="C368" s="82">
        <f>IF('1B'!B18&lt;&gt;"",'1B'!C18,"")</f>
        <v/>
      </c>
      <c r="D368" s="82">
        <f>IF('1B'!B18&lt;&gt;"",'1B'!D18,"")</f>
        <v/>
      </c>
      <c r="E368" s="82">
        <f>IF('1B'!B18&lt;&gt;"",'1B'!E18,"")</f>
        <v/>
      </c>
      <c r="F368" s="82">
        <f>IF('1B'!B18&lt;&gt;"",'1B'!F18,"")</f>
        <v/>
      </c>
      <c r="G368" s="82">
        <f>IF('1B'!B18&lt;&gt;"",'1B'!G18,"")</f>
        <v/>
      </c>
      <c r="H368" s="92">
        <f>IF('1B'!B18&lt;&gt;"",'1B'!H18,"")</f>
        <v/>
      </c>
      <c r="I368" s="92">
        <f>IF('1B'!B18&lt;&gt;"",'1B'!I18,"")</f>
        <v/>
      </c>
      <c r="J368" s="82">
        <f>IF('1B'!B18&lt;&gt;"",'1B'!J18,"")</f>
        <v/>
      </c>
    </row>
    <row r="369" ht="15.75" customHeight="1" s="52">
      <c r="A369" s="97">
        <f>IF('1B'!B19&lt;&gt;"","1B","")</f>
        <v/>
      </c>
      <c r="B369" s="78">
        <f>IF('1B'!B19&lt;&gt;"",'1B'!B19,"")</f>
        <v/>
      </c>
      <c r="C369" s="78">
        <f>IF('1B'!B19&lt;&gt;"",'1B'!C19,"")</f>
        <v/>
      </c>
      <c r="D369" s="78">
        <f>IF('1B'!B19&lt;&gt;"",'1B'!D19,"")</f>
        <v/>
      </c>
      <c r="E369" s="78">
        <f>IF('1B'!B19&lt;&gt;"",'1B'!E19,"")</f>
        <v/>
      </c>
      <c r="F369" s="78">
        <f>IF('1B'!B19&lt;&gt;"",'1B'!F19,"")</f>
        <v/>
      </c>
      <c r="G369" s="78">
        <f>IF('1B'!B19&lt;&gt;"",'1B'!G19,"")</f>
        <v/>
      </c>
      <c r="H369" s="97">
        <f>IF('1B'!B19&lt;&gt;"",'1B'!H19,"")</f>
        <v/>
      </c>
      <c r="I369" s="97">
        <f>IF('1B'!B19&lt;&gt;"",'1B'!I19,"")</f>
        <v/>
      </c>
      <c r="J369" s="78">
        <f>IF('1B'!B19&lt;&gt;"",'1B'!J19,"")</f>
        <v/>
      </c>
    </row>
    <row r="370" ht="15.75" customHeight="1" s="52">
      <c r="A370" s="92">
        <f>IF('1B'!B20&lt;&gt;"","1B","")</f>
        <v/>
      </c>
      <c r="B370" s="82">
        <f>IF('1B'!B20&lt;&gt;"",'1B'!B20,"")</f>
        <v/>
      </c>
      <c r="C370" s="82">
        <f>IF('1B'!B20&lt;&gt;"",'1B'!C20,"")</f>
        <v/>
      </c>
      <c r="D370" s="82">
        <f>IF('1B'!B20&lt;&gt;"",'1B'!D20,"")</f>
        <v/>
      </c>
      <c r="E370" s="82">
        <f>IF('1B'!B20&lt;&gt;"",'1B'!E20,"")</f>
        <v/>
      </c>
      <c r="F370" s="82">
        <f>IF('1B'!B20&lt;&gt;"",'1B'!F20,"")</f>
        <v/>
      </c>
      <c r="G370" s="82">
        <f>IF('1B'!B20&lt;&gt;"",'1B'!G20,"")</f>
        <v/>
      </c>
      <c r="H370" s="92">
        <f>IF('1B'!B20&lt;&gt;"",'1B'!H20,"")</f>
        <v/>
      </c>
      <c r="I370" s="92">
        <f>IF('1B'!B20&lt;&gt;"",'1B'!I20,"")</f>
        <v/>
      </c>
      <c r="J370" s="82">
        <f>IF('1B'!B20&lt;&gt;"",'1B'!J20,"")</f>
        <v/>
      </c>
    </row>
    <row r="371" ht="15.75" customHeight="1" s="52">
      <c r="A371" s="97">
        <f>IF('1B'!B21&lt;&gt;"","1B","")</f>
        <v/>
      </c>
      <c r="B371" s="78">
        <f>IF('1B'!B21&lt;&gt;"",'1B'!B21,"")</f>
        <v/>
      </c>
      <c r="C371" s="78">
        <f>IF('1B'!B21&lt;&gt;"",'1B'!C21,"")</f>
        <v/>
      </c>
      <c r="D371" s="78">
        <f>IF('1B'!B21&lt;&gt;"",'1B'!D21,"")</f>
        <v/>
      </c>
      <c r="E371" s="78">
        <f>IF('1B'!B21&lt;&gt;"",'1B'!E21,"")</f>
        <v/>
      </c>
      <c r="F371" s="78">
        <f>IF('1B'!B21&lt;&gt;"",'1B'!F21,"")</f>
        <v/>
      </c>
      <c r="G371" s="78">
        <f>IF('1B'!B21&lt;&gt;"",'1B'!G21,"")</f>
        <v/>
      </c>
      <c r="H371" s="97">
        <f>IF('1B'!B21&lt;&gt;"",'1B'!H21,"")</f>
        <v/>
      </c>
      <c r="I371" s="97">
        <f>IF('1B'!B21&lt;&gt;"",'1B'!I21,"")</f>
        <v/>
      </c>
      <c r="J371" s="78">
        <f>IF('1B'!B21&lt;&gt;"",'1B'!J21,"")</f>
        <v/>
      </c>
    </row>
    <row r="372" ht="15.75" customHeight="1" s="52">
      <c r="A372" s="92">
        <f>IF('1B'!B22&lt;&gt;"","1B","")</f>
        <v/>
      </c>
      <c r="B372" s="82">
        <f>IF('1B'!B22&lt;&gt;"",'1B'!B22,"")</f>
        <v/>
      </c>
      <c r="C372" s="82">
        <f>IF('1B'!B22&lt;&gt;"",'1B'!C22,"")</f>
        <v/>
      </c>
      <c r="D372" s="82">
        <f>IF('1B'!B22&lt;&gt;"",'1B'!D22,"")</f>
        <v/>
      </c>
      <c r="E372" s="82">
        <f>IF('1B'!B22&lt;&gt;"",'1B'!E22,"")</f>
        <v/>
      </c>
      <c r="F372" s="82">
        <f>IF('1B'!B22&lt;&gt;"",'1B'!F22,"")</f>
        <v/>
      </c>
      <c r="G372" s="82">
        <f>IF('1B'!B22&lt;&gt;"",'1B'!G22,"")</f>
        <v/>
      </c>
      <c r="H372" s="92">
        <f>IF('1B'!B22&lt;&gt;"",'1B'!H22,"")</f>
        <v/>
      </c>
      <c r="I372" s="92">
        <f>IF('1B'!B22&lt;&gt;"",'1B'!I22,"")</f>
        <v/>
      </c>
      <c r="J372" s="82">
        <f>IF('1B'!B22&lt;&gt;"",'1B'!J22,"")</f>
        <v/>
      </c>
    </row>
    <row r="373" ht="15.75" customHeight="1" s="52">
      <c r="A373" s="97">
        <f>IF('1B'!B23&lt;&gt;"","1B","")</f>
        <v/>
      </c>
      <c r="B373" s="78">
        <f>IF('1B'!B23&lt;&gt;"",'1B'!B23,"")</f>
        <v/>
      </c>
      <c r="C373" s="78">
        <f>IF('1B'!B23&lt;&gt;"",'1B'!C23,"")</f>
        <v/>
      </c>
      <c r="D373" s="78">
        <f>IF('1B'!B23&lt;&gt;"",'1B'!D23,"")</f>
        <v/>
      </c>
      <c r="E373" s="78">
        <f>IF('1B'!B23&lt;&gt;"",'1B'!E23,"")</f>
        <v/>
      </c>
      <c r="F373" s="78">
        <f>IF('1B'!B23&lt;&gt;"",'1B'!F23,"")</f>
        <v/>
      </c>
      <c r="G373" s="78">
        <f>IF('1B'!B23&lt;&gt;"",'1B'!G23,"")</f>
        <v/>
      </c>
      <c r="H373" s="97">
        <f>IF('1B'!B23&lt;&gt;"",'1B'!H23,"")</f>
        <v/>
      </c>
      <c r="I373" s="97">
        <f>IF('1B'!B23&lt;&gt;"",'1B'!I23,"")</f>
        <v/>
      </c>
      <c r="J373" s="78">
        <f>IF('1B'!B23&lt;&gt;"",'1B'!J23,"")</f>
        <v/>
      </c>
    </row>
    <row r="374" ht="15.75" customHeight="1" s="52">
      <c r="A374" s="92">
        <f>IF('1B'!B24&lt;&gt;"","1B","")</f>
        <v/>
      </c>
      <c r="B374" s="82">
        <f>IF('1B'!B24&lt;&gt;"",'1B'!B24,"")</f>
        <v/>
      </c>
      <c r="C374" s="82">
        <f>IF('1B'!B24&lt;&gt;"",'1B'!C24,"")</f>
        <v/>
      </c>
      <c r="D374" s="82">
        <f>IF('1B'!B24&lt;&gt;"",'1B'!D24,"")</f>
        <v/>
      </c>
      <c r="E374" s="82">
        <f>IF('1B'!B24&lt;&gt;"",'1B'!E24,"")</f>
        <v/>
      </c>
      <c r="F374" s="82">
        <f>IF('1B'!B24&lt;&gt;"",'1B'!F24,"")</f>
        <v/>
      </c>
      <c r="G374" s="82">
        <f>IF('1B'!B24&lt;&gt;"",'1B'!G24,"")</f>
        <v/>
      </c>
      <c r="H374" s="92">
        <f>IF('1B'!B24&lt;&gt;"",'1B'!H24,"")</f>
        <v/>
      </c>
      <c r="I374" s="92">
        <f>IF('1B'!B24&lt;&gt;"",'1B'!I24,"")</f>
        <v/>
      </c>
      <c r="J374" s="82">
        <f>IF('1B'!B24&lt;&gt;"",'1B'!J24,"")</f>
        <v/>
      </c>
    </row>
    <row r="375" ht="15.75" customHeight="1" s="52">
      <c r="A375" s="97">
        <f>IF('1B'!B25&lt;&gt;"","1B","")</f>
        <v/>
      </c>
      <c r="B375" s="78">
        <f>IF('1B'!B25&lt;&gt;"",'1B'!B25,"")</f>
        <v/>
      </c>
      <c r="C375" s="78">
        <f>IF('1B'!B25&lt;&gt;"",'1B'!C25,"")</f>
        <v/>
      </c>
      <c r="D375" s="78">
        <f>IF('1B'!B25&lt;&gt;"",'1B'!D25,"")</f>
        <v/>
      </c>
      <c r="E375" s="78">
        <f>IF('1B'!B25&lt;&gt;"",'1B'!E25,"")</f>
        <v/>
      </c>
      <c r="F375" s="78">
        <f>IF('1B'!B25&lt;&gt;"",'1B'!F25,"")</f>
        <v/>
      </c>
      <c r="G375" s="78">
        <f>IF('1B'!B25&lt;&gt;"",'1B'!G25,"")</f>
        <v/>
      </c>
      <c r="H375" s="97">
        <f>IF('1B'!B25&lt;&gt;"",'1B'!H25,"")</f>
        <v/>
      </c>
      <c r="I375" s="97">
        <f>IF('1B'!B25&lt;&gt;"",'1B'!I25,"")</f>
        <v/>
      </c>
      <c r="J375" s="78">
        <f>IF('1B'!B25&lt;&gt;"",'1B'!J25,"")</f>
        <v/>
      </c>
    </row>
    <row r="376" ht="15.75" customHeight="1" s="52">
      <c r="A376" s="92">
        <f>IF('1B'!B26&lt;&gt;"","1B","")</f>
        <v/>
      </c>
      <c r="B376" s="82">
        <f>IF('1B'!B26&lt;&gt;"",'1B'!B26,"")</f>
        <v/>
      </c>
      <c r="C376" s="82">
        <f>IF('1B'!B26&lt;&gt;"",'1B'!C26,"")</f>
        <v/>
      </c>
      <c r="D376" s="82">
        <f>IF('1B'!B26&lt;&gt;"",'1B'!D26,"")</f>
        <v/>
      </c>
      <c r="E376" s="82">
        <f>IF('1B'!B26&lt;&gt;"",'1B'!E26,"")</f>
        <v/>
      </c>
      <c r="F376" s="82">
        <f>IF('1B'!B26&lt;&gt;"",'1B'!F26,"")</f>
        <v/>
      </c>
      <c r="G376" s="82">
        <f>IF('1B'!B26&lt;&gt;"",'1B'!G26,"")</f>
        <v/>
      </c>
      <c r="H376" s="92">
        <f>IF('1B'!B26&lt;&gt;"",'1B'!H26,"")</f>
        <v/>
      </c>
      <c r="I376" s="92">
        <f>IF('1B'!B26&lt;&gt;"",'1B'!I26,"")</f>
        <v/>
      </c>
      <c r="J376" s="82">
        <f>IF('1B'!B26&lt;&gt;"",'1B'!J26,"")</f>
        <v/>
      </c>
    </row>
    <row r="377" ht="15.75" customHeight="1" s="52">
      <c r="A377" s="97">
        <f>IF('1B'!B27&lt;&gt;"","1B","")</f>
        <v/>
      </c>
      <c r="B377" s="78">
        <f>IF('1B'!B27&lt;&gt;"",'1B'!B27,"")</f>
        <v/>
      </c>
      <c r="C377" s="78">
        <f>IF('1B'!B27&lt;&gt;"",'1B'!C27,"")</f>
        <v/>
      </c>
      <c r="D377" s="78">
        <f>IF('1B'!B27&lt;&gt;"",'1B'!D27,"")</f>
        <v/>
      </c>
      <c r="E377" s="78">
        <f>IF('1B'!B27&lt;&gt;"",'1B'!E27,"")</f>
        <v/>
      </c>
      <c r="F377" s="78">
        <f>IF('1B'!B27&lt;&gt;"",'1B'!F27,"")</f>
        <v/>
      </c>
      <c r="G377" s="78">
        <f>IF('1B'!B27&lt;&gt;"",'1B'!G27,"")</f>
        <v/>
      </c>
      <c r="H377" s="97">
        <f>IF('1B'!B27&lt;&gt;"",'1B'!H27,"")</f>
        <v/>
      </c>
      <c r="I377" s="97">
        <f>IF('1B'!B27&lt;&gt;"",'1B'!I27,"")</f>
        <v/>
      </c>
      <c r="J377" s="78">
        <f>IF('1B'!B27&lt;&gt;"",'1B'!J27,"")</f>
        <v/>
      </c>
    </row>
    <row r="378" ht="15.75" customHeight="1" s="52">
      <c r="A378" s="92">
        <f>IF('1B'!B28&lt;&gt;"","1B","")</f>
        <v/>
      </c>
      <c r="B378" s="82">
        <f>IF('1B'!B28&lt;&gt;"",'1B'!B28,"")</f>
        <v/>
      </c>
      <c r="C378" s="82">
        <f>IF('1B'!B28&lt;&gt;"",'1B'!C28,"")</f>
        <v/>
      </c>
      <c r="D378" s="82">
        <f>IF('1B'!B28&lt;&gt;"",'1B'!D28,"")</f>
        <v/>
      </c>
      <c r="E378" s="82">
        <f>IF('1B'!B28&lt;&gt;"",'1B'!E28,"")</f>
        <v/>
      </c>
      <c r="F378" s="82">
        <f>IF('1B'!B28&lt;&gt;"",'1B'!F28,"")</f>
        <v/>
      </c>
      <c r="G378" s="82">
        <f>IF('1B'!B28&lt;&gt;"",'1B'!G28,"")</f>
        <v/>
      </c>
      <c r="H378" s="92">
        <f>IF('1B'!B28&lt;&gt;"",'1B'!H28,"")</f>
        <v/>
      </c>
      <c r="I378" s="92">
        <f>IF('1B'!B28&lt;&gt;"",'1B'!I28,"")</f>
        <v/>
      </c>
      <c r="J378" s="82">
        <f>IF('1B'!B28&lt;&gt;"",'1B'!J28,"")</f>
        <v/>
      </c>
    </row>
    <row r="379" ht="15.75" customHeight="1" s="52">
      <c r="A379" s="97">
        <f>IF('1B'!B29&lt;&gt;"","1B","")</f>
        <v/>
      </c>
      <c r="B379" s="78">
        <f>IF('1B'!B29&lt;&gt;"",'1B'!B29,"")</f>
        <v/>
      </c>
      <c r="C379" s="78">
        <f>IF('1B'!B29&lt;&gt;"",'1B'!C29,"")</f>
        <v/>
      </c>
      <c r="D379" s="78">
        <f>IF('1B'!B29&lt;&gt;"",'1B'!D29,"")</f>
        <v/>
      </c>
      <c r="E379" s="78">
        <f>IF('1B'!B29&lt;&gt;"",'1B'!E29,"")</f>
        <v/>
      </c>
      <c r="F379" s="78">
        <f>IF('1B'!B29&lt;&gt;"",'1B'!F29,"")</f>
        <v/>
      </c>
      <c r="G379" s="78">
        <f>IF('1B'!B29&lt;&gt;"",'1B'!G29,"")</f>
        <v/>
      </c>
      <c r="H379" s="97">
        <f>IF('1B'!B29&lt;&gt;"",'1B'!H29,"")</f>
        <v/>
      </c>
      <c r="I379" s="97">
        <f>IF('1B'!B29&lt;&gt;"",'1B'!I29,"")</f>
        <v/>
      </c>
      <c r="J379" s="78">
        <f>IF('1B'!B29&lt;&gt;"",'1B'!J29,"")</f>
        <v/>
      </c>
    </row>
    <row r="380" ht="15.75" customHeight="1" s="52">
      <c r="A380" s="92">
        <f>IF('1B'!B30&lt;&gt;"","1B","")</f>
        <v/>
      </c>
      <c r="B380" s="82">
        <f>IF('1B'!B30&lt;&gt;"",'1B'!B30,"")</f>
        <v/>
      </c>
      <c r="C380" s="82">
        <f>IF('1B'!B30&lt;&gt;"",'1B'!C30,"")</f>
        <v/>
      </c>
      <c r="D380" s="82">
        <f>IF('1B'!B30&lt;&gt;"",'1B'!D30,"")</f>
        <v/>
      </c>
      <c r="E380" s="82">
        <f>IF('1B'!B30&lt;&gt;"",'1B'!E30,"")</f>
        <v/>
      </c>
      <c r="F380" s="82">
        <f>IF('1B'!B30&lt;&gt;"",'1B'!F30,"")</f>
        <v/>
      </c>
      <c r="G380" s="82">
        <f>IF('1B'!B30&lt;&gt;"",'1B'!G30,"")</f>
        <v/>
      </c>
      <c r="H380" s="92">
        <f>IF('1B'!B30&lt;&gt;"",'1B'!H30,"")</f>
        <v/>
      </c>
      <c r="I380" s="92">
        <f>IF('1B'!B30&lt;&gt;"",'1B'!I30,"")</f>
        <v/>
      </c>
      <c r="J380" s="82">
        <f>IF('1B'!B30&lt;&gt;"",'1B'!J30,"")</f>
        <v/>
      </c>
    </row>
    <row r="381" ht="15.75" customHeight="1" s="52">
      <c r="A381" s="97">
        <f>IF('1B'!B31&lt;&gt;"","1B","")</f>
        <v/>
      </c>
      <c r="B381" s="78">
        <f>IF('1B'!B31&lt;&gt;"",'1B'!B31,"")</f>
        <v/>
      </c>
      <c r="C381" s="78">
        <f>IF('1B'!B31&lt;&gt;"",'1B'!C31,"")</f>
        <v/>
      </c>
      <c r="D381" s="78">
        <f>IF('1B'!B31&lt;&gt;"",'1B'!D31,"")</f>
        <v/>
      </c>
      <c r="E381" s="78">
        <f>IF('1B'!B31&lt;&gt;"",'1B'!E31,"")</f>
        <v/>
      </c>
      <c r="F381" s="78">
        <f>IF('1B'!B31&lt;&gt;"",'1B'!F31,"")</f>
        <v/>
      </c>
      <c r="G381" s="78">
        <f>IF('1B'!B31&lt;&gt;"",'1B'!G31,"")</f>
        <v/>
      </c>
      <c r="H381" s="97">
        <f>IF('1B'!B31&lt;&gt;"",'1B'!H31,"")</f>
        <v/>
      </c>
      <c r="I381" s="97">
        <f>IF('1B'!B31&lt;&gt;"",'1B'!I31,"")</f>
        <v/>
      </c>
      <c r="J381" s="78">
        <f>IF('1B'!B31&lt;&gt;"",'1B'!J31,"")</f>
        <v/>
      </c>
    </row>
    <row r="382" ht="15.75" customHeight="1" s="52">
      <c r="A382" s="92">
        <f>IF('1B'!B32&lt;&gt;"","1B","")</f>
        <v/>
      </c>
      <c r="B382" s="82">
        <f>IF('1B'!B32&lt;&gt;"",'1B'!B32,"")</f>
        <v/>
      </c>
      <c r="C382" s="82">
        <f>IF('1B'!B32&lt;&gt;"",'1B'!C32,"")</f>
        <v/>
      </c>
      <c r="D382" s="82">
        <f>IF('1B'!B32&lt;&gt;"",'1B'!D32,"")</f>
        <v/>
      </c>
      <c r="E382" s="82">
        <f>IF('1B'!B32&lt;&gt;"",'1B'!E32,"")</f>
        <v/>
      </c>
      <c r="F382" s="82">
        <f>IF('1B'!B32&lt;&gt;"",'1B'!F32,"")</f>
        <v/>
      </c>
      <c r="G382" s="82">
        <f>IF('1B'!B32&lt;&gt;"",'1B'!G32,"")</f>
        <v/>
      </c>
      <c r="H382" s="92">
        <f>IF('1B'!B32&lt;&gt;"",'1B'!H32,"")</f>
        <v/>
      </c>
      <c r="I382" s="92">
        <f>IF('1B'!B32&lt;&gt;"",'1B'!I32,"")</f>
        <v/>
      </c>
      <c r="J382" s="82">
        <f>IF('1B'!B32&lt;&gt;"",'1B'!J32,"")</f>
        <v/>
      </c>
    </row>
    <row r="383" ht="15.75" customHeight="1" s="52">
      <c r="A383" s="97">
        <f>IF('1B'!B33&lt;&gt;"","1B","")</f>
        <v/>
      </c>
      <c r="B383" s="78">
        <f>IF('1B'!B33&lt;&gt;"",'1B'!B33,"")</f>
        <v/>
      </c>
      <c r="C383" s="78">
        <f>IF('1B'!B33&lt;&gt;"",'1B'!C33,"")</f>
        <v/>
      </c>
      <c r="D383" s="78">
        <f>IF('1B'!B33&lt;&gt;"",'1B'!D33,"")</f>
        <v/>
      </c>
      <c r="E383" s="78">
        <f>IF('1B'!B33&lt;&gt;"",'1B'!E33,"")</f>
        <v/>
      </c>
      <c r="F383" s="78">
        <f>IF('1B'!B33&lt;&gt;"",'1B'!F33,"")</f>
        <v/>
      </c>
      <c r="G383" s="78">
        <f>IF('1B'!B33&lt;&gt;"",'1B'!G33,"")</f>
        <v/>
      </c>
      <c r="H383" s="97">
        <f>IF('1B'!B33&lt;&gt;"",'1B'!H33,"")</f>
        <v/>
      </c>
      <c r="I383" s="97">
        <f>IF('1B'!B33&lt;&gt;"",'1B'!I33,"")</f>
        <v/>
      </c>
      <c r="J383" s="78">
        <f>IF('1B'!B33&lt;&gt;"",'1B'!J33,"")</f>
        <v/>
      </c>
    </row>
    <row r="384" ht="15.75" customHeight="1" s="52">
      <c r="A384" s="92">
        <f>IF('1B'!B34&lt;&gt;"","1B","")</f>
        <v/>
      </c>
      <c r="B384" s="82">
        <f>IF('1B'!B34&lt;&gt;"",'1B'!B34,"")</f>
        <v/>
      </c>
      <c r="C384" s="82">
        <f>IF('1B'!B34&lt;&gt;"",'1B'!C34,"")</f>
        <v/>
      </c>
      <c r="D384" s="82">
        <f>IF('1B'!B34&lt;&gt;"",'1B'!D34,"")</f>
        <v/>
      </c>
      <c r="E384" s="82">
        <f>IF('1B'!B34&lt;&gt;"",'1B'!E34,"")</f>
        <v/>
      </c>
      <c r="F384" s="82">
        <f>IF('1B'!B34&lt;&gt;"",'1B'!F34,"")</f>
        <v/>
      </c>
      <c r="G384" s="82">
        <f>IF('1B'!B34&lt;&gt;"",'1B'!G34,"")</f>
        <v/>
      </c>
      <c r="H384" s="92">
        <f>IF('1B'!B34&lt;&gt;"",'1B'!H34,"")</f>
        <v/>
      </c>
      <c r="I384" s="92">
        <f>IF('1B'!B34&lt;&gt;"",'1B'!I34,"")</f>
        <v/>
      </c>
      <c r="J384" s="82">
        <f>IF('1B'!B34&lt;&gt;"",'1B'!J34,"")</f>
        <v/>
      </c>
    </row>
    <row r="385" ht="15.75" customHeight="1" s="52">
      <c r="A385" s="97">
        <f>IF('1B'!B35&lt;&gt;"","1B","")</f>
        <v/>
      </c>
      <c r="B385" s="78">
        <f>IF('1B'!B35&lt;&gt;"",'1B'!B35,"")</f>
        <v/>
      </c>
      <c r="C385" s="78">
        <f>IF('1B'!B35&lt;&gt;"",'1B'!C35,"")</f>
        <v/>
      </c>
      <c r="D385" s="78">
        <f>IF('1B'!B35&lt;&gt;"",'1B'!D35,"")</f>
        <v/>
      </c>
      <c r="E385" s="78">
        <f>IF('1B'!B35&lt;&gt;"",'1B'!E35,"")</f>
        <v/>
      </c>
      <c r="F385" s="78">
        <f>IF('1B'!B35&lt;&gt;"",'1B'!F35,"")</f>
        <v/>
      </c>
      <c r="G385" s="78">
        <f>IF('1B'!B35&lt;&gt;"",'1B'!G35,"")</f>
        <v/>
      </c>
      <c r="H385" s="97">
        <f>IF('1B'!B35&lt;&gt;"",'1B'!H35,"")</f>
        <v/>
      </c>
      <c r="I385" s="97">
        <f>IF('1B'!B35&lt;&gt;"",'1B'!I35,"")</f>
        <v/>
      </c>
      <c r="J385" s="78">
        <f>IF('1B'!B35&lt;&gt;"",'1B'!J35,"")</f>
        <v/>
      </c>
    </row>
    <row r="386" ht="15.75" customHeight="1" s="52">
      <c r="A386" s="92">
        <f>IF('1B'!B36&lt;&gt;"","1B","")</f>
        <v/>
      </c>
      <c r="B386" s="82">
        <f>IF('1B'!B36&lt;&gt;"",'1B'!B36,"")</f>
        <v/>
      </c>
      <c r="C386" s="82">
        <f>IF('1B'!B36&lt;&gt;"",'1B'!C36,"")</f>
        <v/>
      </c>
      <c r="D386" s="82">
        <f>IF('1B'!B36&lt;&gt;"",'1B'!D36,"")</f>
        <v/>
      </c>
      <c r="E386" s="82">
        <f>IF('1B'!B36&lt;&gt;"",'1B'!E36,"")</f>
        <v/>
      </c>
      <c r="F386" s="82">
        <f>IF('1B'!B36&lt;&gt;"",'1B'!F36,"")</f>
        <v/>
      </c>
      <c r="G386" s="82">
        <f>IF('1B'!B36&lt;&gt;"",'1B'!G36,"")</f>
        <v/>
      </c>
      <c r="H386" s="92">
        <f>IF('1B'!B36&lt;&gt;"",'1B'!H36,"")</f>
        <v/>
      </c>
      <c r="I386" s="92">
        <f>IF('1B'!B36&lt;&gt;"",'1B'!I36,"")</f>
        <v/>
      </c>
      <c r="J386" s="82">
        <f>IF('1B'!B36&lt;&gt;"",'1B'!J36,"")</f>
        <v/>
      </c>
    </row>
    <row r="387" ht="15.75" customHeight="1" s="52">
      <c r="A387" s="97">
        <f>IF('1B'!B37&lt;&gt;"","1B","")</f>
        <v/>
      </c>
      <c r="B387" s="78">
        <f>IF('1B'!B37&lt;&gt;"",'1B'!B37,"")</f>
        <v/>
      </c>
      <c r="C387" s="78">
        <f>IF('1B'!B37&lt;&gt;"",'1B'!C37,"")</f>
        <v/>
      </c>
      <c r="D387" s="78">
        <f>IF('1B'!B37&lt;&gt;"",'1B'!D37,"")</f>
        <v/>
      </c>
      <c r="E387" s="78">
        <f>IF('1B'!B37&lt;&gt;"",'1B'!E37,"")</f>
        <v/>
      </c>
      <c r="F387" s="78">
        <f>IF('1B'!B37&lt;&gt;"",'1B'!F37,"")</f>
        <v/>
      </c>
      <c r="G387" s="78">
        <f>IF('1B'!B37&lt;&gt;"",'1B'!G37,"")</f>
        <v/>
      </c>
      <c r="H387" s="97">
        <f>IF('1B'!B37&lt;&gt;"",'1B'!H37,"")</f>
        <v/>
      </c>
      <c r="I387" s="97">
        <f>IF('1B'!B37&lt;&gt;"",'1B'!I37,"")</f>
        <v/>
      </c>
      <c r="J387" s="78">
        <f>IF('1B'!B37&lt;&gt;"",'1B'!J37,"")</f>
        <v/>
      </c>
    </row>
    <row r="388" ht="15.75" customHeight="1" s="52">
      <c r="A388" s="92">
        <f>IF('1B'!B38&lt;&gt;"","1B","")</f>
        <v/>
      </c>
      <c r="B388" s="82">
        <f>IF('1B'!B38&lt;&gt;"",'1B'!B38,"")</f>
        <v/>
      </c>
      <c r="C388" s="82">
        <f>IF('1B'!B38&lt;&gt;"",'1B'!C38,"")</f>
        <v/>
      </c>
      <c r="D388" s="82">
        <f>IF('1B'!B38&lt;&gt;"",'1B'!D38,"")</f>
        <v/>
      </c>
      <c r="E388" s="82">
        <f>IF('1B'!B38&lt;&gt;"",'1B'!E38,"")</f>
        <v/>
      </c>
      <c r="F388" s="82">
        <f>IF('1B'!B38&lt;&gt;"",'1B'!F38,"")</f>
        <v/>
      </c>
      <c r="G388" s="82">
        <f>IF('1B'!B38&lt;&gt;"",'1B'!G38,"")</f>
        <v/>
      </c>
      <c r="H388" s="92">
        <f>IF('1B'!B38&lt;&gt;"",'1B'!H38,"")</f>
        <v/>
      </c>
      <c r="I388" s="92">
        <f>IF('1B'!B38&lt;&gt;"",'1B'!I38,"")</f>
        <v/>
      </c>
      <c r="J388" s="82">
        <f>IF('1B'!B38&lt;&gt;"",'1B'!J38,"")</f>
        <v/>
      </c>
    </row>
    <row r="389" ht="15.75" customHeight="1" s="52">
      <c r="A389" s="97">
        <f>IF('1B'!B39&lt;&gt;"","1B","")</f>
        <v/>
      </c>
      <c r="B389" s="78">
        <f>IF('1B'!B39&lt;&gt;"",'1B'!B39,"")</f>
        <v/>
      </c>
      <c r="C389" s="78">
        <f>IF('1B'!B39&lt;&gt;"",'1B'!C39,"")</f>
        <v/>
      </c>
      <c r="D389" s="78">
        <f>IF('1B'!B39&lt;&gt;"",'1B'!D39,"")</f>
        <v/>
      </c>
      <c r="E389" s="78">
        <f>IF('1B'!B39&lt;&gt;"",'1B'!E39,"")</f>
        <v/>
      </c>
      <c r="F389" s="78">
        <f>IF('1B'!B39&lt;&gt;"",'1B'!F39,"")</f>
        <v/>
      </c>
      <c r="G389" s="78">
        <f>IF('1B'!B39&lt;&gt;"",'1B'!G39,"")</f>
        <v/>
      </c>
      <c r="H389" s="97">
        <f>IF('1B'!B39&lt;&gt;"",'1B'!H39,"")</f>
        <v/>
      </c>
      <c r="I389" s="97">
        <f>IF('1B'!B39&lt;&gt;"",'1B'!I39,"")</f>
        <v/>
      </c>
      <c r="J389" s="78">
        <f>IF('1B'!B39&lt;&gt;"",'1B'!J39,"")</f>
        <v/>
      </c>
    </row>
    <row r="390" ht="15.75" customHeight="1" s="52">
      <c r="A390" s="92">
        <f>IF('1B'!B40&lt;&gt;"","1B","")</f>
        <v/>
      </c>
      <c r="B390" s="82">
        <f>IF('1B'!B40&lt;&gt;"",'1B'!B40,"")</f>
        <v/>
      </c>
      <c r="C390" s="82">
        <f>IF('1B'!B40&lt;&gt;"",'1B'!C40,"")</f>
        <v/>
      </c>
      <c r="D390" s="82">
        <f>IF('1B'!B40&lt;&gt;"",'1B'!D40,"")</f>
        <v/>
      </c>
      <c r="E390" s="82">
        <f>IF('1B'!B40&lt;&gt;"",'1B'!E40,"")</f>
        <v/>
      </c>
      <c r="F390" s="82">
        <f>IF('1B'!B40&lt;&gt;"",'1B'!F40,"")</f>
        <v/>
      </c>
      <c r="G390" s="82">
        <f>IF('1B'!B40&lt;&gt;"",'1B'!G40,"")</f>
        <v/>
      </c>
      <c r="H390" s="92">
        <f>IF('1B'!B40&lt;&gt;"",'1B'!H40,"")</f>
        <v/>
      </c>
      <c r="I390" s="92">
        <f>IF('1B'!B40&lt;&gt;"",'1B'!I40,"")</f>
        <v/>
      </c>
      <c r="J390" s="82">
        <f>IF('1B'!B40&lt;&gt;"",'1B'!J40,"")</f>
        <v/>
      </c>
    </row>
    <row r="391" ht="15.75" customHeight="1" s="52">
      <c r="A391" s="97">
        <f>IF('1B'!B41&lt;&gt;"","1B","")</f>
        <v/>
      </c>
      <c r="B391" s="78">
        <f>IF('1B'!B41&lt;&gt;"",'1B'!B41,"")</f>
        <v/>
      </c>
      <c r="C391" s="78">
        <f>IF('1B'!B41&lt;&gt;"",'1B'!C41,"")</f>
        <v/>
      </c>
      <c r="D391" s="78">
        <f>IF('1B'!B41&lt;&gt;"",'1B'!D41,"")</f>
        <v/>
      </c>
      <c r="E391" s="78">
        <f>IF('1B'!B41&lt;&gt;"",'1B'!E41,"")</f>
        <v/>
      </c>
      <c r="F391" s="78">
        <f>IF('1B'!B41&lt;&gt;"",'1B'!F41,"")</f>
        <v/>
      </c>
      <c r="G391" s="78">
        <f>IF('1B'!B41&lt;&gt;"",'1B'!G41,"")</f>
        <v/>
      </c>
      <c r="H391" s="97">
        <f>IF('1B'!B41&lt;&gt;"",'1B'!H41,"")</f>
        <v/>
      </c>
      <c r="I391" s="97">
        <f>IF('1B'!B41&lt;&gt;"",'1B'!I41,"")</f>
        <v/>
      </c>
      <c r="J391" s="78">
        <f>IF('1B'!B41&lt;&gt;"",'1B'!J41,"")</f>
        <v/>
      </c>
    </row>
    <row r="392" ht="15.75" customHeight="1" s="52">
      <c r="A392" s="92">
        <f>IF('1B'!B42&lt;&gt;"","1B","")</f>
        <v/>
      </c>
      <c r="B392" s="82">
        <f>IF('1B'!B42&lt;&gt;"",'1B'!B42,"")</f>
        <v/>
      </c>
      <c r="C392" s="82">
        <f>IF('1B'!B42&lt;&gt;"",'1B'!C42,"")</f>
        <v/>
      </c>
      <c r="D392" s="82">
        <f>IF('1B'!B42&lt;&gt;"",'1B'!D42,"")</f>
        <v/>
      </c>
      <c r="E392" s="82">
        <f>IF('1B'!B42&lt;&gt;"",'1B'!E42,"")</f>
        <v/>
      </c>
      <c r="F392" s="82">
        <f>IF('1B'!B42&lt;&gt;"",'1B'!F42,"")</f>
        <v/>
      </c>
      <c r="G392" s="82">
        <f>IF('1B'!B42&lt;&gt;"",'1B'!G42,"")</f>
        <v/>
      </c>
      <c r="H392" s="92">
        <f>IF('1B'!B42&lt;&gt;"",'1B'!H42,"")</f>
        <v/>
      </c>
      <c r="I392" s="92">
        <f>IF('1B'!B42&lt;&gt;"",'1B'!I42,"")</f>
        <v/>
      </c>
      <c r="J392" s="82">
        <f>IF('1B'!B42&lt;&gt;"",'1B'!J42,"")</f>
        <v/>
      </c>
    </row>
    <row r="393" ht="15.75" customHeight="1" s="52">
      <c r="A393" s="97">
        <f>IF('1B'!B43&lt;&gt;"","1B","")</f>
        <v/>
      </c>
      <c r="B393" s="78">
        <f>IF('1B'!B43&lt;&gt;"",'1B'!B43,"")</f>
        <v/>
      </c>
      <c r="C393" s="78">
        <f>IF('1B'!B43&lt;&gt;"",'1B'!C43,"")</f>
        <v/>
      </c>
      <c r="D393" s="78">
        <f>IF('1B'!B43&lt;&gt;"",'1B'!D43,"")</f>
        <v/>
      </c>
      <c r="E393" s="78">
        <f>IF('1B'!B43&lt;&gt;"",'1B'!E43,"")</f>
        <v/>
      </c>
      <c r="F393" s="78">
        <f>IF('1B'!B43&lt;&gt;"",'1B'!F43,"")</f>
        <v/>
      </c>
      <c r="G393" s="78">
        <f>IF('1B'!B43&lt;&gt;"",'1B'!G43,"")</f>
        <v/>
      </c>
      <c r="H393" s="97">
        <f>IF('1B'!B43&lt;&gt;"",'1B'!H43,"")</f>
        <v/>
      </c>
      <c r="I393" s="97">
        <f>IF('1B'!B43&lt;&gt;"",'1B'!I43,"")</f>
        <v/>
      </c>
      <c r="J393" s="78">
        <f>IF('1B'!B43&lt;&gt;"",'1B'!J43,"")</f>
        <v/>
      </c>
    </row>
    <row r="394" ht="15.75" customHeight="1" s="52">
      <c r="A394" s="92">
        <f>IF('1B'!B44&lt;&gt;"","1B","")</f>
        <v/>
      </c>
      <c r="B394" s="82">
        <f>IF('1B'!B44&lt;&gt;"",'1B'!B44,"")</f>
        <v/>
      </c>
      <c r="C394" s="82">
        <f>IF('1B'!B44&lt;&gt;"",'1B'!C44,"")</f>
        <v/>
      </c>
      <c r="D394" s="82">
        <f>IF('1B'!B44&lt;&gt;"",'1B'!D44,"")</f>
        <v/>
      </c>
      <c r="E394" s="82">
        <f>IF('1B'!B44&lt;&gt;"",'1B'!E44,"")</f>
        <v/>
      </c>
      <c r="F394" s="82">
        <f>IF('1B'!B44&lt;&gt;"",'1B'!F44,"")</f>
        <v/>
      </c>
      <c r="G394" s="82">
        <f>IF('1B'!B44&lt;&gt;"",'1B'!G44,"")</f>
        <v/>
      </c>
      <c r="H394" s="92">
        <f>IF('1B'!B44&lt;&gt;"",'1B'!H44,"")</f>
        <v/>
      </c>
      <c r="I394" s="92">
        <f>IF('1B'!B44&lt;&gt;"",'1B'!I44,"")</f>
        <v/>
      </c>
      <c r="J394" s="82">
        <f>IF('1B'!B44&lt;&gt;"",'1B'!J44,"")</f>
        <v/>
      </c>
    </row>
    <row r="395" ht="15.75" customHeight="1" s="52">
      <c r="A395" s="97">
        <f>IF('1B'!B45&lt;&gt;"","1B","")</f>
        <v/>
      </c>
      <c r="B395" s="78">
        <f>IF('1B'!B45&lt;&gt;"",'1B'!B45,"")</f>
        <v/>
      </c>
      <c r="C395" s="78">
        <f>IF('1B'!B45&lt;&gt;"",'1B'!C45,"")</f>
        <v/>
      </c>
      <c r="D395" s="78">
        <f>IF('1B'!B45&lt;&gt;"",'1B'!D45,"")</f>
        <v/>
      </c>
      <c r="E395" s="78">
        <f>IF('1B'!B45&lt;&gt;"",'1B'!E45,"")</f>
        <v/>
      </c>
      <c r="F395" s="78">
        <f>IF('1B'!B45&lt;&gt;"",'1B'!F45,"")</f>
        <v/>
      </c>
      <c r="G395" s="78">
        <f>IF('1B'!B45&lt;&gt;"",'1B'!G45,"")</f>
        <v/>
      </c>
      <c r="H395" s="97">
        <f>IF('1B'!B45&lt;&gt;"",'1B'!H45,"")</f>
        <v/>
      </c>
      <c r="I395" s="97">
        <f>IF('1B'!B45&lt;&gt;"",'1B'!I45,"")</f>
        <v/>
      </c>
      <c r="J395" s="78">
        <f>IF('1B'!B45&lt;&gt;"",'1B'!J45,"")</f>
        <v/>
      </c>
    </row>
    <row r="396" ht="15.75" customHeight="1" s="52">
      <c r="A396" s="92">
        <f>IF('1B'!B46&lt;&gt;"","1B","")</f>
        <v/>
      </c>
      <c r="B396" s="82">
        <f>IF('1B'!B46&lt;&gt;"",'1B'!B46,"")</f>
        <v/>
      </c>
      <c r="C396" s="82">
        <f>IF('1B'!B46&lt;&gt;"",'1B'!C46,"")</f>
        <v/>
      </c>
      <c r="D396" s="82">
        <f>IF('1B'!B46&lt;&gt;"",'1B'!D46,"")</f>
        <v/>
      </c>
      <c r="E396" s="82">
        <f>IF('1B'!B46&lt;&gt;"",'1B'!E46,"")</f>
        <v/>
      </c>
      <c r="F396" s="82">
        <f>IF('1B'!B46&lt;&gt;"",'1B'!F46,"")</f>
        <v/>
      </c>
      <c r="G396" s="82">
        <f>IF('1B'!B46&lt;&gt;"",'1B'!G46,"")</f>
        <v/>
      </c>
      <c r="H396" s="92">
        <f>IF('1B'!B46&lt;&gt;"",'1B'!H46,"")</f>
        <v/>
      </c>
      <c r="I396" s="92">
        <f>IF('1B'!B46&lt;&gt;"",'1B'!I46,"")</f>
        <v/>
      </c>
      <c r="J396" s="82">
        <f>IF('1B'!B46&lt;&gt;"",'1B'!J46,"")</f>
        <v/>
      </c>
    </row>
    <row r="397" ht="15.75" customHeight="1" s="52">
      <c r="A397" s="97">
        <f>IF('1B'!B47&lt;&gt;"","1B","")</f>
        <v/>
      </c>
      <c r="B397" s="78">
        <f>IF('1B'!B47&lt;&gt;"",'1B'!B47,"")</f>
        <v/>
      </c>
      <c r="C397" s="78">
        <f>IF('1B'!B47&lt;&gt;"",'1B'!C47,"")</f>
        <v/>
      </c>
      <c r="D397" s="78">
        <f>IF('1B'!B47&lt;&gt;"",'1B'!D47,"")</f>
        <v/>
      </c>
      <c r="E397" s="78">
        <f>IF('1B'!B47&lt;&gt;"",'1B'!E47,"")</f>
        <v/>
      </c>
      <c r="F397" s="78">
        <f>IF('1B'!B47&lt;&gt;"",'1B'!F47,"")</f>
        <v/>
      </c>
      <c r="G397" s="78">
        <f>IF('1B'!B47&lt;&gt;"",'1B'!G47,"")</f>
        <v/>
      </c>
      <c r="H397" s="97">
        <f>IF('1B'!B47&lt;&gt;"",'1B'!H47,"")</f>
        <v/>
      </c>
      <c r="I397" s="97">
        <f>IF('1B'!B47&lt;&gt;"",'1B'!I47,"")</f>
        <v/>
      </c>
      <c r="J397" s="78">
        <f>IF('1B'!B47&lt;&gt;"",'1B'!J47,"")</f>
        <v/>
      </c>
    </row>
    <row r="398" ht="15.75" customHeight="1" s="52">
      <c r="A398" s="92">
        <f>IF('1B'!B48&lt;&gt;"","1B","")</f>
        <v/>
      </c>
      <c r="B398" s="82">
        <f>IF('1B'!B48&lt;&gt;"",'1B'!B48,"")</f>
        <v/>
      </c>
      <c r="C398" s="82">
        <f>IF('1B'!B48&lt;&gt;"",'1B'!C48,"")</f>
        <v/>
      </c>
      <c r="D398" s="82">
        <f>IF('1B'!B48&lt;&gt;"",'1B'!D48,"")</f>
        <v/>
      </c>
      <c r="E398" s="82">
        <f>IF('1B'!B48&lt;&gt;"",'1B'!E48,"")</f>
        <v/>
      </c>
      <c r="F398" s="82">
        <f>IF('1B'!B48&lt;&gt;"",'1B'!F48,"")</f>
        <v/>
      </c>
      <c r="G398" s="82">
        <f>IF('1B'!B48&lt;&gt;"",'1B'!G48,"")</f>
        <v/>
      </c>
      <c r="H398" s="92">
        <f>IF('1B'!B48&lt;&gt;"",'1B'!H48,"")</f>
        <v/>
      </c>
      <c r="I398" s="92">
        <f>IF('1B'!B48&lt;&gt;"",'1B'!I48,"")</f>
        <v/>
      </c>
      <c r="J398" s="82">
        <f>IF('1B'!B48&lt;&gt;"",'1B'!J48,"")</f>
        <v/>
      </c>
    </row>
    <row r="399" ht="15.75" customHeight="1" s="52">
      <c r="A399" s="97">
        <f>IF('1B'!B49&lt;&gt;"","1B","")</f>
        <v/>
      </c>
      <c r="B399" s="78">
        <f>IF('1B'!B49&lt;&gt;"",'1B'!B49,"")</f>
        <v/>
      </c>
      <c r="C399" s="78">
        <f>IF('1B'!B49&lt;&gt;"",'1B'!C49,"")</f>
        <v/>
      </c>
      <c r="D399" s="78">
        <f>IF('1B'!B49&lt;&gt;"",'1B'!D49,"")</f>
        <v/>
      </c>
      <c r="E399" s="78">
        <f>IF('1B'!B49&lt;&gt;"",'1B'!E49,"")</f>
        <v/>
      </c>
      <c r="F399" s="78">
        <f>IF('1B'!B49&lt;&gt;"",'1B'!F49,"")</f>
        <v/>
      </c>
      <c r="G399" s="78">
        <f>IF('1B'!B49&lt;&gt;"",'1B'!G49,"")</f>
        <v/>
      </c>
      <c r="H399" s="97">
        <f>IF('1B'!B49&lt;&gt;"",'1B'!H49,"")</f>
        <v/>
      </c>
      <c r="I399" s="97">
        <f>IF('1B'!B49&lt;&gt;"",'1B'!I49,"")</f>
        <v/>
      </c>
      <c r="J399" s="78">
        <f>IF('1B'!B49&lt;&gt;"",'1B'!J49,"")</f>
        <v/>
      </c>
    </row>
    <row r="400" ht="15.75" customHeight="1" s="52">
      <c r="A400" s="92">
        <f>IF('1B'!B50&lt;&gt;"","1B","")</f>
        <v/>
      </c>
      <c r="B400" s="82">
        <f>IF('1B'!B50&lt;&gt;"",'1B'!B50,"")</f>
        <v/>
      </c>
      <c r="C400" s="82">
        <f>IF('1B'!B50&lt;&gt;"",'1B'!C50,"")</f>
        <v/>
      </c>
      <c r="D400" s="82">
        <f>IF('1B'!B50&lt;&gt;"",'1B'!D50,"")</f>
        <v/>
      </c>
      <c r="E400" s="82">
        <f>IF('1B'!B50&lt;&gt;"",'1B'!E50,"")</f>
        <v/>
      </c>
      <c r="F400" s="82">
        <f>IF('1B'!B50&lt;&gt;"",'1B'!F50,"")</f>
        <v/>
      </c>
      <c r="G400" s="82">
        <f>IF('1B'!B50&lt;&gt;"",'1B'!G50,"")</f>
        <v/>
      </c>
      <c r="H400" s="92">
        <f>IF('1B'!B50&lt;&gt;"",'1B'!H50,"")</f>
        <v/>
      </c>
      <c r="I400" s="92">
        <f>IF('1B'!B50&lt;&gt;"",'1B'!I50,"")</f>
        <v/>
      </c>
      <c r="J400" s="82">
        <f>IF('1B'!B50&lt;&gt;"",'1B'!J50,"")</f>
        <v/>
      </c>
    </row>
    <row r="401" ht="15.75" customHeight="1" s="52">
      <c r="A401" s="97">
        <f>IF('1B'!B51&lt;&gt;"","1B","")</f>
        <v/>
      </c>
      <c r="B401" s="78">
        <f>IF('1B'!B51&lt;&gt;"",'1B'!B51,"")</f>
        <v/>
      </c>
      <c r="C401" s="78">
        <f>IF('1B'!B51&lt;&gt;"",'1B'!C51,"")</f>
        <v/>
      </c>
      <c r="D401" s="78">
        <f>IF('1B'!B51&lt;&gt;"",'1B'!D51,"")</f>
        <v/>
      </c>
      <c r="E401" s="78">
        <f>IF('1B'!B51&lt;&gt;"",'1B'!E51,"")</f>
        <v/>
      </c>
      <c r="F401" s="78">
        <f>IF('1B'!B51&lt;&gt;"",'1B'!F51,"")</f>
        <v/>
      </c>
      <c r="G401" s="78">
        <f>IF('1B'!B51&lt;&gt;"",'1B'!G51,"")</f>
        <v/>
      </c>
      <c r="H401" s="97">
        <f>IF('1B'!B51&lt;&gt;"",'1B'!H51,"")</f>
        <v/>
      </c>
      <c r="I401" s="97">
        <f>IF('1B'!B51&lt;&gt;"",'1B'!I51,"")</f>
        <v/>
      </c>
      <c r="J401" s="78">
        <f>IF('1B'!B51&lt;&gt;"",'1B'!J51,"")</f>
        <v/>
      </c>
    </row>
    <row r="402" ht="15.75" customHeight="1" s="52">
      <c r="A402" s="92">
        <f>IF('1B'!B52&lt;&gt;"","1B","")</f>
        <v/>
      </c>
      <c r="B402" s="82">
        <f>IF('1B'!B52&lt;&gt;"",'1B'!B52,"")</f>
        <v/>
      </c>
      <c r="C402" s="82">
        <f>IF('1B'!B52&lt;&gt;"",'1B'!C52,"")</f>
        <v/>
      </c>
      <c r="D402" s="82">
        <f>IF('1B'!B52&lt;&gt;"",'1B'!D52,"")</f>
        <v/>
      </c>
      <c r="E402" s="82">
        <f>IF('1B'!B52&lt;&gt;"",'1B'!E52,"")</f>
        <v/>
      </c>
      <c r="F402" s="82">
        <f>IF('1B'!B52&lt;&gt;"",'1B'!F52,"")</f>
        <v/>
      </c>
      <c r="G402" s="82">
        <f>IF('1B'!B52&lt;&gt;"",'1B'!G52,"")</f>
        <v/>
      </c>
      <c r="H402" s="92">
        <f>IF('1B'!B52&lt;&gt;"",'1B'!H52,"")</f>
        <v/>
      </c>
      <c r="I402" s="92">
        <f>IF('1B'!B52&lt;&gt;"",'1B'!I52,"")</f>
        <v/>
      </c>
      <c r="J402" s="82">
        <f>IF('1B'!B52&lt;&gt;"",'1B'!J52,"")</f>
        <v/>
      </c>
    </row>
    <row r="403" ht="15.75" customHeight="1" s="52">
      <c r="A403" s="97">
        <f>IF('1B'!B53&lt;&gt;"","1B","")</f>
        <v/>
      </c>
      <c r="B403" s="78">
        <f>IF('1B'!B53&lt;&gt;"",'1B'!B53,"")</f>
        <v/>
      </c>
      <c r="C403" s="78">
        <f>IF('1B'!B53&lt;&gt;"",'1B'!C53,"")</f>
        <v/>
      </c>
      <c r="D403" s="78">
        <f>IF('1B'!B53&lt;&gt;"",'1B'!D53,"")</f>
        <v/>
      </c>
      <c r="E403" s="78">
        <f>IF('1B'!B53&lt;&gt;"",'1B'!E53,"")</f>
        <v/>
      </c>
      <c r="F403" s="78">
        <f>IF('1B'!B53&lt;&gt;"",'1B'!F53,"")</f>
        <v/>
      </c>
      <c r="G403" s="78">
        <f>IF('1B'!B53&lt;&gt;"",'1B'!G53,"")</f>
        <v/>
      </c>
      <c r="H403" s="97">
        <f>IF('1B'!B53&lt;&gt;"",'1B'!H53,"")</f>
        <v/>
      </c>
      <c r="I403" s="97">
        <f>IF('1B'!B53&lt;&gt;"",'1B'!I53,"")</f>
        <v/>
      </c>
      <c r="J403" s="78">
        <f>IF('1B'!B53&lt;&gt;"",'1B'!J53,"")</f>
        <v/>
      </c>
    </row>
    <row r="404" ht="15.75" customHeight="1" s="52">
      <c r="A404" s="92">
        <f>IF('1B'!B54&lt;&gt;"","1B","")</f>
        <v/>
      </c>
      <c r="B404" s="82">
        <f>IF('1B'!B54&lt;&gt;"",'1B'!B54,"")</f>
        <v/>
      </c>
      <c r="C404" s="82">
        <f>IF('1B'!B54&lt;&gt;"",'1B'!C54,"")</f>
        <v/>
      </c>
      <c r="D404" s="82">
        <f>IF('1B'!B54&lt;&gt;"",'1B'!D54,"")</f>
        <v/>
      </c>
      <c r="E404" s="82">
        <f>IF('1B'!B54&lt;&gt;"",'1B'!E54,"")</f>
        <v/>
      </c>
      <c r="F404" s="82">
        <f>IF('1B'!B54&lt;&gt;"",'1B'!F54,"")</f>
        <v/>
      </c>
      <c r="G404" s="82">
        <f>IF('1B'!B54&lt;&gt;"",'1B'!G54,"")</f>
        <v/>
      </c>
      <c r="H404" s="92">
        <f>IF('1B'!B54&lt;&gt;"",'1B'!H54,"")</f>
        <v/>
      </c>
      <c r="I404" s="92">
        <f>IF('1B'!B54&lt;&gt;"",'1B'!I54,"")</f>
        <v/>
      </c>
      <c r="J404" s="82">
        <f>IF('1B'!B54&lt;&gt;"",'1B'!J54,"")</f>
        <v/>
      </c>
    </row>
    <row r="405" ht="15.75" customHeight="1" s="52">
      <c r="A405" s="97">
        <f>IF('1C'!B5&lt;&gt;"","1C","")</f>
        <v/>
      </c>
      <c r="B405" s="78">
        <f>IF('1C'!B5&lt;&gt;"",'1C'!B5,"")</f>
        <v/>
      </c>
      <c r="C405" s="78">
        <f>IF('1C'!B5&lt;&gt;"",'1C'!C5,"")</f>
        <v/>
      </c>
      <c r="D405" s="78">
        <f>IF('1C'!B5&lt;&gt;"",'1C'!D5,"")</f>
        <v/>
      </c>
      <c r="E405" s="78">
        <f>IF('1C'!B5&lt;&gt;"",'1C'!E5,"")</f>
        <v/>
      </c>
      <c r="F405" s="78">
        <f>IF('1C'!B5&lt;&gt;"",'1C'!F5,"")</f>
        <v/>
      </c>
      <c r="G405" s="78">
        <f>IF('1C'!B5&lt;&gt;"",'1C'!G5,"")</f>
        <v/>
      </c>
      <c r="H405" s="97">
        <f>IF('1C'!B5&lt;&gt;"",'1C'!H5,"")</f>
        <v/>
      </c>
      <c r="I405" s="97">
        <f>IF('1C'!B5&lt;&gt;"",'1C'!I5,"")</f>
        <v/>
      </c>
      <c r="J405" s="78">
        <f>IF('1C'!B5&lt;&gt;"",'1C'!J5,"")</f>
        <v/>
      </c>
    </row>
    <row r="406" ht="15.75" customHeight="1" s="52">
      <c r="A406" s="92">
        <f>IF('1C'!B6&lt;&gt;"","1C","")</f>
        <v/>
      </c>
      <c r="B406" s="82">
        <f>IF('1C'!B6&lt;&gt;"",'1C'!B6,"")</f>
        <v/>
      </c>
      <c r="C406" s="82">
        <f>IF('1C'!B6&lt;&gt;"",'1C'!C6,"")</f>
        <v/>
      </c>
      <c r="D406" s="82">
        <f>IF('1C'!B6&lt;&gt;"",'1C'!D6,"")</f>
        <v/>
      </c>
      <c r="E406" s="82">
        <f>IF('1C'!B6&lt;&gt;"",'1C'!E6,"")</f>
        <v/>
      </c>
      <c r="F406" s="82">
        <f>IF('1C'!B6&lt;&gt;"",'1C'!F6,"")</f>
        <v/>
      </c>
      <c r="G406" s="82">
        <f>IF('1C'!B6&lt;&gt;"",'1C'!G6,"")</f>
        <v/>
      </c>
      <c r="H406" s="92">
        <f>IF('1C'!B6&lt;&gt;"",'1C'!H6,"")</f>
        <v/>
      </c>
      <c r="I406" s="92">
        <f>IF('1C'!B6&lt;&gt;"",'1C'!I6,"")</f>
        <v/>
      </c>
      <c r="J406" s="82">
        <f>IF('1C'!B6&lt;&gt;"",'1C'!J6,"")</f>
        <v/>
      </c>
    </row>
    <row r="407" ht="15.75" customHeight="1" s="52">
      <c r="A407" s="97">
        <f>IF('1C'!B7&lt;&gt;"","1C","")</f>
        <v/>
      </c>
      <c r="B407" s="78">
        <f>IF('1C'!B7&lt;&gt;"",'1C'!B7,"")</f>
        <v/>
      </c>
      <c r="C407" s="78">
        <f>IF('1C'!B7&lt;&gt;"",'1C'!C7,"")</f>
        <v/>
      </c>
      <c r="D407" s="78">
        <f>IF('1C'!B7&lt;&gt;"",'1C'!D7,"")</f>
        <v/>
      </c>
      <c r="E407" s="78">
        <f>IF('1C'!B7&lt;&gt;"",'1C'!E7,"")</f>
        <v/>
      </c>
      <c r="F407" s="78">
        <f>IF('1C'!B7&lt;&gt;"",'1C'!F7,"")</f>
        <v/>
      </c>
      <c r="G407" s="78">
        <f>IF('1C'!B7&lt;&gt;"",'1C'!G7,"")</f>
        <v/>
      </c>
      <c r="H407" s="97">
        <f>IF('1C'!B7&lt;&gt;"",'1C'!H7,"")</f>
        <v/>
      </c>
      <c r="I407" s="97">
        <f>IF('1C'!B7&lt;&gt;"",'1C'!I7,"")</f>
        <v/>
      </c>
      <c r="J407" s="78">
        <f>IF('1C'!B7&lt;&gt;"",'1C'!J7,"")</f>
        <v/>
      </c>
    </row>
    <row r="408" ht="15.75" customHeight="1" s="52">
      <c r="A408" s="92">
        <f>IF('1C'!B8&lt;&gt;"","1C","")</f>
        <v/>
      </c>
      <c r="B408" s="82">
        <f>IF('1C'!B8&lt;&gt;"",'1C'!B8,"")</f>
        <v/>
      </c>
      <c r="C408" s="82">
        <f>IF('1C'!B8&lt;&gt;"",'1C'!C8,"")</f>
        <v/>
      </c>
      <c r="D408" s="82">
        <f>IF('1C'!B8&lt;&gt;"",'1C'!D8,"")</f>
        <v/>
      </c>
      <c r="E408" s="82">
        <f>IF('1C'!B8&lt;&gt;"",'1C'!E8,"")</f>
        <v/>
      </c>
      <c r="F408" s="82">
        <f>IF('1C'!B8&lt;&gt;"",'1C'!F8,"")</f>
        <v/>
      </c>
      <c r="G408" s="82">
        <f>IF('1C'!B8&lt;&gt;"",'1C'!G8,"")</f>
        <v/>
      </c>
      <c r="H408" s="92">
        <f>IF('1C'!B8&lt;&gt;"",'1C'!H8,"")</f>
        <v/>
      </c>
      <c r="I408" s="92">
        <f>IF('1C'!B8&lt;&gt;"",'1C'!I8,"")</f>
        <v/>
      </c>
      <c r="J408" s="82">
        <f>IF('1C'!B8&lt;&gt;"",'1C'!J8,"")</f>
        <v/>
      </c>
    </row>
    <row r="409" ht="15.75" customHeight="1" s="52">
      <c r="A409" s="97">
        <f>IF('1C'!B9&lt;&gt;"","1C","")</f>
        <v/>
      </c>
      <c r="B409" s="78">
        <f>IF('1C'!B9&lt;&gt;"",'1C'!B9,"")</f>
        <v/>
      </c>
      <c r="C409" s="78">
        <f>IF('1C'!B9&lt;&gt;"",'1C'!C9,"")</f>
        <v/>
      </c>
      <c r="D409" s="78">
        <f>IF('1C'!B9&lt;&gt;"",'1C'!D9,"")</f>
        <v/>
      </c>
      <c r="E409" s="78">
        <f>IF('1C'!B9&lt;&gt;"",'1C'!E9,"")</f>
        <v/>
      </c>
      <c r="F409" s="78">
        <f>IF('1C'!B9&lt;&gt;"",'1C'!F9,"")</f>
        <v/>
      </c>
      <c r="G409" s="78">
        <f>IF('1C'!B9&lt;&gt;"",'1C'!G9,"")</f>
        <v/>
      </c>
      <c r="H409" s="97">
        <f>IF('1C'!B9&lt;&gt;"",'1C'!H9,"")</f>
        <v/>
      </c>
      <c r="I409" s="97">
        <f>IF('1C'!B9&lt;&gt;"",'1C'!I9,"")</f>
        <v/>
      </c>
      <c r="J409" s="78">
        <f>IF('1C'!B9&lt;&gt;"",'1C'!J9,"")</f>
        <v/>
      </c>
    </row>
    <row r="410" ht="15.75" customHeight="1" s="52">
      <c r="A410" s="92">
        <f>IF('1C'!B10&lt;&gt;"","1C","")</f>
        <v/>
      </c>
      <c r="B410" s="82">
        <f>IF('1C'!B10&lt;&gt;"",'1C'!B10,"")</f>
        <v/>
      </c>
      <c r="C410" s="82">
        <f>IF('1C'!B10&lt;&gt;"",'1C'!C10,"")</f>
        <v/>
      </c>
      <c r="D410" s="82">
        <f>IF('1C'!B10&lt;&gt;"",'1C'!D10,"")</f>
        <v/>
      </c>
      <c r="E410" s="82">
        <f>IF('1C'!B10&lt;&gt;"",'1C'!E10,"")</f>
        <v/>
      </c>
      <c r="F410" s="82">
        <f>IF('1C'!B10&lt;&gt;"",'1C'!F10,"")</f>
        <v/>
      </c>
      <c r="G410" s="82">
        <f>IF('1C'!B10&lt;&gt;"",'1C'!G10,"")</f>
        <v/>
      </c>
      <c r="H410" s="92">
        <f>IF('1C'!B10&lt;&gt;"",'1C'!H10,"")</f>
        <v/>
      </c>
      <c r="I410" s="92">
        <f>IF('1C'!B10&lt;&gt;"",'1C'!I10,"")</f>
        <v/>
      </c>
      <c r="J410" s="82">
        <f>IF('1C'!B10&lt;&gt;"",'1C'!J10,"")</f>
        <v/>
      </c>
    </row>
    <row r="411" ht="15.75" customHeight="1" s="52">
      <c r="A411" s="97">
        <f>IF('1C'!B11&lt;&gt;"","1C","")</f>
        <v/>
      </c>
      <c r="B411" s="78">
        <f>IF('1C'!B11&lt;&gt;"",'1C'!B11,"")</f>
        <v/>
      </c>
      <c r="C411" s="78">
        <f>IF('1C'!B11&lt;&gt;"",'1C'!C11,"")</f>
        <v/>
      </c>
      <c r="D411" s="78">
        <f>IF('1C'!B11&lt;&gt;"",'1C'!D11,"")</f>
        <v/>
      </c>
      <c r="E411" s="78">
        <f>IF('1C'!B11&lt;&gt;"",'1C'!E11,"")</f>
        <v/>
      </c>
      <c r="F411" s="78">
        <f>IF('1C'!B11&lt;&gt;"",'1C'!F11,"")</f>
        <v/>
      </c>
      <c r="G411" s="78">
        <f>IF('1C'!B11&lt;&gt;"",'1C'!G11,"")</f>
        <v/>
      </c>
      <c r="H411" s="97">
        <f>IF('1C'!B11&lt;&gt;"",'1C'!H11,"")</f>
        <v/>
      </c>
      <c r="I411" s="97">
        <f>IF('1C'!B11&lt;&gt;"",'1C'!I11,"")</f>
        <v/>
      </c>
      <c r="J411" s="78">
        <f>IF('1C'!B11&lt;&gt;"",'1C'!J11,"")</f>
        <v/>
      </c>
    </row>
    <row r="412" ht="15.75" customHeight="1" s="52">
      <c r="A412" s="92">
        <f>IF('1C'!B12&lt;&gt;"","1C","")</f>
        <v/>
      </c>
      <c r="B412" s="82">
        <f>IF('1C'!B12&lt;&gt;"",'1C'!B12,"")</f>
        <v/>
      </c>
      <c r="C412" s="82">
        <f>IF('1C'!B12&lt;&gt;"",'1C'!C12,"")</f>
        <v/>
      </c>
      <c r="D412" s="82">
        <f>IF('1C'!B12&lt;&gt;"",'1C'!D12,"")</f>
        <v/>
      </c>
      <c r="E412" s="82">
        <f>IF('1C'!B12&lt;&gt;"",'1C'!E12,"")</f>
        <v/>
      </c>
      <c r="F412" s="82">
        <f>IF('1C'!B12&lt;&gt;"",'1C'!F12,"")</f>
        <v/>
      </c>
      <c r="G412" s="82">
        <f>IF('1C'!B12&lt;&gt;"",'1C'!G12,"")</f>
        <v/>
      </c>
      <c r="H412" s="92">
        <f>IF('1C'!B12&lt;&gt;"",'1C'!H12,"")</f>
        <v/>
      </c>
      <c r="I412" s="92">
        <f>IF('1C'!B12&lt;&gt;"",'1C'!I12,"")</f>
        <v/>
      </c>
      <c r="J412" s="82">
        <f>IF('1C'!B12&lt;&gt;"",'1C'!J12,"")</f>
        <v/>
      </c>
    </row>
    <row r="413" ht="15.75" customHeight="1" s="52">
      <c r="A413" s="97">
        <f>IF('1C'!B13&lt;&gt;"","1C","")</f>
        <v/>
      </c>
      <c r="B413" s="78">
        <f>IF('1C'!B13&lt;&gt;"",'1C'!B13,"")</f>
        <v/>
      </c>
      <c r="C413" s="78">
        <f>IF('1C'!B13&lt;&gt;"",'1C'!C13,"")</f>
        <v/>
      </c>
      <c r="D413" s="78">
        <f>IF('1C'!B13&lt;&gt;"",'1C'!D13,"")</f>
        <v/>
      </c>
      <c r="E413" s="78">
        <f>IF('1C'!B13&lt;&gt;"",'1C'!E13,"")</f>
        <v/>
      </c>
      <c r="F413" s="78">
        <f>IF('1C'!B13&lt;&gt;"",'1C'!F13,"")</f>
        <v/>
      </c>
      <c r="G413" s="78">
        <f>IF('1C'!B13&lt;&gt;"",'1C'!G13,"")</f>
        <v/>
      </c>
      <c r="H413" s="97">
        <f>IF('1C'!B13&lt;&gt;"",'1C'!H13,"")</f>
        <v/>
      </c>
      <c r="I413" s="97">
        <f>IF('1C'!B13&lt;&gt;"",'1C'!I13,"")</f>
        <v/>
      </c>
      <c r="J413" s="78">
        <f>IF('1C'!B13&lt;&gt;"",'1C'!J13,"")</f>
        <v/>
      </c>
    </row>
    <row r="414" ht="15.75" customHeight="1" s="52">
      <c r="A414" s="92">
        <f>IF('1C'!B14&lt;&gt;"","1C","")</f>
        <v/>
      </c>
      <c r="B414" s="82">
        <f>IF('1C'!B14&lt;&gt;"",'1C'!B14,"")</f>
        <v/>
      </c>
      <c r="C414" s="82">
        <f>IF('1C'!B14&lt;&gt;"",'1C'!C14,"")</f>
        <v/>
      </c>
      <c r="D414" s="82">
        <f>IF('1C'!B14&lt;&gt;"",'1C'!D14,"")</f>
        <v/>
      </c>
      <c r="E414" s="82">
        <f>IF('1C'!B14&lt;&gt;"",'1C'!E14,"")</f>
        <v/>
      </c>
      <c r="F414" s="82">
        <f>IF('1C'!B14&lt;&gt;"",'1C'!F14,"")</f>
        <v/>
      </c>
      <c r="G414" s="82">
        <f>IF('1C'!B14&lt;&gt;"",'1C'!G14,"")</f>
        <v/>
      </c>
      <c r="H414" s="92">
        <f>IF('1C'!B14&lt;&gt;"",'1C'!H14,"")</f>
        <v/>
      </c>
      <c r="I414" s="92">
        <f>IF('1C'!B14&lt;&gt;"",'1C'!I14,"")</f>
        <v/>
      </c>
      <c r="J414" s="82">
        <f>IF('1C'!B14&lt;&gt;"",'1C'!J14,"")</f>
        <v/>
      </c>
    </row>
    <row r="415" ht="15.75" customHeight="1" s="52">
      <c r="A415" s="97">
        <f>IF('1C'!B15&lt;&gt;"","1C","")</f>
        <v/>
      </c>
      <c r="B415" s="78">
        <f>IF('1C'!B15&lt;&gt;"",'1C'!B15,"")</f>
        <v/>
      </c>
      <c r="C415" s="78">
        <f>IF('1C'!B15&lt;&gt;"",'1C'!C15,"")</f>
        <v/>
      </c>
      <c r="D415" s="78">
        <f>IF('1C'!B15&lt;&gt;"",'1C'!D15,"")</f>
        <v/>
      </c>
      <c r="E415" s="78">
        <f>IF('1C'!B15&lt;&gt;"",'1C'!E15,"")</f>
        <v/>
      </c>
      <c r="F415" s="78">
        <f>IF('1C'!B15&lt;&gt;"",'1C'!F15,"")</f>
        <v/>
      </c>
      <c r="G415" s="78">
        <f>IF('1C'!B15&lt;&gt;"",'1C'!G15,"")</f>
        <v/>
      </c>
      <c r="H415" s="97">
        <f>IF('1C'!B15&lt;&gt;"",'1C'!H15,"")</f>
        <v/>
      </c>
      <c r="I415" s="97">
        <f>IF('1C'!B15&lt;&gt;"",'1C'!I15,"")</f>
        <v/>
      </c>
      <c r="J415" s="78">
        <f>IF('1C'!B15&lt;&gt;"",'1C'!J15,"")</f>
        <v/>
      </c>
    </row>
    <row r="416" ht="15.75" customHeight="1" s="52">
      <c r="A416" s="92">
        <f>IF('1C'!B16&lt;&gt;"","1C","")</f>
        <v/>
      </c>
      <c r="B416" s="82">
        <f>IF('1C'!B16&lt;&gt;"",'1C'!B16,"")</f>
        <v/>
      </c>
      <c r="C416" s="82">
        <f>IF('1C'!B16&lt;&gt;"",'1C'!C16,"")</f>
        <v/>
      </c>
      <c r="D416" s="82">
        <f>IF('1C'!B16&lt;&gt;"",'1C'!D16,"")</f>
        <v/>
      </c>
      <c r="E416" s="82">
        <f>IF('1C'!B16&lt;&gt;"",'1C'!E16,"")</f>
        <v/>
      </c>
      <c r="F416" s="82">
        <f>IF('1C'!B16&lt;&gt;"",'1C'!F16,"")</f>
        <v/>
      </c>
      <c r="G416" s="82">
        <f>IF('1C'!B16&lt;&gt;"",'1C'!G16,"")</f>
        <v/>
      </c>
      <c r="H416" s="92">
        <f>IF('1C'!B16&lt;&gt;"",'1C'!H16,"")</f>
        <v/>
      </c>
      <c r="I416" s="92">
        <f>IF('1C'!B16&lt;&gt;"",'1C'!I16,"")</f>
        <v/>
      </c>
      <c r="J416" s="82">
        <f>IF('1C'!B16&lt;&gt;"",'1C'!J16,"")</f>
        <v/>
      </c>
    </row>
    <row r="417" ht="15.75" customHeight="1" s="52">
      <c r="A417" s="97">
        <f>IF('1C'!B17&lt;&gt;"","1C","")</f>
        <v/>
      </c>
      <c r="B417" s="78">
        <f>IF('1C'!B17&lt;&gt;"",'1C'!B17,"")</f>
        <v/>
      </c>
      <c r="C417" s="78">
        <f>IF('1C'!B17&lt;&gt;"",'1C'!C17,"")</f>
        <v/>
      </c>
      <c r="D417" s="78">
        <f>IF('1C'!B17&lt;&gt;"",'1C'!D17,"")</f>
        <v/>
      </c>
      <c r="E417" s="78">
        <f>IF('1C'!B17&lt;&gt;"",'1C'!E17,"")</f>
        <v/>
      </c>
      <c r="F417" s="78">
        <f>IF('1C'!B17&lt;&gt;"",'1C'!F17,"")</f>
        <v/>
      </c>
      <c r="G417" s="78">
        <f>IF('1C'!B17&lt;&gt;"",'1C'!G17,"")</f>
        <v/>
      </c>
      <c r="H417" s="97">
        <f>IF('1C'!B17&lt;&gt;"",'1C'!H17,"")</f>
        <v/>
      </c>
      <c r="I417" s="97">
        <f>IF('1C'!B17&lt;&gt;"",'1C'!I17,"")</f>
        <v/>
      </c>
      <c r="J417" s="78">
        <f>IF('1C'!B17&lt;&gt;"",'1C'!J17,"")</f>
        <v/>
      </c>
    </row>
    <row r="418" ht="15.75" customHeight="1" s="52">
      <c r="A418" s="92">
        <f>IF('1C'!B18&lt;&gt;"","1C","")</f>
        <v/>
      </c>
      <c r="B418" s="82">
        <f>IF('1C'!B18&lt;&gt;"",'1C'!B18,"")</f>
        <v/>
      </c>
      <c r="C418" s="82">
        <f>IF('1C'!B18&lt;&gt;"",'1C'!C18,"")</f>
        <v/>
      </c>
      <c r="D418" s="82">
        <f>IF('1C'!B18&lt;&gt;"",'1C'!D18,"")</f>
        <v/>
      </c>
      <c r="E418" s="82">
        <f>IF('1C'!B18&lt;&gt;"",'1C'!E18,"")</f>
        <v/>
      </c>
      <c r="F418" s="82">
        <f>IF('1C'!B18&lt;&gt;"",'1C'!F18,"")</f>
        <v/>
      </c>
      <c r="G418" s="82">
        <f>IF('1C'!B18&lt;&gt;"",'1C'!G18,"")</f>
        <v/>
      </c>
      <c r="H418" s="92">
        <f>IF('1C'!B18&lt;&gt;"",'1C'!H18,"")</f>
        <v/>
      </c>
      <c r="I418" s="92">
        <f>IF('1C'!B18&lt;&gt;"",'1C'!I18,"")</f>
        <v/>
      </c>
      <c r="J418" s="82">
        <f>IF('1C'!B18&lt;&gt;"",'1C'!J18,"")</f>
        <v/>
      </c>
    </row>
    <row r="419" ht="15.75" customHeight="1" s="52">
      <c r="A419" s="97">
        <f>IF('1C'!B19&lt;&gt;"","1C","")</f>
        <v/>
      </c>
      <c r="B419" s="78">
        <f>IF('1C'!B19&lt;&gt;"",'1C'!B19,"")</f>
        <v/>
      </c>
      <c r="C419" s="78">
        <f>IF('1C'!B19&lt;&gt;"",'1C'!C19,"")</f>
        <v/>
      </c>
      <c r="D419" s="78">
        <f>IF('1C'!B19&lt;&gt;"",'1C'!D19,"")</f>
        <v/>
      </c>
      <c r="E419" s="78">
        <f>IF('1C'!B19&lt;&gt;"",'1C'!E19,"")</f>
        <v/>
      </c>
      <c r="F419" s="78">
        <f>IF('1C'!B19&lt;&gt;"",'1C'!F19,"")</f>
        <v/>
      </c>
      <c r="G419" s="78">
        <f>IF('1C'!B19&lt;&gt;"",'1C'!G19,"")</f>
        <v/>
      </c>
      <c r="H419" s="97">
        <f>IF('1C'!B19&lt;&gt;"",'1C'!H19,"")</f>
        <v/>
      </c>
      <c r="I419" s="97">
        <f>IF('1C'!B19&lt;&gt;"",'1C'!I19,"")</f>
        <v/>
      </c>
      <c r="J419" s="78">
        <f>IF('1C'!B19&lt;&gt;"",'1C'!J19,"")</f>
        <v/>
      </c>
    </row>
    <row r="420" ht="15.75" customHeight="1" s="52">
      <c r="A420" s="92">
        <f>IF('1C'!B20&lt;&gt;"","1C","")</f>
        <v/>
      </c>
      <c r="B420" s="82">
        <f>IF('1C'!B20&lt;&gt;"",'1C'!B20,"")</f>
        <v/>
      </c>
      <c r="C420" s="82">
        <f>IF('1C'!B20&lt;&gt;"",'1C'!C20,"")</f>
        <v/>
      </c>
      <c r="D420" s="82">
        <f>IF('1C'!B20&lt;&gt;"",'1C'!D20,"")</f>
        <v/>
      </c>
      <c r="E420" s="82">
        <f>IF('1C'!B20&lt;&gt;"",'1C'!E20,"")</f>
        <v/>
      </c>
      <c r="F420" s="82">
        <f>IF('1C'!B20&lt;&gt;"",'1C'!F20,"")</f>
        <v/>
      </c>
      <c r="G420" s="82">
        <f>IF('1C'!B20&lt;&gt;"",'1C'!G20,"")</f>
        <v/>
      </c>
      <c r="H420" s="92">
        <f>IF('1C'!B20&lt;&gt;"",'1C'!H20,"")</f>
        <v/>
      </c>
      <c r="I420" s="92">
        <f>IF('1C'!B20&lt;&gt;"",'1C'!I20,"")</f>
        <v/>
      </c>
      <c r="J420" s="82">
        <f>IF('1C'!B20&lt;&gt;"",'1C'!J20,"")</f>
        <v/>
      </c>
    </row>
    <row r="421" ht="15.75" customHeight="1" s="52">
      <c r="A421" s="97">
        <f>IF('1C'!B21&lt;&gt;"","1C","")</f>
        <v/>
      </c>
      <c r="B421" s="78">
        <f>IF('1C'!B21&lt;&gt;"",'1C'!B21,"")</f>
        <v/>
      </c>
      <c r="C421" s="78">
        <f>IF('1C'!B21&lt;&gt;"",'1C'!C21,"")</f>
        <v/>
      </c>
      <c r="D421" s="78">
        <f>IF('1C'!B21&lt;&gt;"",'1C'!D21,"")</f>
        <v/>
      </c>
      <c r="E421" s="78">
        <f>IF('1C'!B21&lt;&gt;"",'1C'!E21,"")</f>
        <v/>
      </c>
      <c r="F421" s="78">
        <f>IF('1C'!B21&lt;&gt;"",'1C'!F21,"")</f>
        <v/>
      </c>
      <c r="G421" s="78">
        <f>IF('1C'!B21&lt;&gt;"",'1C'!G21,"")</f>
        <v/>
      </c>
      <c r="H421" s="97">
        <f>IF('1C'!B21&lt;&gt;"",'1C'!H21,"")</f>
        <v/>
      </c>
      <c r="I421" s="97">
        <f>IF('1C'!B21&lt;&gt;"",'1C'!I21,"")</f>
        <v/>
      </c>
      <c r="J421" s="78">
        <f>IF('1C'!B21&lt;&gt;"",'1C'!J21,"")</f>
        <v/>
      </c>
    </row>
    <row r="422" ht="15.75" customHeight="1" s="52">
      <c r="A422" s="92">
        <f>IF('1C'!B22&lt;&gt;"","1C","")</f>
        <v/>
      </c>
      <c r="B422" s="82">
        <f>IF('1C'!B22&lt;&gt;"",'1C'!B22,"")</f>
        <v/>
      </c>
      <c r="C422" s="82">
        <f>IF('1C'!B22&lt;&gt;"",'1C'!C22,"")</f>
        <v/>
      </c>
      <c r="D422" s="82">
        <f>IF('1C'!B22&lt;&gt;"",'1C'!D22,"")</f>
        <v/>
      </c>
      <c r="E422" s="82">
        <f>IF('1C'!B22&lt;&gt;"",'1C'!E22,"")</f>
        <v/>
      </c>
      <c r="F422" s="82">
        <f>IF('1C'!B22&lt;&gt;"",'1C'!F22,"")</f>
        <v/>
      </c>
      <c r="G422" s="82">
        <f>IF('1C'!B22&lt;&gt;"",'1C'!G22,"")</f>
        <v/>
      </c>
      <c r="H422" s="92">
        <f>IF('1C'!B22&lt;&gt;"",'1C'!H22,"")</f>
        <v/>
      </c>
      <c r="I422" s="92">
        <f>IF('1C'!B22&lt;&gt;"",'1C'!I22,"")</f>
        <v/>
      </c>
      <c r="J422" s="82">
        <f>IF('1C'!B22&lt;&gt;"",'1C'!J22,"")</f>
        <v/>
      </c>
    </row>
    <row r="423" ht="15.75" customHeight="1" s="52">
      <c r="A423" s="97">
        <f>IF('1C'!B23&lt;&gt;"","1C","")</f>
        <v/>
      </c>
      <c r="B423" s="78">
        <f>IF('1C'!B23&lt;&gt;"",'1C'!B23,"")</f>
        <v/>
      </c>
      <c r="C423" s="78">
        <f>IF('1C'!B23&lt;&gt;"",'1C'!C23,"")</f>
        <v/>
      </c>
      <c r="D423" s="78">
        <f>IF('1C'!B23&lt;&gt;"",'1C'!D23,"")</f>
        <v/>
      </c>
      <c r="E423" s="78">
        <f>IF('1C'!B23&lt;&gt;"",'1C'!E23,"")</f>
        <v/>
      </c>
      <c r="F423" s="78">
        <f>IF('1C'!B23&lt;&gt;"",'1C'!F23,"")</f>
        <v/>
      </c>
      <c r="G423" s="78">
        <f>IF('1C'!B23&lt;&gt;"",'1C'!G23,"")</f>
        <v/>
      </c>
      <c r="H423" s="97">
        <f>IF('1C'!B23&lt;&gt;"",'1C'!H23,"")</f>
        <v/>
      </c>
      <c r="I423" s="97">
        <f>IF('1C'!B23&lt;&gt;"",'1C'!I23,"")</f>
        <v/>
      </c>
      <c r="J423" s="78">
        <f>IF('1C'!B23&lt;&gt;"",'1C'!J23,"")</f>
        <v/>
      </c>
    </row>
    <row r="424" ht="15.75" customHeight="1" s="52">
      <c r="A424" s="92">
        <f>IF('1C'!B24&lt;&gt;"","1C","")</f>
        <v/>
      </c>
      <c r="B424" s="82">
        <f>IF('1C'!B24&lt;&gt;"",'1C'!B24,"")</f>
        <v/>
      </c>
      <c r="C424" s="82">
        <f>IF('1C'!B24&lt;&gt;"",'1C'!C24,"")</f>
        <v/>
      </c>
      <c r="D424" s="82">
        <f>IF('1C'!B24&lt;&gt;"",'1C'!D24,"")</f>
        <v/>
      </c>
      <c r="E424" s="82">
        <f>IF('1C'!B24&lt;&gt;"",'1C'!E24,"")</f>
        <v/>
      </c>
      <c r="F424" s="82">
        <f>IF('1C'!B24&lt;&gt;"",'1C'!F24,"")</f>
        <v/>
      </c>
      <c r="G424" s="82">
        <f>IF('1C'!B24&lt;&gt;"",'1C'!G24,"")</f>
        <v/>
      </c>
      <c r="H424" s="92">
        <f>IF('1C'!B24&lt;&gt;"",'1C'!H24,"")</f>
        <v/>
      </c>
      <c r="I424" s="92">
        <f>IF('1C'!B24&lt;&gt;"",'1C'!I24,"")</f>
        <v/>
      </c>
      <c r="J424" s="82">
        <f>IF('1C'!B24&lt;&gt;"",'1C'!J24,"")</f>
        <v/>
      </c>
    </row>
    <row r="425" ht="15.75" customHeight="1" s="52">
      <c r="A425" s="97">
        <f>IF('1C'!B25&lt;&gt;"","1C","")</f>
        <v/>
      </c>
      <c r="B425" s="78">
        <f>IF('1C'!B25&lt;&gt;"",'1C'!B25,"")</f>
        <v/>
      </c>
      <c r="C425" s="78">
        <f>IF('1C'!B25&lt;&gt;"",'1C'!C25,"")</f>
        <v/>
      </c>
      <c r="D425" s="78">
        <f>IF('1C'!B25&lt;&gt;"",'1C'!D25,"")</f>
        <v/>
      </c>
      <c r="E425" s="78">
        <f>IF('1C'!B25&lt;&gt;"",'1C'!E25,"")</f>
        <v/>
      </c>
      <c r="F425" s="78">
        <f>IF('1C'!B25&lt;&gt;"",'1C'!F25,"")</f>
        <v/>
      </c>
      <c r="G425" s="78">
        <f>IF('1C'!B25&lt;&gt;"",'1C'!G25,"")</f>
        <v/>
      </c>
      <c r="H425" s="97">
        <f>IF('1C'!B25&lt;&gt;"",'1C'!H25,"")</f>
        <v/>
      </c>
      <c r="I425" s="97">
        <f>IF('1C'!B25&lt;&gt;"",'1C'!I25,"")</f>
        <v/>
      </c>
      <c r="J425" s="78">
        <f>IF('1C'!B25&lt;&gt;"",'1C'!J25,"")</f>
        <v/>
      </c>
    </row>
    <row r="426" ht="15.75" customHeight="1" s="52">
      <c r="A426" s="92">
        <f>IF('1C'!B26&lt;&gt;"","1C","")</f>
        <v/>
      </c>
      <c r="B426" s="82">
        <f>IF('1C'!B26&lt;&gt;"",'1C'!B26,"")</f>
        <v/>
      </c>
      <c r="C426" s="82">
        <f>IF('1C'!B26&lt;&gt;"",'1C'!C26,"")</f>
        <v/>
      </c>
      <c r="D426" s="82">
        <f>IF('1C'!B26&lt;&gt;"",'1C'!D26,"")</f>
        <v/>
      </c>
      <c r="E426" s="82">
        <f>IF('1C'!B26&lt;&gt;"",'1C'!E26,"")</f>
        <v/>
      </c>
      <c r="F426" s="82">
        <f>IF('1C'!B26&lt;&gt;"",'1C'!F26,"")</f>
        <v/>
      </c>
      <c r="G426" s="82">
        <f>IF('1C'!B26&lt;&gt;"",'1C'!G26,"")</f>
        <v/>
      </c>
      <c r="H426" s="92">
        <f>IF('1C'!B26&lt;&gt;"",'1C'!H26,"")</f>
        <v/>
      </c>
      <c r="I426" s="92">
        <f>IF('1C'!B26&lt;&gt;"",'1C'!I26,"")</f>
        <v/>
      </c>
      <c r="J426" s="82">
        <f>IF('1C'!B26&lt;&gt;"",'1C'!J26,"")</f>
        <v/>
      </c>
    </row>
    <row r="427" ht="15.75" customHeight="1" s="52">
      <c r="A427" s="97">
        <f>IF('1C'!B27&lt;&gt;"","1C","")</f>
        <v/>
      </c>
      <c r="B427" s="78">
        <f>IF('1C'!B27&lt;&gt;"",'1C'!B27,"")</f>
        <v/>
      </c>
      <c r="C427" s="78">
        <f>IF('1C'!B27&lt;&gt;"",'1C'!C27,"")</f>
        <v/>
      </c>
      <c r="D427" s="78">
        <f>IF('1C'!B27&lt;&gt;"",'1C'!D27,"")</f>
        <v/>
      </c>
      <c r="E427" s="78">
        <f>IF('1C'!B27&lt;&gt;"",'1C'!E27,"")</f>
        <v/>
      </c>
      <c r="F427" s="78">
        <f>IF('1C'!B27&lt;&gt;"",'1C'!F27,"")</f>
        <v/>
      </c>
      <c r="G427" s="78">
        <f>IF('1C'!B27&lt;&gt;"",'1C'!G27,"")</f>
        <v/>
      </c>
      <c r="H427" s="97">
        <f>IF('1C'!B27&lt;&gt;"",'1C'!H27,"")</f>
        <v/>
      </c>
      <c r="I427" s="97">
        <f>IF('1C'!B27&lt;&gt;"",'1C'!I27,"")</f>
        <v/>
      </c>
      <c r="J427" s="78">
        <f>IF('1C'!B27&lt;&gt;"",'1C'!J27,"")</f>
        <v/>
      </c>
    </row>
    <row r="428" ht="15.75" customHeight="1" s="52">
      <c r="A428" s="92">
        <f>IF('1C'!B28&lt;&gt;"","1C","")</f>
        <v/>
      </c>
      <c r="B428" s="82">
        <f>IF('1C'!B28&lt;&gt;"",'1C'!B28,"")</f>
        <v/>
      </c>
      <c r="C428" s="82">
        <f>IF('1C'!B28&lt;&gt;"",'1C'!C28,"")</f>
        <v/>
      </c>
      <c r="D428" s="82">
        <f>IF('1C'!B28&lt;&gt;"",'1C'!D28,"")</f>
        <v/>
      </c>
      <c r="E428" s="82">
        <f>IF('1C'!B28&lt;&gt;"",'1C'!E28,"")</f>
        <v/>
      </c>
      <c r="F428" s="82">
        <f>IF('1C'!B28&lt;&gt;"",'1C'!F28,"")</f>
        <v/>
      </c>
      <c r="G428" s="82">
        <f>IF('1C'!B28&lt;&gt;"",'1C'!G28,"")</f>
        <v/>
      </c>
      <c r="H428" s="92">
        <f>IF('1C'!B28&lt;&gt;"",'1C'!H28,"")</f>
        <v/>
      </c>
      <c r="I428" s="92">
        <f>IF('1C'!B28&lt;&gt;"",'1C'!I28,"")</f>
        <v/>
      </c>
      <c r="J428" s="82">
        <f>IF('1C'!B28&lt;&gt;"",'1C'!J28,"")</f>
        <v/>
      </c>
    </row>
    <row r="429" ht="15.75" customHeight="1" s="52">
      <c r="A429" s="97">
        <f>IF('1C'!B29&lt;&gt;"","1C","")</f>
        <v/>
      </c>
      <c r="B429" s="78">
        <f>IF('1C'!B29&lt;&gt;"",'1C'!B29,"")</f>
        <v/>
      </c>
      <c r="C429" s="78">
        <f>IF('1C'!B29&lt;&gt;"",'1C'!C29,"")</f>
        <v/>
      </c>
      <c r="D429" s="78">
        <f>IF('1C'!B29&lt;&gt;"",'1C'!D29,"")</f>
        <v/>
      </c>
      <c r="E429" s="78">
        <f>IF('1C'!B29&lt;&gt;"",'1C'!E29,"")</f>
        <v/>
      </c>
      <c r="F429" s="78">
        <f>IF('1C'!B29&lt;&gt;"",'1C'!F29,"")</f>
        <v/>
      </c>
      <c r="G429" s="78">
        <f>IF('1C'!B29&lt;&gt;"",'1C'!G29,"")</f>
        <v/>
      </c>
      <c r="H429" s="97">
        <f>IF('1C'!B29&lt;&gt;"",'1C'!H29,"")</f>
        <v/>
      </c>
      <c r="I429" s="97">
        <f>IF('1C'!B29&lt;&gt;"",'1C'!I29,"")</f>
        <v/>
      </c>
      <c r="J429" s="78">
        <f>IF('1C'!B29&lt;&gt;"",'1C'!J29,"")</f>
        <v/>
      </c>
    </row>
    <row r="430" ht="15.75" customHeight="1" s="52">
      <c r="A430" s="92">
        <f>IF('1C'!B30&lt;&gt;"","1C","")</f>
        <v/>
      </c>
      <c r="B430" s="82">
        <f>IF('1C'!B30&lt;&gt;"",'1C'!B30,"")</f>
        <v/>
      </c>
      <c r="C430" s="82">
        <f>IF('1C'!B30&lt;&gt;"",'1C'!C30,"")</f>
        <v/>
      </c>
      <c r="D430" s="82">
        <f>IF('1C'!B30&lt;&gt;"",'1C'!D30,"")</f>
        <v/>
      </c>
      <c r="E430" s="82">
        <f>IF('1C'!B30&lt;&gt;"",'1C'!E30,"")</f>
        <v/>
      </c>
      <c r="F430" s="82">
        <f>IF('1C'!B30&lt;&gt;"",'1C'!F30,"")</f>
        <v/>
      </c>
      <c r="G430" s="82">
        <f>IF('1C'!B30&lt;&gt;"",'1C'!G30,"")</f>
        <v/>
      </c>
      <c r="H430" s="92">
        <f>IF('1C'!B30&lt;&gt;"",'1C'!H30,"")</f>
        <v/>
      </c>
      <c r="I430" s="92">
        <f>IF('1C'!B30&lt;&gt;"",'1C'!I30,"")</f>
        <v/>
      </c>
      <c r="J430" s="82">
        <f>IF('1C'!B30&lt;&gt;"",'1C'!J30,"")</f>
        <v/>
      </c>
    </row>
    <row r="431" ht="15.75" customHeight="1" s="52">
      <c r="A431" s="97">
        <f>IF('1C'!B31&lt;&gt;"","1C","")</f>
        <v/>
      </c>
      <c r="B431" s="78">
        <f>IF('1C'!B31&lt;&gt;"",'1C'!B31,"")</f>
        <v/>
      </c>
      <c r="C431" s="78">
        <f>IF('1C'!B31&lt;&gt;"",'1C'!C31,"")</f>
        <v/>
      </c>
      <c r="D431" s="78">
        <f>IF('1C'!B31&lt;&gt;"",'1C'!D31,"")</f>
        <v/>
      </c>
      <c r="E431" s="78">
        <f>IF('1C'!B31&lt;&gt;"",'1C'!E31,"")</f>
        <v/>
      </c>
      <c r="F431" s="78">
        <f>IF('1C'!B31&lt;&gt;"",'1C'!F31,"")</f>
        <v/>
      </c>
      <c r="G431" s="78">
        <f>IF('1C'!B31&lt;&gt;"",'1C'!G31,"")</f>
        <v/>
      </c>
      <c r="H431" s="97">
        <f>IF('1C'!B31&lt;&gt;"",'1C'!H31,"")</f>
        <v/>
      </c>
      <c r="I431" s="97">
        <f>IF('1C'!B31&lt;&gt;"",'1C'!I31,"")</f>
        <v/>
      </c>
      <c r="J431" s="78">
        <f>IF('1C'!B31&lt;&gt;"",'1C'!J31,"")</f>
        <v/>
      </c>
    </row>
    <row r="432" ht="15.75" customHeight="1" s="52">
      <c r="A432" s="92">
        <f>IF('1C'!B32&lt;&gt;"","1C","")</f>
        <v/>
      </c>
      <c r="B432" s="82">
        <f>IF('1C'!B32&lt;&gt;"",'1C'!B32,"")</f>
        <v/>
      </c>
      <c r="C432" s="82">
        <f>IF('1C'!B32&lt;&gt;"",'1C'!C32,"")</f>
        <v/>
      </c>
      <c r="D432" s="82">
        <f>IF('1C'!B32&lt;&gt;"",'1C'!D32,"")</f>
        <v/>
      </c>
      <c r="E432" s="82">
        <f>IF('1C'!B32&lt;&gt;"",'1C'!E32,"")</f>
        <v/>
      </c>
      <c r="F432" s="82">
        <f>IF('1C'!B32&lt;&gt;"",'1C'!F32,"")</f>
        <v/>
      </c>
      <c r="G432" s="82">
        <f>IF('1C'!B32&lt;&gt;"",'1C'!G32,"")</f>
        <v/>
      </c>
      <c r="H432" s="92">
        <f>IF('1C'!B32&lt;&gt;"",'1C'!H32,"")</f>
        <v/>
      </c>
      <c r="I432" s="92">
        <f>IF('1C'!B32&lt;&gt;"",'1C'!I32,"")</f>
        <v/>
      </c>
      <c r="J432" s="82">
        <f>IF('1C'!B32&lt;&gt;"",'1C'!J32,"")</f>
        <v/>
      </c>
    </row>
    <row r="433" ht="15.75" customHeight="1" s="52">
      <c r="A433" s="97">
        <f>IF('1C'!B33&lt;&gt;"","1C","")</f>
        <v/>
      </c>
      <c r="B433" s="78">
        <f>IF('1C'!B33&lt;&gt;"",'1C'!B33,"")</f>
        <v/>
      </c>
      <c r="C433" s="78">
        <f>IF('1C'!B33&lt;&gt;"",'1C'!C33,"")</f>
        <v/>
      </c>
      <c r="D433" s="78">
        <f>IF('1C'!B33&lt;&gt;"",'1C'!D33,"")</f>
        <v/>
      </c>
      <c r="E433" s="78">
        <f>IF('1C'!B33&lt;&gt;"",'1C'!E33,"")</f>
        <v/>
      </c>
      <c r="F433" s="78">
        <f>IF('1C'!B33&lt;&gt;"",'1C'!F33,"")</f>
        <v/>
      </c>
      <c r="G433" s="78">
        <f>IF('1C'!B33&lt;&gt;"",'1C'!G33,"")</f>
        <v/>
      </c>
      <c r="H433" s="97">
        <f>IF('1C'!B33&lt;&gt;"",'1C'!H33,"")</f>
        <v/>
      </c>
      <c r="I433" s="97">
        <f>IF('1C'!B33&lt;&gt;"",'1C'!I33,"")</f>
        <v/>
      </c>
      <c r="J433" s="78">
        <f>IF('1C'!B33&lt;&gt;"",'1C'!J33,"")</f>
        <v/>
      </c>
    </row>
    <row r="434" ht="15.75" customHeight="1" s="52">
      <c r="A434" s="92">
        <f>IF('1C'!B34&lt;&gt;"","1C","")</f>
        <v/>
      </c>
      <c r="B434" s="82">
        <f>IF('1C'!B34&lt;&gt;"",'1C'!B34,"")</f>
        <v/>
      </c>
      <c r="C434" s="82">
        <f>IF('1C'!B34&lt;&gt;"",'1C'!C34,"")</f>
        <v/>
      </c>
      <c r="D434" s="82">
        <f>IF('1C'!B34&lt;&gt;"",'1C'!D34,"")</f>
        <v/>
      </c>
      <c r="E434" s="82">
        <f>IF('1C'!B34&lt;&gt;"",'1C'!E34,"")</f>
        <v/>
      </c>
      <c r="F434" s="82">
        <f>IF('1C'!B34&lt;&gt;"",'1C'!F34,"")</f>
        <v/>
      </c>
      <c r="G434" s="82">
        <f>IF('1C'!B34&lt;&gt;"",'1C'!G34,"")</f>
        <v/>
      </c>
      <c r="H434" s="92">
        <f>IF('1C'!B34&lt;&gt;"",'1C'!H34,"")</f>
        <v/>
      </c>
      <c r="I434" s="92">
        <f>IF('1C'!B34&lt;&gt;"",'1C'!I34,"")</f>
        <v/>
      </c>
      <c r="J434" s="82">
        <f>IF('1C'!B34&lt;&gt;"",'1C'!J34,"")</f>
        <v/>
      </c>
    </row>
    <row r="435" ht="15.75" customHeight="1" s="52">
      <c r="A435" s="97">
        <f>IF('1C'!B35&lt;&gt;"","1C","")</f>
        <v/>
      </c>
      <c r="B435" s="78">
        <f>IF('1C'!B35&lt;&gt;"",'1C'!B35,"")</f>
        <v/>
      </c>
      <c r="C435" s="78">
        <f>IF('1C'!B35&lt;&gt;"",'1C'!C35,"")</f>
        <v/>
      </c>
      <c r="D435" s="78">
        <f>IF('1C'!B35&lt;&gt;"",'1C'!D35,"")</f>
        <v/>
      </c>
      <c r="E435" s="78">
        <f>IF('1C'!B35&lt;&gt;"",'1C'!E35,"")</f>
        <v/>
      </c>
      <c r="F435" s="78">
        <f>IF('1C'!B35&lt;&gt;"",'1C'!F35,"")</f>
        <v/>
      </c>
      <c r="G435" s="78">
        <f>IF('1C'!B35&lt;&gt;"",'1C'!G35,"")</f>
        <v/>
      </c>
      <c r="H435" s="97">
        <f>IF('1C'!B35&lt;&gt;"",'1C'!H35,"")</f>
        <v/>
      </c>
      <c r="I435" s="97">
        <f>IF('1C'!B35&lt;&gt;"",'1C'!I35,"")</f>
        <v/>
      </c>
      <c r="J435" s="78">
        <f>IF('1C'!B35&lt;&gt;"",'1C'!J35,"")</f>
        <v/>
      </c>
    </row>
    <row r="436" ht="15.75" customHeight="1" s="52">
      <c r="A436" s="92">
        <f>IF('1C'!B36&lt;&gt;"","1C","")</f>
        <v/>
      </c>
      <c r="B436" s="82">
        <f>IF('1C'!B36&lt;&gt;"",'1C'!B36,"")</f>
        <v/>
      </c>
      <c r="C436" s="82">
        <f>IF('1C'!B36&lt;&gt;"",'1C'!C36,"")</f>
        <v/>
      </c>
      <c r="D436" s="82">
        <f>IF('1C'!B36&lt;&gt;"",'1C'!D36,"")</f>
        <v/>
      </c>
      <c r="E436" s="82">
        <f>IF('1C'!B36&lt;&gt;"",'1C'!E36,"")</f>
        <v/>
      </c>
      <c r="F436" s="82">
        <f>IF('1C'!B36&lt;&gt;"",'1C'!F36,"")</f>
        <v/>
      </c>
      <c r="G436" s="82">
        <f>IF('1C'!B36&lt;&gt;"",'1C'!G36,"")</f>
        <v/>
      </c>
      <c r="H436" s="92">
        <f>IF('1C'!B36&lt;&gt;"",'1C'!H36,"")</f>
        <v/>
      </c>
      <c r="I436" s="92">
        <f>IF('1C'!B36&lt;&gt;"",'1C'!I36,"")</f>
        <v/>
      </c>
      <c r="J436" s="82">
        <f>IF('1C'!B36&lt;&gt;"",'1C'!J36,"")</f>
        <v/>
      </c>
    </row>
    <row r="437" ht="15.75" customHeight="1" s="52">
      <c r="A437" s="97">
        <f>IF('1C'!B37&lt;&gt;"","1C","")</f>
        <v/>
      </c>
      <c r="B437" s="78">
        <f>IF('1C'!B37&lt;&gt;"",'1C'!B37,"")</f>
        <v/>
      </c>
      <c r="C437" s="78">
        <f>IF('1C'!B37&lt;&gt;"",'1C'!C37,"")</f>
        <v/>
      </c>
      <c r="D437" s="78">
        <f>IF('1C'!B37&lt;&gt;"",'1C'!D37,"")</f>
        <v/>
      </c>
      <c r="E437" s="78">
        <f>IF('1C'!B37&lt;&gt;"",'1C'!E37,"")</f>
        <v/>
      </c>
      <c r="F437" s="78">
        <f>IF('1C'!B37&lt;&gt;"",'1C'!F37,"")</f>
        <v/>
      </c>
      <c r="G437" s="78">
        <f>IF('1C'!B37&lt;&gt;"",'1C'!G37,"")</f>
        <v/>
      </c>
      <c r="H437" s="97">
        <f>IF('1C'!B37&lt;&gt;"",'1C'!H37,"")</f>
        <v/>
      </c>
      <c r="I437" s="97">
        <f>IF('1C'!B37&lt;&gt;"",'1C'!I37,"")</f>
        <v/>
      </c>
      <c r="J437" s="78">
        <f>IF('1C'!B37&lt;&gt;"",'1C'!J37,"")</f>
        <v/>
      </c>
    </row>
    <row r="438" ht="15.75" customHeight="1" s="52">
      <c r="A438" s="92">
        <f>IF('1C'!B38&lt;&gt;"","1C","")</f>
        <v/>
      </c>
      <c r="B438" s="82">
        <f>IF('1C'!B38&lt;&gt;"",'1C'!B38,"")</f>
        <v/>
      </c>
      <c r="C438" s="82">
        <f>IF('1C'!B38&lt;&gt;"",'1C'!C38,"")</f>
        <v/>
      </c>
      <c r="D438" s="82">
        <f>IF('1C'!B38&lt;&gt;"",'1C'!D38,"")</f>
        <v/>
      </c>
      <c r="E438" s="82">
        <f>IF('1C'!B38&lt;&gt;"",'1C'!E38,"")</f>
        <v/>
      </c>
      <c r="F438" s="82">
        <f>IF('1C'!B38&lt;&gt;"",'1C'!F38,"")</f>
        <v/>
      </c>
      <c r="G438" s="82">
        <f>IF('1C'!B38&lt;&gt;"",'1C'!G38,"")</f>
        <v/>
      </c>
      <c r="H438" s="92">
        <f>IF('1C'!B38&lt;&gt;"",'1C'!H38,"")</f>
        <v/>
      </c>
      <c r="I438" s="92">
        <f>IF('1C'!B38&lt;&gt;"",'1C'!I38,"")</f>
        <v/>
      </c>
      <c r="J438" s="82">
        <f>IF('1C'!B38&lt;&gt;"",'1C'!J38,"")</f>
        <v/>
      </c>
    </row>
    <row r="439" ht="15.75" customHeight="1" s="52">
      <c r="A439" s="97">
        <f>IF('1C'!B39&lt;&gt;"","1C","")</f>
        <v/>
      </c>
      <c r="B439" s="78">
        <f>IF('1C'!B39&lt;&gt;"",'1C'!B39,"")</f>
        <v/>
      </c>
      <c r="C439" s="78">
        <f>IF('1C'!B39&lt;&gt;"",'1C'!C39,"")</f>
        <v/>
      </c>
      <c r="D439" s="78">
        <f>IF('1C'!B39&lt;&gt;"",'1C'!D39,"")</f>
        <v/>
      </c>
      <c r="E439" s="78">
        <f>IF('1C'!B39&lt;&gt;"",'1C'!E39,"")</f>
        <v/>
      </c>
      <c r="F439" s="78">
        <f>IF('1C'!B39&lt;&gt;"",'1C'!F39,"")</f>
        <v/>
      </c>
      <c r="G439" s="78">
        <f>IF('1C'!B39&lt;&gt;"",'1C'!G39,"")</f>
        <v/>
      </c>
      <c r="H439" s="97">
        <f>IF('1C'!B39&lt;&gt;"",'1C'!H39,"")</f>
        <v/>
      </c>
      <c r="I439" s="97">
        <f>IF('1C'!B39&lt;&gt;"",'1C'!I39,"")</f>
        <v/>
      </c>
      <c r="J439" s="78">
        <f>IF('1C'!B39&lt;&gt;"",'1C'!J39,"")</f>
        <v/>
      </c>
    </row>
    <row r="440" ht="15.75" customHeight="1" s="52">
      <c r="A440" s="92">
        <f>IF('1C'!B40&lt;&gt;"","1C","")</f>
        <v/>
      </c>
      <c r="B440" s="82">
        <f>IF('1C'!B40&lt;&gt;"",'1C'!B40,"")</f>
        <v/>
      </c>
      <c r="C440" s="82">
        <f>IF('1C'!B40&lt;&gt;"",'1C'!C40,"")</f>
        <v/>
      </c>
      <c r="D440" s="82">
        <f>IF('1C'!B40&lt;&gt;"",'1C'!D40,"")</f>
        <v/>
      </c>
      <c r="E440" s="82">
        <f>IF('1C'!B40&lt;&gt;"",'1C'!E40,"")</f>
        <v/>
      </c>
      <c r="F440" s="82">
        <f>IF('1C'!B40&lt;&gt;"",'1C'!F40,"")</f>
        <v/>
      </c>
      <c r="G440" s="82">
        <f>IF('1C'!B40&lt;&gt;"",'1C'!G40,"")</f>
        <v/>
      </c>
      <c r="H440" s="92">
        <f>IF('1C'!B40&lt;&gt;"",'1C'!H40,"")</f>
        <v/>
      </c>
      <c r="I440" s="92">
        <f>IF('1C'!B40&lt;&gt;"",'1C'!I40,"")</f>
        <v/>
      </c>
      <c r="J440" s="82">
        <f>IF('1C'!B40&lt;&gt;"",'1C'!J40,"")</f>
        <v/>
      </c>
    </row>
    <row r="441" ht="15.75" customHeight="1" s="52">
      <c r="A441" s="97">
        <f>IF('1C'!B41&lt;&gt;"","1C","")</f>
        <v/>
      </c>
      <c r="B441" s="78">
        <f>IF('1C'!B41&lt;&gt;"",'1C'!B41,"")</f>
        <v/>
      </c>
      <c r="C441" s="78">
        <f>IF('1C'!B41&lt;&gt;"",'1C'!C41,"")</f>
        <v/>
      </c>
      <c r="D441" s="78">
        <f>IF('1C'!B41&lt;&gt;"",'1C'!D41,"")</f>
        <v/>
      </c>
      <c r="E441" s="78">
        <f>IF('1C'!B41&lt;&gt;"",'1C'!E41,"")</f>
        <v/>
      </c>
      <c r="F441" s="78">
        <f>IF('1C'!B41&lt;&gt;"",'1C'!F41,"")</f>
        <v/>
      </c>
      <c r="G441" s="78">
        <f>IF('1C'!B41&lt;&gt;"",'1C'!G41,"")</f>
        <v/>
      </c>
      <c r="H441" s="97">
        <f>IF('1C'!B41&lt;&gt;"",'1C'!H41,"")</f>
        <v/>
      </c>
      <c r="I441" s="97">
        <f>IF('1C'!B41&lt;&gt;"",'1C'!I41,"")</f>
        <v/>
      </c>
      <c r="J441" s="78">
        <f>IF('1C'!B41&lt;&gt;"",'1C'!J41,"")</f>
        <v/>
      </c>
    </row>
    <row r="442" ht="15.75" customHeight="1" s="52">
      <c r="A442" s="92">
        <f>IF('1C'!B42&lt;&gt;"","1C","")</f>
        <v/>
      </c>
      <c r="B442" s="82">
        <f>IF('1C'!B42&lt;&gt;"",'1C'!B42,"")</f>
        <v/>
      </c>
      <c r="C442" s="82">
        <f>IF('1C'!B42&lt;&gt;"",'1C'!C42,"")</f>
        <v/>
      </c>
      <c r="D442" s="82">
        <f>IF('1C'!B42&lt;&gt;"",'1C'!D42,"")</f>
        <v/>
      </c>
      <c r="E442" s="82">
        <f>IF('1C'!B42&lt;&gt;"",'1C'!E42,"")</f>
        <v/>
      </c>
      <c r="F442" s="82">
        <f>IF('1C'!B42&lt;&gt;"",'1C'!F42,"")</f>
        <v/>
      </c>
      <c r="G442" s="82">
        <f>IF('1C'!B42&lt;&gt;"",'1C'!G42,"")</f>
        <v/>
      </c>
      <c r="H442" s="92">
        <f>IF('1C'!B42&lt;&gt;"",'1C'!H42,"")</f>
        <v/>
      </c>
      <c r="I442" s="92">
        <f>IF('1C'!B42&lt;&gt;"",'1C'!I42,"")</f>
        <v/>
      </c>
      <c r="J442" s="82">
        <f>IF('1C'!B42&lt;&gt;"",'1C'!J42,"")</f>
        <v/>
      </c>
    </row>
    <row r="443" ht="15.75" customHeight="1" s="52">
      <c r="A443" s="97">
        <f>IF('1C'!B43&lt;&gt;"","1C","")</f>
        <v/>
      </c>
      <c r="B443" s="78">
        <f>IF('1C'!B43&lt;&gt;"",'1C'!B43,"")</f>
        <v/>
      </c>
      <c r="C443" s="78">
        <f>IF('1C'!B43&lt;&gt;"",'1C'!C43,"")</f>
        <v/>
      </c>
      <c r="D443" s="78">
        <f>IF('1C'!B43&lt;&gt;"",'1C'!D43,"")</f>
        <v/>
      </c>
      <c r="E443" s="78">
        <f>IF('1C'!B43&lt;&gt;"",'1C'!E43,"")</f>
        <v/>
      </c>
      <c r="F443" s="78">
        <f>IF('1C'!B43&lt;&gt;"",'1C'!F43,"")</f>
        <v/>
      </c>
      <c r="G443" s="78">
        <f>IF('1C'!B43&lt;&gt;"",'1C'!G43,"")</f>
        <v/>
      </c>
      <c r="H443" s="97">
        <f>IF('1C'!B43&lt;&gt;"",'1C'!H43,"")</f>
        <v/>
      </c>
      <c r="I443" s="97">
        <f>IF('1C'!B43&lt;&gt;"",'1C'!I43,"")</f>
        <v/>
      </c>
      <c r="J443" s="78">
        <f>IF('1C'!B43&lt;&gt;"",'1C'!J43,"")</f>
        <v/>
      </c>
    </row>
    <row r="444" ht="15.75" customHeight="1" s="52">
      <c r="A444" s="92">
        <f>IF('1C'!B44&lt;&gt;"","1C","")</f>
        <v/>
      </c>
      <c r="B444" s="82">
        <f>IF('1C'!B44&lt;&gt;"",'1C'!B44,"")</f>
        <v/>
      </c>
      <c r="C444" s="82">
        <f>IF('1C'!B44&lt;&gt;"",'1C'!C44,"")</f>
        <v/>
      </c>
      <c r="D444" s="82">
        <f>IF('1C'!B44&lt;&gt;"",'1C'!D44,"")</f>
        <v/>
      </c>
      <c r="E444" s="82">
        <f>IF('1C'!B44&lt;&gt;"",'1C'!E44,"")</f>
        <v/>
      </c>
      <c r="F444" s="82">
        <f>IF('1C'!B44&lt;&gt;"",'1C'!F44,"")</f>
        <v/>
      </c>
      <c r="G444" s="82">
        <f>IF('1C'!B44&lt;&gt;"",'1C'!G44,"")</f>
        <v/>
      </c>
      <c r="H444" s="92">
        <f>IF('1C'!B44&lt;&gt;"",'1C'!H44,"")</f>
        <v/>
      </c>
      <c r="I444" s="92">
        <f>IF('1C'!B44&lt;&gt;"",'1C'!I44,"")</f>
        <v/>
      </c>
      <c r="J444" s="82">
        <f>IF('1C'!B44&lt;&gt;"",'1C'!J44,"")</f>
        <v/>
      </c>
    </row>
    <row r="445" ht="15.75" customHeight="1" s="52">
      <c r="A445" s="97">
        <f>IF('1C'!B45&lt;&gt;"","1C","")</f>
        <v/>
      </c>
      <c r="B445" s="78">
        <f>IF('1C'!B45&lt;&gt;"",'1C'!B45,"")</f>
        <v/>
      </c>
      <c r="C445" s="78">
        <f>IF('1C'!B45&lt;&gt;"",'1C'!C45,"")</f>
        <v/>
      </c>
      <c r="D445" s="78">
        <f>IF('1C'!B45&lt;&gt;"",'1C'!D45,"")</f>
        <v/>
      </c>
      <c r="E445" s="78">
        <f>IF('1C'!B45&lt;&gt;"",'1C'!E45,"")</f>
        <v/>
      </c>
      <c r="F445" s="78">
        <f>IF('1C'!B45&lt;&gt;"",'1C'!F45,"")</f>
        <v/>
      </c>
      <c r="G445" s="78">
        <f>IF('1C'!B45&lt;&gt;"",'1C'!G45,"")</f>
        <v/>
      </c>
      <c r="H445" s="97">
        <f>IF('1C'!B45&lt;&gt;"",'1C'!H45,"")</f>
        <v/>
      </c>
      <c r="I445" s="97">
        <f>IF('1C'!B45&lt;&gt;"",'1C'!I45,"")</f>
        <v/>
      </c>
      <c r="J445" s="78">
        <f>IF('1C'!B45&lt;&gt;"",'1C'!J45,"")</f>
        <v/>
      </c>
    </row>
    <row r="446" ht="15.75" customHeight="1" s="52">
      <c r="A446" s="92">
        <f>IF('1C'!B46&lt;&gt;"","1C","")</f>
        <v/>
      </c>
      <c r="B446" s="82">
        <f>IF('1C'!B46&lt;&gt;"",'1C'!B46,"")</f>
        <v/>
      </c>
      <c r="C446" s="82">
        <f>IF('1C'!B46&lt;&gt;"",'1C'!C46,"")</f>
        <v/>
      </c>
      <c r="D446" s="82">
        <f>IF('1C'!B46&lt;&gt;"",'1C'!D46,"")</f>
        <v/>
      </c>
      <c r="E446" s="82">
        <f>IF('1C'!B46&lt;&gt;"",'1C'!E46,"")</f>
        <v/>
      </c>
      <c r="F446" s="82">
        <f>IF('1C'!B46&lt;&gt;"",'1C'!F46,"")</f>
        <v/>
      </c>
      <c r="G446" s="82">
        <f>IF('1C'!B46&lt;&gt;"",'1C'!G46,"")</f>
        <v/>
      </c>
      <c r="H446" s="92">
        <f>IF('1C'!B46&lt;&gt;"",'1C'!H46,"")</f>
        <v/>
      </c>
      <c r="I446" s="92">
        <f>IF('1C'!B46&lt;&gt;"",'1C'!I46,"")</f>
        <v/>
      </c>
      <c r="J446" s="82">
        <f>IF('1C'!B46&lt;&gt;"",'1C'!J46,"")</f>
        <v/>
      </c>
    </row>
    <row r="447" ht="15.75" customHeight="1" s="52">
      <c r="A447" s="97">
        <f>IF('1C'!B47&lt;&gt;"","1C","")</f>
        <v/>
      </c>
      <c r="B447" s="78">
        <f>IF('1C'!B47&lt;&gt;"",'1C'!B47,"")</f>
        <v/>
      </c>
      <c r="C447" s="78">
        <f>IF('1C'!B47&lt;&gt;"",'1C'!C47,"")</f>
        <v/>
      </c>
      <c r="D447" s="78">
        <f>IF('1C'!B47&lt;&gt;"",'1C'!D47,"")</f>
        <v/>
      </c>
      <c r="E447" s="78">
        <f>IF('1C'!B47&lt;&gt;"",'1C'!E47,"")</f>
        <v/>
      </c>
      <c r="F447" s="78">
        <f>IF('1C'!B47&lt;&gt;"",'1C'!F47,"")</f>
        <v/>
      </c>
      <c r="G447" s="78">
        <f>IF('1C'!B47&lt;&gt;"",'1C'!G47,"")</f>
        <v/>
      </c>
      <c r="H447" s="97">
        <f>IF('1C'!B47&lt;&gt;"",'1C'!H47,"")</f>
        <v/>
      </c>
      <c r="I447" s="97">
        <f>IF('1C'!B47&lt;&gt;"",'1C'!I47,"")</f>
        <v/>
      </c>
      <c r="J447" s="78">
        <f>IF('1C'!B47&lt;&gt;"",'1C'!J47,"")</f>
        <v/>
      </c>
    </row>
    <row r="448" ht="15.75" customHeight="1" s="52">
      <c r="A448" s="92">
        <f>IF('1C'!B48&lt;&gt;"","1C","")</f>
        <v/>
      </c>
      <c r="B448" s="82">
        <f>IF('1C'!B48&lt;&gt;"",'1C'!B48,"")</f>
        <v/>
      </c>
      <c r="C448" s="82">
        <f>IF('1C'!B48&lt;&gt;"",'1C'!C48,"")</f>
        <v/>
      </c>
      <c r="D448" s="82">
        <f>IF('1C'!B48&lt;&gt;"",'1C'!D48,"")</f>
        <v/>
      </c>
      <c r="E448" s="82">
        <f>IF('1C'!B48&lt;&gt;"",'1C'!E48,"")</f>
        <v/>
      </c>
      <c r="F448" s="82">
        <f>IF('1C'!B48&lt;&gt;"",'1C'!F48,"")</f>
        <v/>
      </c>
      <c r="G448" s="82">
        <f>IF('1C'!B48&lt;&gt;"",'1C'!G48,"")</f>
        <v/>
      </c>
      <c r="H448" s="92">
        <f>IF('1C'!B48&lt;&gt;"",'1C'!H48,"")</f>
        <v/>
      </c>
      <c r="I448" s="92">
        <f>IF('1C'!B48&lt;&gt;"",'1C'!I48,"")</f>
        <v/>
      </c>
      <c r="J448" s="82">
        <f>IF('1C'!B48&lt;&gt;"",'1C'!J48,"")</f>
        <v/>
      </c>
    </row>
    <row r="449" ht="15.75" customHeight="1" s="52">
      <c r="A449" s="97">
        <f>IF('1C'!B49&lt;&gt;"","1C","")</f>
        <v/>
      </c>
      <c r="B449" s="78">
        <f>IF('1C'!B49&lt;&gt;"",'1C'!B49,"")</f>
        <v/>
      </c>
      <c r="C449" s="78">
        <f>IF('1C'!B49&lt;&gt;"",'1C'!C49,"")</f>
        <v/>
      </c>
      <c r="D449" s="78">
        <f>IF('1C'!B49&lt;&gt;"",'1C'!D49,"")</f>
        <v/>
      </c>
      <c r="E449" s="78">
        <f>IF('1C'!B49&lt;&gt;"",'1C'!E49,"")</f>
        <v/>
      </c>
      <c r="F449" s="78">
        <f>IF('1C'!B49&lt;&gt;"",'1C'!F49,"")</f>
        <v/>
      </c>
      <c r="G449" s="78">
        <f>IF('1C'!B49&lt;&gt;"",'1C'!G49,"")</f>
        <v/>
      </c>
      <c r="H449" s="97">
        <f>IF('1C'!B49&lt;&gt;"",'1C'!H49,"")</f>
        <v/>
      </c>
      <c r="I449" s="97">
        <f>IF('1C'!B49&lt;&gt;"",'1C'!I49,"")</f>
        <v/>
      </c>
      <c r="J449" s="78">
        <f>IF('1C'!B49&lt;&gt;"",'1C'!J49,"")</f>
        <v/>
      </c>
    </row>
    <row r="450" ht="15.75" customHeight="1" s="52">
      <c r="A450" s="92">
        <f>IF('1C'!B50&lt;&gt;"","1C","")</f>
        <v/>
      </c>
      <c r="B450" s="82">
        <f>IF('1C'!B50&lt;&gt;"",'1C'!B50,"")</f>
        <v/>
      </c>
      <c r="C450" s="82">
        <f>IF('1C'!B50&lt;&gt;"",'1C'!C50,"")</f>
        <v/>
      </c>
      <c r="D450" s="82">
        <f>IF('1C'!B50&lt;&gt;"",'1C'!D50,"")</f>
        <v/>
      </c>
      <c r="E450" s="82">
        <f>IF('1C'!B50&lt;&gt;"",'1C'!E50,"")</f>
        <v/>
      </c>
      <c r="F450" s="82">
        <f>IF('1C'!B50&lt;&gt;"",'1C'!F50,"")</f>
        <v/>
      </c>
      <c r="G450" s="82">
        <f>IF('1C'!B50&lt;&gt;"",'1C'!G50,"")</f>
        <v/>
      </c>
      <c r="H450" s="92">
        <f>IF('1C'!B50&lt;&gt;"",'1C'!H50,"")</f>
        <v/>
      </c>
      <c r="I450" s="92">
        <f>IF('1C'!B50&lt;&gt;"",'1C'!I50,"")</f>
        <v/>
      </c>
      <c r="J450" s="82">
        <f>IF('1C'!B50&lt;&gt;"",'1C'!J50,"")</f>
        <v/>
      </c>
    </row>
    <row r="451" ht="15.75" customHeight="1" s="52">
      <c r="A451" s="97">
        <f>IF('1C'!B51&lt;&gt;"","1C","")</f>
        <v/>
      </c>
      <c r="B451" s="78">
        <f>IF('1C'!B51&lt;&gt;"",'1C'!B51,"")</f>
        <v/>
      </c>
      <c r="C451" s="78">
        <f>IF('1C'!B51&lt;&gt;"",'1C'!C51,"")</f>
        <v/>
      </c>
      <c r="D451" s="78">
        <f>IF('1C'!B51&lt;&gt;"",'1C'!D51,"")</f>
        <v/>
      </c>
      <c r="E451" s="78">
        <f>IF('1C'!B51&lt;&gt;"",'1C'!E51,"")</f>
        <v/>
      </c>
      <c r="F451" s="78">
        <f>IF('1C'!B51&lt;&gt;"",'1C'!F51,"")</f>
        <v/>
      </c>
      <c r="G451" s="78">
        <f>IF('1C'!B51&lt;&gt;"",'1C'!G51,"")</f>
        <v/>
      </c>
      <c r="H451" s="97">
        <f>IF('1C'!B51&lt;&gt;"",'1C'!H51,"")</f>
        <v/>
      </c>
      <c r="I451" s="97">
        <f>IF('1C'!B51&lt;&gt;"",'1C'!I51,"")</f>
        <v/>
      </c>
      <c r="J451" s="78">
        <f>IF('1C'!B51&lt;&gt;"",'1C'!J51,"")</f>
        <v/>
      </c>
    </row>
    <row r="452" ht="15.75" customHeight="1" s="52">
      <c r="A452" s="92">
        <f>IF('1C'!B52&lt;&gt;"","1C","")</f>
        <v/>
      </c>
      <c r="B452" s="82">
        <f>IF('1C'!B52&lt;&gt;"",'1C'!B52,"")</f>
        <v/>
      </c>
      <c r="C452" s="82">
        <f>IF('1C'!B52&lt;&gt;"",'1C'!C52,"")</f>
        <v/>
      </c>
      <c r="D452" s="82">
        <f>IF('1C'!B52&lt;&gt;"",'1C'!D52,"")</f>
        <v/>
      </c>
      <c r="E452" s="82">
        <f>IF('1C'!B52&lt;&gt;"",'1C'!E52,"")</f>
        <v/>
      </c>
      <c r="F452" s="82">
        <f>IF('1C'!B52&lt;&gt;"",'1C'!F52,"")</f>
        <v/>
      </c>
      <c r="G452" s="82">
        <f>IF('1C'!B52&lt;&gt;"",'1C'!G52,"")</f>
        <v/>
      </c>
      <c r="H452" s="92">
        <f>IF('1C'!B52&lt;&gt;"",'1C'!H52,"")</f>
        <v/>
      </c>
      <c r="I452" s="92">
        <f>IF('1C'!B52&lt;&gt;"",'1C'!I52,"")</f>
        <v/>
      </c>
      <c r="J452" s="82">
        <f>IF('1C'!B52&lt;&gt;"",'1C'!J52,"")</f>
        <v/>
      </c>
    </row>
    <row r="453" ht="15.75" customHeight="1" s="52">
      <c r="A453" s="97">
        <f>IF('1C'!B53&lt;&gt;"","1C","")</f>
        <v/>
      </c>
      <c r="B453" s="78">
        <f>IF('1C'!B53&lt;&gt;"",'1C'!B53,"")</f>
        <v/>
      </c>
      <c r="C453" s="78">
        <f>IF('1C'!B53&lt;&gt;"",'1C'!C53,"")</f>
        <v/>
      </c>
      <c r="D453" s="78">
        <f>IF('1C'!B53&lt;&gt;"",'1C'!D53,"")</f>
        <v/>
      </c>
      <c r="E453" s="78">
        <f>IF('1C'!B53&lt;&gt;"",'1C'!E53,"")</f>
        <v/>
      </c>
      <c r="F453" s="78">
        <f>IF('1C'!B53&lt;&gt;"",'1C'!F53,"")</f>
        <v/>
      </c>
      <c r="G453" s="78">
        <f>IF('1C'!B53&lt;&gt;"",'1C'!G53,"")</f>
        <v/>
      </c>
      <c r="H453" s="97">
        <f>IF('1C'!B53&lt;&gt;"",'1C'!H53,"")</f>
        <v/>
      </c>
      <c r="I453" s="97">
        <f>IF('1C'!B53&lt;&gt;"",'1C'!I53,"")</f>
        <v/>
      </c>
      <c r="J453" s="78">
        <f>IF('1C'!B53&lt;&gt;"",'1C'!J53,"")</f>
        <v/>
      </c>
    </row>
    <row r="454" ht="15.75" customHeight="1" s="52">
      <c r="A454" s="92">
        <f>IF('1C'!B54&lt;&gt;"","1C","")</f>
        <v/>
      </c>
      <c r="B454" s="82">
        <f>IF('1C'!B54&lt;&gt;"",'1C'!B54,"")</f>
        <v/>
      </c>
      <c r="C454" s="82">
        <f>IF('1C'!B54&lt;&gt;"",'1C'!C54,"")</f>
        <v/>
      </c>
      <c r="D454" s="82">
        <f>IF('1C'!B54&lt;&gt;"",'1C'!D54,"")</f>
        <v/>
      </c>
      <c r="E454" s="82">
        <f>IF('1C'!B54&lt;&gt;"",'1C'!E54,"")</f>
        <v/>
      </c>
      <c r="F454" s="82">
        <f>IF('1C'!B54&lt;&gt;"",'1C'!F54,"")</f>
        <v/>
      </c>
      <c r="G454" s="82">
        <f>IF('1C'!B54&lt;&gt;"",'1C'!G54,"")</f>
        <v/>
      </c>
      <c r="H454" s="92">
        <f>IF('1C'!B54&lt;&gt;"",'1C'!H54,"")</f>
        <v/>
      </c>
      <c r="I454" s="92">
        <f>IF('1C'!B54&lt;&gt;"",'1C'!I54,"")</f>
        <v/>
      </c>
      <c r="J454" s="82">
        <f>IF('1C'!B54&lt;&gt;"",'1C'!J54,"")</f>
        <v/>
      </c>
    </row>
    <row r="455" ht="15.75" customHeight="1" s="52">
      <c r="A455" s="97">
        <f>IF('2A'!B5&lt;&gt;"","2A","")</f>
        <v/>
      </c>
      <c r="B455" s="78">
        <f>IF('2A'!B5&lt;&gt;"",'2A'!B5,"")</f>
        <v/>
      </c>
      <c r="C455" s="78">
        <f>IF('2A'!B5&lt;&gt;"",'2A'!C5,"")</f>
        <v/>
      </c>
      <c r="D455" s="78">
        <f>IF('2A'!B5&lt;&gt;"",'2A'!D5,"")</f>
        <v/>
      </c>
      <c r="E455" s="78">
        <f>IF('2A'!B5&lt;&gt;"",'2A'!E5,"")</f>
        <v/>
      </c>
      <c r="F455" s="78">
        <f>IF('2A'!B5&lt;&gt;"",'2A'!F5,"")</f>
        <v/>
      </c>
      <c r="G455" s="78">
        <f>IF('2A'!B5&lt;&gt;"",'2A'!G5,"")</f>
        <v/>
      </c>
      <c r="H455" s="97">
        <f>IF('2A'!B5&lt;&gt;"",'2A'!H5,"")</f>
        <v/>
      </c>
      <c r="I455" s="97">
        <f>IF('2A'!B5&lt;&gt;"",'2A'!I5,"")</f>
        <v/>
      </c>
      <c r="J455" s="78">
        <f>IF('2A'!B5&lt;&gt;"",'2A'!J5,"")</f>
        <v/>
      </c>
    </row>
    <row r="456" ht="15.75" customHeight="1" s="52">
      <c r="A456" s="92">
        <f>IF('2A'!B6&lt;&gt;"","2A","")</f>
        <v/>
      </c>
      <c r="B456" s="82">
        <f>IF('2A'!B6&lt;&gt;"",'2A'!B6,"")</f>
        <v/>
      </c>
      <c r="C456" s="82">
        <f>IF('2A'!B6&lt;&gt;"",'2A'!C6,"")</f>
        <v/>
      </c>
      <c r="D456" s="82">
        <f>IF('2A'!B6&lt;&gt;"",'2A'!D6,"")</f>
        <v/>
      </c>
      <c r="E456" s="82">
        <f>IF('2A'!B6&lt;&gt;"",'2A'!E6,"")</f>
        <v/>
      </c>
      <c r="F456" s="82">
        <f>IF('2A'!B6&lt;&gt;"",'2A'!F6,"")</f>
        <v/>
      </c>
      <c r="G456" s="82">
        <f>IF('2A'!B6&lt;&gt;"",'2A'!G6,"")</f>
        <v/>
      </c>
      <c r="H456" s="92">
        <f>IF('2A'!B6&lt;&gt;"",'2A'!H6,"")</f>
        <v/>
      </c>
      <c r="I456" s="92">
        <f>IF('2A'!B6&lt;&gt;"",'2A'!I6,"")</f>
        <v/>
      </c>
      <c r="J456" s="82">
        <f>IF('2A'!B6&lt;&gt;"",'2A'!J6,"")</f>
        <v/>
      </c>
    </row>
    <row r="457" ht="15.75" customHeight="1" s="52">
      <c r="A457" s="97">
        <f>IF('2A'!B7&lt;&gt;"","2A","")</f>
        <v/>
      </c>
      <c r="B457" s="78">
        <f>IF('2A'!B7&lt;&gt;"",'2A'!B7,"")</f>
        <v/>
      </c>
      <c r="C457" s="78">
        <f>IF('2A'!B7&lt;&gt;"",'2A'!C7,"")</f>
        <v/>
      </c>
      <c r="D457" s="78">
        <f>IF('2A'!B7&lt;&gt;"",'2A'!D7,"")</f>
        <v/>
      </c>
      <c r="E457" s="78">
        <f>IF('2A'!B7&lt;&gt;"",'2A'!E7,"")</f>
        <v/>
      </c>
      <c r="F457" s="78">
        <f>IF('2A'!B7&lt;&gt;"",'2A'!F7,"")</f>
        <v/>
      </c>
      <c r="G457" s="78">
        <f>IF('2A'!B7&lt;&gt;"",'2A'!G7,"")</f>
        <v/>
      </c>
      <c r="H457" s="97">
        <f>IF('2A'!B7&lt;&gt;"",'2A'!H7,"")</f>
        <v/>
      </c>
      <c r="I457" s="97">
        <f>IF('2A'!B7&lt;&gt;"",'2A'!I7,"")</f>
        <v/>
      </c>
      <c r="J457" s="78">
        <f>IF('2A'!B7&lt;&gt;"",'2A'!J7,"")</f>
        <v/>
      </c>
    </row>
    <row r="458" ht="15.75" customHeight="1" s="52">
      <c r="A458" s="92">
        <f>IF('2A'!B8&lt;&gt;"","2A","")</f>
        <v/>
      </c>
      <c r="B458" s="82">
        <f>IF('2A'!B8&lt;&gt;"",'2A'!B8,"")</f>
        <v/>
      </c>
      <c r="C458" s="82">
        <f>IF('2A'!B8&lt;&gt;"",'2A'!C8,"")</f>
        <v/>
      </c>
      <c r="D458" s="82">
        <f>IF('2A'!B8&lt;&gt;"",'2A'!D8,"")</f>
        <v/>
      </c>
      <c r="E458" s="82">
        <f>IF('2A'!B8&lt;&gt;"",'2A'!E8,"")</f>
        <v/>
      </c>
      <c r="F458" s="82">
        <f>IF('2A'!B8&lt;&gt;"",'2A'!F8,"")</f>
        <v/>
      </c>
      <c r="G458" s="82">
        <f>IF('2A'!B8&lt;&gt;"",'2A'!G8,"")</f>
        <v/>
      </c>
      <c r="H458" s="92">
        <f>IF('2A'!B8&lt;&gt;"",'2A'!H8,"")</f>
        <v/>
      </c>
      <c r="I458" s="92">
        <f>IF('2A'!B8&lt;&gt;"",'2A'!I8,"")</f>
        <v/>
      </c>
      <c r="J458" s="82">
        <f>IF('2A'!B8&lt;&gt;"",'2A'!J8,"")</f>
        <v/>
      </c>
    </row>
    <row r="459" ht="15.75" customHeight="1" s="52">
      <c r="A459" s="97">
        <f>IF('2A'!B9&lt;&gt;"","2A","")</f>
        <v/>
      </c>
      <c r="B459" s="78">
        <f>IF('2A'!B9&lt;&gt;"",'2A'!B9,"")</f>
        <v/>
      </c>
      <c r="C459" s="78">
        <f>IF('2A'!B9&lt;&gt;"",'2A'!C9,"")</f>
        <v/>
      </c>
      <c r="D459" s="78">
        <f>IF('2A'!B9&lt;&gt;"",'2A'!D9,"")</f>
        <v/>
      </c>
      <c r="E459" s="78">
        <f>IF('2A'!B9&lt;&gt;"",'2A'!E9,"")</f>
        <v/>
      </c>
      <c r="F459" s="78">
        <f>IF('2A'!B9&lt;&gt;"",'2A'!F9,"")</f>
        <v/>
      </c>
      <c r="G459" s="78">
        <f>IF('2A'!B9&lt;&gt;"",'2A'!G9,"")</f>
        <v/>
      </c>
      <c r="H459" s="97">
        <f>IF('2A'!B9&lt;&gt;"",'2A'!H9,"")</f>
        <v/>
      </c>
      <c r="I459" s="97">
        <f>IF('2A'!B9&lt;&gt;"",'2A'!I9,"")</f>
        <v/>
      </c>
      <c r="J459" s="78">
        <f>IF('2A'!B9&lt;&gt;"",'2A'!J9,"")</f>
        <v/>
      </c>
    </row>
    <row r="460" ht="15.75" customHeight="1" s="52">
      <c r="A460" s="92">
        <f>IF('2A'!B10&lt;&gt;"","2A","")</f>
        <v/>
      </c>
      <c r="B460" s="82">
        <f>IF('2A'!B10&lt;&gt;"",'2A'!B10,"")</f>
        <v/>
      </c>
      <c r="C460" s="82">
        <f>IF('2A'!B10&lt;&gt;"",'2A'!C10,"")</f>
        <v/>
      </c>
      <c r="D460" s="82">
        <f>IF('2A'!B10&lt;&gt;"",'2A'!D10,"")</f>
        <v/>
      </c>
      <c r="E460" s="82">
        <f>IF('2A'!B10&lt;&gt;"",'2A'!E10,"")</f>
        <v/>
      </c>
      <c r="F460" s="82">
        <f>IF('2A'!B10&lt;&gt;"",'2A'!F10,"")</f>
        <v/>
      </c>
      <c r="G460" s="82">
        <f>IF('2A'!B10&lt;&gt;"",'2A'!G10,"")</f>
        <v/>
      </c>
      <c r="H460" s="92">
        <f>IF('2A'!B10&lt;&gt;"",'2A'!H10,"")</f>
        <v/>
      </c>
      <c r="I460" s="92">
        <f>IF('2A'!B10&lt;&gt;"",'2A'!I10,"")</f>
        <v/>
      </c>
      <c r="J460" s="82">
        <f>IF('2A'!B10&lt;&gt;"",'2A'!J10,"")</f>
        <v/>
      </c>
    </row>
    <row r="461" ht="15.75" customHeight="1" s="52">
      <c r="A461" s="97">
        <f>IF('2A'!B11&lt;&gt;"","2A","")</f>
        <v/>
      </c>
      <c r="B461" s="78">
        <f>IF('2A'!B11&lt;&gt;"",'2A'!B11,"")</f>
        <v/>
      </c>
      <c r="C461" s="78">
        <f>IF('2A'!B11&lt;&gt;"",'2A'!C11,"")</f>
        <v/>
      </c>
      <c r="D461" s="78">
        <f>IF('2A'!B11&lt;&gt;"",'2A'!D11,"")</f>
        <v/>
      </c>
      <c r="E461" s="78">
        <f>IF('2A'!B11&lt;&gt;"",'2A'!E11,"")</f>
        <v/>
      </c>
      <c r="F461" s="78">
        <f>IF('2A'!B11&lt;&gt;"",'2A'!F11,"")</f>
        <v/>
      </c>
      <c r="G461" s="78">
        <f>IF('2A'!B11&lt;&gt;"",'2A'!G11,"")</f>
        <v/>
      </c>
      <c r="H461" s="97">
        <f>IF('2A'!B11&lt;&gt;"",'2A'!H11,"")</f>
        <v/>
      </c>
      <c r="I461" s="97">
        <f>IF('2A'!B11&lt;&gt;"",'2A'!I11,"")</f>
        <v/>
      </c>
      <c r="J461" s="78">
        <f>IF('2A'!B11&lt;&gt;"",'2A'!J11,"")</f>
        <v/>
      </c>
    </row>
    <row r="462" ht="15.75" customHeight="1" s="52">
      <c r="A462" s="92">
        <f>IF('2A'!B12&lt;&gt;"","2A","")</f>
        <v/>
      </c>
      <c r="B462" s="82">
        <f>IF('2A'!B12&lt;&gt;"",'2A'!B12,"")</f>
        <v/>
      </c>
      <c r="C462" s="82">
        <f>IF('2A'!B12&lt;&gt;"",'2A'!C12,"")</f>
        <v/>
      </c>
      <c r="D462" s="82">
        <f>IF('2A'!B12&lt;&gt;"",'2A'!D12,"")</f>
        <v/>
      </c>
      <c r="E462" s="82">
        <f>IF('2A'!B12&lt;&gt;"",'2A'!E12,"")</f>
        <v/>
      </c>
      <c r="F462" s="82">
        <f>IF('2A'!B12&lt;&gt;"",'2A'!F12,"")</f>
        <v/>
      </c>
      <c r="G462" s="82">
        <f>IF('2A'!B12&lt;&gt;"",'2A'!G12,"")</f>
        <v/>
      </c>
      <c r="H462" s="92">
        <f>IF('2A'!B12&lt;&gt;"",'2A'!H12,"")</f>
        <v/>
      </c>
      <c r="I462" s="92">
        <f>IF('2A'!B12&lt;&gt;"",'2A'!I12,"")</f>
        <v/>
      </c>
      <c r="J462" s="82">
        <f>IF('2A'!B12&lt;&gt;"",'2A'!J12,"")</f>
        <v/>
      </c>
    </row>
    <row r="463" ht="15.75" customHeight="1" s="52">
      <c r="A463" s="97">
        <f>IF('2A'!B13&lt;&gt;"","2A","")</f>
        <v/>
      </c>
      <c r="B463" s="78">
        <f>IF('2A'!B13&lt;&gt;"",'2A'!B13,"")</f>
        <v/>
      </c>
      <c r="C463" s="78">
        <f>IF('2A'!B13&lt;&gt;"",'2A'!C13,"")</f>
        <v/>
      </c>
      <c r="D463" s="78">
        <f>IF('2A'!B13&lt;&gt;"",'2A'!D13,"")</f>
        <v/>
      </c>
      <c r="E463" s="78">
        <f>IF('2A'!B13&lt;&gt;"",'2A'!E13,"")</f>
        <v/>
      </c>
      <c r="F463" s="78">
        <f>IF('2A'!B13&lt;&gt;"",'2A'!F13,"")</f>
        <v/>
      </c>
      <c r="G463" s="78">
        <f>IF('2A'!B13&lt;&gt;"",'2A'!G13,"")</f>
        <v/>
      </c>
      <c r="H463" s="97">
        <f>IF('2A'!B13&lt;&gt;"",'2A'!H13,"")</f>
        <v/>
      </c>
      <c r="I463" s="97">
        <f>IF('2A'!B13&lt;&gt;"",'2A'!I13,"")</f>
        <v/>
      </c>
      <c r="J463" s="78">
        <f>IF('2A'!B13&lt;&gt;"",'2A'!J13,"")</f>
        <v/>
      </c>
    </row>
    <row r="464" ht="15.75" customHeight="1" s="52">
      <c r="A464" s="92">
        <f>IF('2A'!B14&lt;&gt;"","2A","")</f>
        <v/>
      </c>
      <c r="B464" s="82">
        <f>IF('2A'!B14&lt;&gt;"",'2A'!B14,"")</f>
        <v/>
      </c>
      <c r="C464" s="82">
        <f>IF('2A'!B14&lt;&gt;"",'2A'!C14,"")</f>
        <v/>
      </c>
      <c r="D464" s="82">
        <f>IF('2A'!B14&lt;&gt;"",'2A'!D14,"")</f>
        <v/>
      </c>
      <c r="E464" s="82">
        <f>IF('2A'!B14&lt;&gt;"",'2A'!E14,"")</f>
        <v/>
      </c>
      <c r="F464" s="82">
        <f>IF('2A'!B14&lt;&gt;"",'2A'!F14,"")</f>
        <v/>
      </c>
      <c r="G464" s="82">
        <f>IF('2A'!B14&lt;&gt;"",'2A'!G14,"")</f>
        <v/>
      </c>
      <c r="H464" s="92">
        <f>IF('2A'!B14&lt;&gt;"",'2A'!H14,"")</f>
        <v/>
      </c>
      <c r="I464" s="92">
        <f>IF('2A'!B14&lt;&gt;"",'2A'!I14,"")</f>
        <v/>
      </c>
      <c r="J464" s="82">
        <f>IF('2A'!B14&lt;&gt;"",'2A'!J14,"")</f>
        <v/>
      </c>
    </row>
    <row r="465" ht="15.75" customHeight="1" s="52">
      <c r="A465" s="97">
        <f>IF('2A'!B15&lt;&gt;"","2A","")</f>
        <v/>
      </c>
      <c r="B465" s="78">
        <f>IF('2A'!B15&lt;&gt;"",'2A'!B15,"")</f>
        <v/>
      </c>
      <c r="C465" s="78">
        <f>IF('2A'!B15&lt;&gt;"",'2A'!C15,"")</f>
        <v/>
      </c>
      <c r="D465" s="78">
        <f>IF('2A'!B15&lt;&gt;"",'2A'!D15,"")</f>
        <v/>
      </c>
      <c r="E465" s="78">
        <f>IF('2A'!B15&lt;&gt;"",'2A'!E15,"")</f>
        <v/>
      </c>
      <c r="F465" s="78">
        <f>IF('2A'!B15&lt;&gt;"",'2A'!F15,"")</f>
        <v/>
      </c>
      <c r="G465" s="78">
        <f>IF('2A'!B15&lt;&gt;"",'2A'!G15,"")</f>
        <v/>
      </c>
      <c r="H465" s="97">
        <f>IF('2A'!B15&lt;&gt;"",'2A'!H15,"")</f>
        <v/>
      </c>
      <c r="I465" s="97">
        <f>IF('2A'!B15&lt;&gt;"",'2A'!I15,"")</f>
        <v/>
      </c>
      <c r="J465" s="78">
        <f>IF('2A'!B15&lt;&gt;"",'2A'!J15,"")</f>
        <v/>
      </c>
    </row>
    <row r="466" ht="15.75" customHeight="1" s="52">
      <c r="A466" s="92">
        <f>IF('2A'!B16&lt;&gt;"","2A","")</f>
        <v/>
      </c>
      <c r="B466" s="82">
        <f>IF('2A'!B16&lt;&gt;"",'2A'!B16,"")</f>
        <v/>
      </c>
      <c r="C466" s="82">
        <f>IF('2A'!B16&lt;&gt;"",'2A'!C16,"")</f>
        <v/>
      </c>
      <c r="D466" s="82">
        <f>IF('2A'!B16&lt;&gt;"",'2A'!D16,"")</f>
        <v/>
      </c>
      <c r="E466" s="82">
        <f>IF('2A'!B16&lt;&gt;"",'2A'!E16,"")</f>
        <v/>
      </c>
      <c r="F466" s="82">
        <f>IF('2A'!B16&lt;&gt;"",'2A'!F16,"")</f>
        <v/>
      </c>
      <c r="G466" s="82">
        <f>IF('2A'!B16&lt;&gt;"",'2A'!G16,"")</f>
        <v/>
      </c>
      <c r="H466" s="92">
        <f>IF('2A'!B16&lt;&gt;"",'2A'!H16,"")</f>
        <v/>
      </c>
      <c r="I466" s="92">
        <f>IF('2A'!B16&lt;&gt;"",'2A'!I16,"")</f>
        <v/>
      </c>
      <c r="J466" s="82">
        <f>IF('2A'!B16&lt;&gt;"",'2A'!J16,"")</f>
        <v/>
      </c>
    </row>
    <row r="467" ht="15.75" customHeight="1" s="52">
      <c r="A467" s="97">
        <f>IF('2A'!B17&lt;&gt;"","2A","")</f>
        <v/>
      </c>
      <c r="B467" s="78">
        <f>IF('2A'!B17&lt;&gt;"",'2A'!B17,"")</f>
        <v/>
      </c>
      <c r="C467" s="78">
        <f>IF('2A'!B17&lt;&gt;"",'2A'!C17,"")</f>
        <v/>
      </c>
      <c r="D467" s="78">
        <f>IF('2A'!B17&lt;&gt;"",'2A'!D17,"")</f>
        <v/>
      </c>
      <c r="E467" s="78">
        <f>IF('2A'!B17&lt;&gt;"",'2A'!E17,"")</f>
        <v/>
      </c>
      <c r="F467" s="78">
        <f>IF('2A'!B17&lt;&gt;"",'2A'!F17,"")</f>
        <v/>
      </c>
      <c r="G467" s="78">
        <f>IF('2A'!B17&lt;&gt;"",'2A'!G17,"")</f>
        <v/>
      </c>
      <c r="H467" s="97">
        <f>IF('2A'!B17&lt;&gt;"",'2A'!H17,"")</f>
        <v/>
      </c>
      <c r="I467" s="97">
        <f>IF('2A'!B17&lt;&gt;"",'2A'!I17,"")</f>
        <v/>
      </c>
      <c r="J467" s="78">
        <f>IF('2A'!B17&lt;&gt;"",'2A'!J17,"")</f>
        <v/>
      </c>
    </row>
    <row r="468" ht="15.75" customHeight="1" s="52">
      <c r="A468" s="92">
        <f>IF('2A'!B18&lt;&gt;"","2A","")</f>
        <v/>
      </c>
      <c r="B468" s="82">
        <f>IF('2A'!B18&lt;&gt;"",'2A'!B18,"")</f>
        <v/>
      </c>
      <c r="C468" s="82">
        <f>IF('2A'!B18&lt;&gt;"",'2A'!C18,"")</f>
        <v/>
      </c>
      <c r="D468" s="82">
        <f>IF('2A'!B18&lt;&gt;"",'2A'!D18,"")</f>
        <v/>
      </c>
      <c r="E468" s="82">
        <f>IF('2A'!B18&lt;&gt;"",'2A'!E18,"")</f>
        <v/>
      </c>
      <c r="F468" s="82">
        <f>IF('2A'!B18&lt;&gt;"",'2A'!F18,"")</f>
        <v/>
      </c>
      <c r="G468" s="82">
        <f>IF('2A'!B18&lt;&gt;"",'2A'!G18,"")</f>
        <v/>
      </c>
      <c r="H468" s="92">
        <f>IF('2A'!B18&lt;&gt;"",'2A'!H18,"")</f>
        <v/>
      </c>
      <c r="I468" s="92">
        <f>IF('2A'!B18&lt;&gt;"",'2A'!I18,"")</f>
        <v/>
      </c>
      <c r="J468" s="82">
        <f>IF('2A'!B18&lt;&gt;"",'2A'!J18,"")</f>
        <v/>
      </c>
    </row>
    <row r="469" ht="15.75" customHeight="1" s="52">
      <c r="A469" s="97">
        <f>IF('2A'!B19&lt;&gt;"","2A","")</f>
        <v/>
      </c>
      <c r="B469" s="78">
        <f>IF('2A'!B19&lt;&gt;"",'2A'!B19,"")</f>
        <v/>
      </c>
      <c r="C469" s="78">
        <f>IF('2A'!B19&lt;&gt;"",'2A'!C19,"")</f>
        <v/>
      </c>
      <c r="D469" s="78">
        <f>IF('2A'!B19&lt;&gt;"",'2A'!D19,"")</f>
        <v/>
      </c>
      <c r="E469" s="78">
        <f>IF('2A'!B19&lt;&gt;"",'2A'!E19,"")</f>
        <v/>
      </c>
      <c r="F469" s="78">
        <f>IF('2A'!B19&lt;&gt;"",'2A'!F19,"")</f>
        <v/>
      </c>
      <c r="G469" s="78">
        <f>IF('2A'!B19&lt;&gt;"",'2A'!G19,"")</f>
        <v/>
      </c>
      <c r="H469" s="97">
        <f>IF('2A'!B19&lt;&gt;"",'2A'!H19,"")</f>
        <v/>
      </c>
      <c r="I469" s="97">
        <f>IF('2A'!B19&lt;&gt;"",'2A'!I19,"")</f>
        <v/>
      </c>
      <c r="J469" s="78">
        <f>IF('2A'!B19&lt;&gt;"",'2A'!J19,"")</f>
        <v/>
      </c>
    </row>
    <row r="470" ht="15.75" customHeight="1" s="52">
      <c r="A470" s="92">
        <f>IF('2A'!B20&lt;&gt;"","2A","")</f>
        <v/>
      </c>
      <c r="B470" s="82">
        <f>IF('2A'!B20&lt;&gt;"",'2A'!B20,"")</f>
        <v/>
      </c>
      <c r="C470" s="82">
        <f>IF('2A'!B20&lt;&gt;"",'2A'!C20,"")</f>
        <v/>
      </c>
      <c r="D470" s="82">
        <f>IF('2A'!B20&lt;&gt;"",'2A'!D20,"")</f>
        <v/>
      </c>
      <c r="E470" s="82">
        <f>IF('2A'!B20&lt;&gt;"",'2A'!E20,"")</f>
        <v/>
      </c>
      <c r="F470" s="82">
        <f>IF('2A'!B20&lt;&gt;"",'2A'!F20,"")</f>
        <v/>
      </c>
      <c r="G470" s="82">
        <f>IF('2A'!B20&lt;&gt;"",'2A'!G20,"")</f>
        <v/>
      </c>
      <c r="H470" s="92">
        <f>IF('2A'!B20&lt;&gt;"",'2A'!H20,"")</f>
        <v/>
      </c>
      <c r="I470" s="92">
        <f>IF('2A'!B20&lt;&gt;"",'2A'!I20,"")</f>
        <v/>
      </c>
      <c r="J470" s="82">
        <f>IF('2A'!B20&lt;&gt;"",'2A'!J20,"")</f>
        <v/>
      </c>
    </row>
    <row r="471" ht="15.75" customHeight="1" s="52">
      <c r="A471" s="97">
        <f>IF('2A'!B21&lt;&gt;"","2A","")</f>
        <v/>
      </c>
      <c r="B471" s="78">
        <f>IF('2A'!B21&lt;&gt;"",'2A'!B21,"")</f>
        <v/>
      </c>
      <c r="C471" s="78">
        <f>IF('2A'!B21&lt;&gt;"",'2A'!C21,"")</f>
        <v/>
      </c>
      <c r="D471" s="78">
        <f>IF('2A'!B21&lt;&gt;"",'2A'!D21,"")</f>
        <v/>
      </c>
      <c r="E471" s="78">
        <f>IF('2A'!B21&lt;&gt;"",'2A'!E21,"")</f>
        <v/>
      </c>
      <c r="F471" s="78">
        <f>IF('2A'!B21&lt;&gt;"",'2A'!F21,"")</f>
        <v/>
      </c>
      <c r="G471" s="78">
        <f>IF('2A'!B21&lt;&gt;"",'2A'!G21,"")</f>
        <v/>
      </c>
      <c r="H471" s="97">
        <f>IF('2A'!B21&lt;&gt;"",'2A'!H21,"")</f>
        <v/>
      </c>
      <c r="I471" s="97">
        <f>IF('2A'!B21&lt;&gt;"",'2A'!I21,"")</f>
        <v/>
      </c>
      <c r="J471" s="78">
        <f>IF('2A'!B21&lt;&gt;"",'2A'!J21,"")</f>
        <v/>
      </c>
    </row>
    <row r="472" ht="15.75" customHeight="1" s="52">
      <c r="A472" s="92">
        <f>IF('2A'!B22&lt;&gt;"","2A","")</f>
        <v/>
      </c>
      <c r="B472" s="82">
        <f>IF('2A'!B22&lt;&gt;"",'2A'!B22,"")</f>
        <v/>
      </c>
      <c r="C472" s="82">
        <f>IF('2A'!B22&lt;&gt;"",'2A'!C22,"")</f>
        <v/>
      </c>
      <c r="D472" s="82">
        <f>IF('2A'!B22&lt;&gt;"",'2A'!D22,"")</f>
        <v/>
      </c>
      <c r="E472" s="82">
        <f>IF('2A'!B22&lt;&gt;"",'2A'!E22,"")</f>
        <v/>
      </c>
      <c r="F472" s="82">
        <f>IF('2A'!B22&lt;&gt;"",'2A'!F22,"")</f>
        <v/>
      </c>
      <c r="G472" s="82">
        <f>IF('2A'!B22&lt;&gt;"",'2A'!G22,"")</f>
        <v/>
      </c>
      <c r="H472" s="92">
        <f>IF('2A'!B22&lt;&gt;"",'2A'!H22,"")</f>
        <v/>
      </c>
      <c r="I472" s="92">
        <f>IF('2A'!B22&lt;&gt;"",'2A'!I22,"")</f>
        <v/>
      </c>
      <c r="J472" s="82">
        <f>IF('2A'!B22&lt;&gt;"",'2A'!J22,"")</f>
        <v/>
      </c>
    </row>
    <row r="473" ht="15.75" customHeight="1" s="52">
      <c r="A473" s="97">
        <f>IF('2A'!B23&lt;&gt;"","2A","")</f>
        <v/>
      </c>
      <c r="B473" s="78">
        <f>IF('2A'!B23&lt;&gt;"",'2A'!B23,"")</f>
        <v/>
      </c>
      <c r="C473" s="78">
        <f>IF('2A'!B23&lt;&gt;"",'2A'!C23,"")</f>
        <v/>
      </c>
      <c r="D473" s="78">
        <f>IF('2A'!B23&lt;&gt;"",'2A'!D23,"")</f>
        <v/>
      </c>
      <c r="E473" s="78">
        <f>IF('2A'!B23&lt;&gt;"",'2A'!E23,"")</f>
        <v/>
      </c>
      <c r="F473" s="78">
        <f>IF('2A'!B23&lt;&gt;"",'2A'!F23,"")</f>
        <v/>
      </c>
      <c r="G473" s="78">
        <f>IF('2A'!B23&lt;&gt;"",'2A'!G23,"")</f>
        <v/>
      </c>
      <c r="H473" s="97">
        <f>IF('2A'!B23&lt;&gt;"",'2A'!H23,"")</f>
        <v/>
      </c>
      <c r="I473" s="97">
        <f>IF('2A'!B23&lt;&gt;"",'2A'!I23,"")</f>
        <v/>
      </c>
      <c r="J473" s="78">
        <f>IF('2A'!B23&lt;&gt;"",'2A'!J23,"")</f>
        <v/>
      </c>
    </row>
    <row r="474" ht="15.75" customHeight="1" s="52">
      <c r="A474" s="92">
        <f>IF('2A'!B24&lt;&gt;"","2A","")</f>
        <v/>
      </c>
      <c r="B474" s="82">
        <f>IF('2A'!B24&lt;&gt;"",'2A'!B24,"")</f>
        <v/>
      </c>
      <c r="C474" s="82">
        <f>IF('2A'!B24&lt;&gt;"",'2A'!C24,"")</f>
        <v/>
      </c>
      <c r="D474" s="82">
        <f>IF('2A'!B24&lt;&gt;"",'2A'!D24,"")</f>
        <v/>
      </c>
      <c r="E474" s="82">
        <f>IF('2A'!B24&lt;&gt;"",'2A'!E24,"")</f>
        <v/>
      </c>
      <c r="F474" s="82">
        <f>IF('2A'!B24&lt;&gt;"",'2A'!F24,"")</f>
        <v/>
      </c>
      <c r="G474" s="82">
        <f>IF('2A'!B24&lt;&gt;"",'2A'!G24,"")</f>
        <v/>
      </c>
      <c r="H474" s="92">
        <f>IF('2A'!B24&lt;&gt;"",'2A'!H24,"")</f>
        <v/>
      </c>
      <c r="I474" s="92">
        <f>IF('2A'!B24&lt;&gt;"",'2A'!I24,"")</f>
        <v/>
      </c>
      <c r="J474" s="82">
        <f>IF('2A'!B24&lt;&gt;"",'2A'!J24,"")</f>
        <v/>
      </c>
    </row>
    <row r="475" ht="15.75" customHeight="1" s="52">
      <c r="A475" s="97">
        <f>IF('2A'!B25&lt;&gt;"","2A","")</f>
        <v/>
      </c>
      <c r="B475" s="78">
        <f>IF('2A'!B25&lt;&gt;"",'2A'!B25,"")</f>
        <v/>
      </c>
      <c r="C475" s="78">
        <f>IF('2A'!B25&lt;&gt;"",'2A'!C25,"")</f>
        <v/>
      </c>
      <c r="D475" s="78">
        <f>IF('2A'!B25&lt;&gt;"",'2A'!D25,"")</f>
        <v/>
      </c>
      <c r="E475" s="78">
        <f>IF('2A'!B25&lt;&gt;"",'2A'!E25,"")</f>
        <v/>
      </c>
      <c r="F475" s="78">
        <f>IF('2A'!B25&lt;&gt;"",'2A'!F25,"")</f>
        <v/>
      </c>
      <c r="G475" s="78">
        <f>IF('2A'!B25&lt;&gt;"",'2A'!G25,"")</f>
        <v/>
      </c>
      <c r="H475" s="97">
        <f>IF('2A'!B25&lt;&gt;"",'2A'!H25,"")</f>
        <v/>
      </c>
      <c r="I475" s="97">
        <f>IF('2A'!B25&lt;&gt;"",'2A'!I25,"")</f>
        <v/>
      </c>
      <c r="J475" s="78">
        <f>IF('2A'!B25&lt;&gt;"",'2A'!J25,"")</f>
        <v/>
      </c>
    </row>
    <row r="476" ht="15.75" customHeight="1" s="52">
      <c r="A476" s="92">
        <f>IF('2A'!B26&lt;&gt;"","2A","")</f>
        <v/>
      </c>
      <c r="B476" s="82">
        <f>IF('2A'!B26&lt;&gt;"",'2A'!B26,"")</f>
        <v/>
      </c>
      <c r="C476" s="82">
        <f>IF('2A'!B26&lt;&gt;"",'2A'!C26,"")</f>
        <v/>
      </c>
      <c r="D476" s="82">
        <f>IF('2A'!B26&lt;&gt;"",'2A'!D26,"")</f>
        <v/>
      </c>
      <c r="E476" s="82">
        <f>IF('2A'!B26&lt;&gt;"",'2A'!E26,"")</f>
        <v/>
      </c>
      <c r="F476" s="82">
        <f>IF('2A'!B26&lt;&gt;"",'2A'!F26,"")</f>
        <v/>
      </c>
      <c r="G476" s="82">
        <f>IF('2A'!B26&lt;&gt;"",'2A'!G26,"")</f>
        <v/>
      </c>
      <c r="H476" s="92">
        <f>IF('2A'!B26&lt;&gt;"",'2A'!H26,"")</f>
        <v/>
      </c>
      <c r="I476" s="92">
        <f>IF('2A'!B26&lt;&gt;"",'2A'!I26,"")</f>
        <v/>
      </c>
      <c r="J476" s="82">
        <f>IF('2A'!B26&lt;&gt;"",'2A'!J26,"")</f>
        <v/>
      </c>
    </row>
    <row r="477" ht="15.75" customHeight="1" s="52">
      <c r="A477" s="97">
        <f>IF('2A'!B27&lt;&gt;"","2A","")</f>
        <v/>
      </c>
      <c r="B477" s="78">
        <f>IF('2A'!B27&lt;&gt;"",'2A'!B27,"")</f>
        <v/>
      </c>
      <c r="C477" s="78">
        <f>IF('2A'!B27&lt;&gt;"",'2A'!C27,"")</f>
        <v/>
      </c>
      <c r="D477" s="78">
        <f>IF('2A'!B27&lt;&gt;"",'2A'!D27,"")</f>
        <v/>
      </c>
      <c r="E477" s="78">
        <f>IF('2A'!B27&lt;&gt;"",'2A'!E27,"")</f>
        <v/>
      </c>
      <c r="F477" s="78">
        <f>IF('2A'!B27&lt;&gt;"",'2A'!F27,"")</f>
        <v/>
      </c>
      <c r="G477" s="78">
        <f>IF('2A'!B27&lt;&gt;"",'2A'!G27,"")</f>
        <v/>
      </c>
      <c r="H477" s="97">
        <f>IF('2A'!B27&lt;&gt;"",'2A'!H27,"")</f>
        <v/>
      </c>
      <c r="I477" s="97">
        <f>IF('2A'!B27&lt;&gt;"",'2A'!I27,"")</f>
        <v/>
      </c>
      <c r="J477" s="78">
        <f>IF('2A'!B27&lt;&gt;"",'2A'!J27,"")</f>
        <v/>
      </c>
    </row>
    <row r="478" ht="15.75" customHeight="1" s="52">
      <c r="A478" s="92">
        <f>IF('2A'!B28&lt;&gt;"","2A","")</f>
        <v/>
      </c>
      <c r="B478" s="82">
        <f>IF('2A'!B28&lt;&gt;"",'2A'!B28,"")</f>
        <v/>
      </c>
      <c r="C478" s="82">
        <f>IF('2A'!B28&lt;&gt;"",'2A'!C28,"")</f>
        <v/>
      </c>
      <c r="D478" s="82">
        <f>IF('2A'!B28&lt;&gt;"",'2A'!D28,"")</f>
        <v/>
      </c>
      <c r="E478" s="82">
        <f>IF('2A'!B28&lt;&gt;"",'2A'!E28,"")</f>
        <v/>
      </c>
      <c r="F478" s="82">
        <f>IF('2A'!B28&lt;&gt;"",'2A'!F28,"")</f>
        <v/>
      </c>
      <c r="G478" s="82">
        <f>IF('2A'!B28&lt;&gt;"",'2A'!G28,"")</f>
        <v/>
      </c>
      <c r="H478" s="92">
        <f>IF('2A'!B28&lt;&gt;"",'2A'!H28,"")</f>
        <v/>
      </c>
      <c r="I478" s="92">
        <f>IF('2A'!B28&lt;&gt;"",'2A'!I28,"")</f>
        <v/>
      </c>
      <c r="J478" s="82">
        <f>IF('2A'!B28&lt;&gt;"",'2A'!J28,"")</f>
        <v/>
      </c>
    </row>
    <row r="479" ht="15.75" customHeight="1" s="52">
      <c r="A479" s="97">
        <f>IF('2A'!B29&lt;&gt;"","2A","")</f>
        <v/>
      </c>
      <c r="B479" s="78">
        <f>IF('2A'!B29&lt;&gt;"",'2A'!B29,"")</f>
        <v/>
      </c>
      <c r="C479" s="78">
        <f>IF('2A'!B29&lt;&gt;"",'2A'!C29,"")</f>
        <v/>
      </c>
      <c r="D479" s="78">
        <f>IF('2A'!B29&lt;&gt;"",'2A'!D29,"")</f>
        <v/>
      </c>
      <c r="E479" s="78">
        <f>IF('2A'!B29&lt;&gt;"",'2A'!E29,"")</f>
        <v/>
      </c>
      <c r="F479" s="78">
        <f>IF('2A'!B29&lt;&gt;"",'2A'!F29,"")</f>
        <v/>
      </c>
      <c r="G479" s="78">
        <f>IF('2A'!B29&lt;&gt;"",'2A'!G29,"")</f>
        <v/>
      </c>
      <c r="H479" s="97">
        <f>IF('2A'!B29&lt;&gt;"",'2A'!H29,"")</f>
        <v/>
      </c>
      <c r="I479" s="97">
        <f>IF('2A'!B29&lt;&gt;"",'2A'!I29,"")</f>
        <v/>
      </c>
      <c r="J479" s="78">
        <f>IF('2A'!B29&lt;&gt;"",'2A'!J29,"")</f>
        <v/>
      </c>
    </row>
    <row r="480" ht="15.75" customHeight="1" s="52">
      <c r="A480" s="92">
        <f>IF('2A'!B30&lt;&gt;"","2A","")</f>
        <v/>
      </c>
      <c r="B480" s="82">
        <f>IF('2A'!B30&lt;&gt;"",'2A'!B30,"")</f>
        <v/>
      </c>
      <c r="C480" s="82">
        <f>IF('2A'!B30&lt;&gt;"",'2A'!C30,"")</f>
        <v/>
      </c>
      <c r="D480" s="82">
        <f>IF('2A'!B30&lt;&gt;"",'2A'!D30,"")</f>
        <v/>
      </c>
      <c r="E480" s="82">
        <f>IF('2A'!B30&lt;&gt;"",'2A'!E30,"")</f>
        <v/>
      </c>
      <c r="F480" s="82">
        <f>IF('2A'!B30&lt;&gt;"",'2A'!F30,"")</f>
        <v/>
      </c>
      <c r="G480" s="82">
        <f>IF('2A'!B30&lt;&gt;"",'2A'!G30,"")</f>
        <v/>
      </c>
      <c r="H480" s="92">
        <f>IF('2A'!B30&lt;&gt;"",'2A'!H30,"")</f>
        <v/>
      </c>
      <c r="I480" s="92">
        <f>IF('2A'!B30&lt;&gt;"",'2A'!I30,"")</f>
        <v/>
      </c>
      <c r="J480" s="82">
        <f>IF('2A'!B30&lt;&gt;"",'2A'!J30,"")</f>
        <v/>
      </c>
    </row>
    <row r="481" ht="15.75" customHeight="1" s="52">
      <c r="A481" s="97">
        <f>IF('2A'!B31&lt;&gt;"","2A","")</f>
        <v/>
      </c>
      <c r="B481" s="78">
        <f>IF('2A'!B31&lt;&gt;"",'2A'!B31,"")</f>
        <v/>
      </c>
      <c r="C481" s="78">
        <f>IF('2A'!B31&lt;&gt;"",'2A'!C31,"")</f>
        <v/>
      </c>
      <c r="D481" s="78">
        <f>IF('2A'!B31&lt;&gt;"",'2A'!D31,"")</f>
        <v/>
      </c>
      <c r="E481" s="78">
        <f>IF('2A'!B31&lt;&gt;"",'2A'!E31,"")</f>
        <v/>
      </c>
      <c r="F481" s="78">
        <f>IF('2A'!B31&lt;&gt;"",'2A'!F31,"")</f>
        <v/>
      </c>
      <c r="G481" s="78">
        <f>IF('2A'!B31&lt;&gt;"",'2A'!G31,"")</f>
        <v/>
      </c>
      <c r="H481" s="97">
        <f>IF('2A'!B31&lt;&gt;"",'2A'!H31,"")</f>
        <v/>
      </c>
      <c r="I481" s="97">
        <f>IF('2A'!B31&lt;&gt;"",'2A'!I31,"")</f>
        <v/>
      </c>
      <c r="J481" s="78">
        <f>IF('2A'!B31&lt;&gt;"",'2A'!J31,"")</f>
        <v/>
      </c>
    </row>
    <row r="482" ht="15.75" customHeight="1" s="52">
      <c r="A482" s="92">
        <f>IF('2A'!B32&lt;&gt;"","2A","")</f>
        <v/>
      </c>
      <c r="B482" s="82">
        <f>IF('2A'!B32&lt;&gt;"",'2A'!B32,"")</f>
        <v/>
      </c>
      <c r="C482" s="82">
        <f>IF('2A'!B32&lt;&gt;"",'2A'!C32,"")</f>
        <v/>
      </c>
      <c r="D482" s="82">
        <f>IF('2A'!B32&lt;&gt;"",'2A'!D32,"")</f>
        <v/>
      </c>
      <c r="E482" s="82">
        <f>IF('2A'!B32&lt;&gt;"",'2A'!E32,"")</f>
        <v/>
      </c>
      <c r="F482" s="82">
        <f>IF('2A'!B32&lt;&gt;"",'2A'!F32,"")</f>
        <v/>
      </c>
      <c r="G482" s="82">
        <f>IF('2A'!B32&lt;&gt;"",'2A'!G32,"")</f>
        <v/>
      </c>
      <c r="H482" s="92">
        <f>IF('2A'!B32&lt;&gt;"",'2A'!H32,"")</f>
        <v/>
      </c>
      <c r="I482" s="92">
        <f>IF('2A'!B32&lt;&gt;"",'2A'!I32,"")</f>
        <v/>
      </c>
      <c r="J482" s="82">
        <f>IF('2A'!B32&lt;&gt;"",'2A'!J32,"")</f>
        <v/>
      </c>
    </row>
    <row r="483" ht="15.75" customHeight="1" s="52">
      <c r="A483" s="97">
        <f>IF('2A'!B33&lt;&gt;"","2A","")</f>
        <v/>
      </c>
      <c r="B483" s="78">
        <f>IF('2A'!B33&lt;&gt;"",'2A'!B33,"")</f>
        <v/>
      </c>
      <c r="C483" s="78">
        <f>IF('2A'!B33&lt;&gt;"",'2A'!C33,"")</f>
        <v/>
      </c>
      <c r="D483" s="78">
        <f>IF('2A'!B33&lt;&gt;"",'2A'!D33,"")</f>
        <v/>
      </c>
      <c r="E483" s="78">
        <f>IF('2A'!B33&lt;&gt;"",'2A'!E33,"")</f>
        <v/>
      </c>
      <c r="F483" s="78">
        <f>IF('2A'!B33&lt;&gt;"",'2A'!F33,"")</f>
        <v/>
      </c>
      <c r="G483" s="78">
        <f>IF('2A'!B33&lt;&gt;"",'2A'!G33,"")</f>
        <v/>
      </c>
      <c r="H483" s="97">
        <f>IF('2A'!B33&lt;&gt;"",'2A'!H33,"")</f>
        <v/>
      </c>
      <c r="I483" s="97">
        <f>IF('2A'!B33&lt;&gt;"",'2A'!I33,"")</f>
        <v/>
      </c>
      <c r="J483" s="78">
        <f>IF('2A'!B33&lt;&gt;"",'2A'!J33,"")</f>
        <v/>
      </c>
    </row>
    <row r="484" ht="15.75" customHeight="1" s="52">
      <c r="A484" s="92">
        <f>IF('2A'!B34&lt;&gt;"","2A","")</f>
        <v/>
      </c>
      <c r="B484" s="82">
        <f>IF('2A'!B34&lt;&gt;"",'2A'!B34,"")</f>
        <v/>
      </c>
      <c r="C484" s="82">
        <f>IF('2A'!B34&lt;&gt;"",'2A'!C34,"")</f>
        <v/>
      </c>
      <c r="D484" s="82">
        <f>IF('2A'!B34&lt;&gt;"",'2A'!D34,"")</f>
        <v/>
      </c>
      <c r="E484" s="82">
        <f>IF('2A'!B34&lt;&gt;"",'2A'!E34,"")</f>
        <v/>
      </c>
      <c r="F484" s="82">
        <f>IF('2A'!B34&lt;&gt;"",'2A'!F34,"")</f>
        <v/>
      </c>
      <c r="G484" s="82">
        <f>IF('2A'!B34&lt;&gt;"",'2A'!G34,"")</f>
        <v/>
      </c>
      <c r="H484" s="92">
        <f>IF('2A'!B34&lt;&gt;"",'2A'!H34,"")</f>
        <v/>
      </c>
      <c r="I484" s="92">
        <f>IF('2A'!B34&lt;&gt;"",'2A'!I34,"")</f>
        <v/>
      </c>
      <c r="J484" s="82">
        <f>IF('2A'!B34&lt;&gt;"",'2A'!J34,"")</f>
        <v/>
      </c>
    </row>
    <row r="485" ht="15.75" customHeight="1" s="52">
      <c r="A485" s="97">
        <f>IF('2A'!B35&lt;&gt;"","2A","")</f>
        <v/>
      </c>
      <c r="B485" s="78">
        <f>IF('2A'!B35&lt;&gt;"",'2A'!B35,"")</f>
        <v/>
      </c>
      <c r="C485" s="78">
        <f>IF('2A'!B35&lt;&gt;"",'2A'!C35,"")</f>
        <v/>
      </c>
      <c r="D485" s="78">
        <f>IF('2A'!B35&lt;&gt;"",'2A'!D35,"")</f>
        <v/>
      </c>
      <c r="E485" s="78">
        <f>IF('2A'!B35&lt;&gt;"",'2A'!E35,"")</f>
        <v/>
      </c>
      <c r="F485" s="78">
        <f>IF('2A'!B35&lt;&gt;"",'2A'!F35,"")</f>
        <v/>
      </c>
      <c r="G485" s="78">
        <f>IF('2A'!B35&lt;&gt;"",'2A'!G35,"")</f>
        <v/>
      </c>
      <c r="H485" s="97">
        <f>IF('2A'!B35&lt;&gt;"",'2A'!H35,"")</f>
        <v/>
      </c>
      <c r="I485" s="97">
        <f>IF('2A'!B35&lt;&gt;"",'2A'!I35,"")</f>
        <v/>
      </c>
      <c r="J485" s="78">
        <f>IF('2A'!B35&lt;&gt;"",'2A'!J35,"")</f>
        <v/>
      </c>
    </row>
    <row r="486" ht="15.75" customHeight="1" s="52">
      <c r="A486" s="92">
        <f>IF('2A'!B36&lt;&gt;"","2A","")</f>
        <v/>
      </c>
      <c r="B486" s="82">
        <f>IF('2A'!B36&lt;&gt;"",'2A'!B36,"")</f>
        <v/>
      </c>
      <c r="C486" s="82">
        <f>IF('2A'!B36&lt;&gt;"",'2A'!C36,"")</f>
        <v/>
      </c>
      <c r="D486" s="82">
        <f>IF('2A'!B36&lt;&gt;"",'2A'!D36,"")</f>
        <v/>
      </c>
      <c r="E486" s="82">
        <f>IF('2A'!B36&lt;&gt;"",'2A'!E36,"")</f>
        <v/>
      </c>
      <c r="F486" s="82">
        <f>IF('2A'!B36&lt;&gt;"",'2A'!F36,"")</f>
        <v/>
      </c>
      <c r="G486" s="82">
        <f>IF('2A'!B36&lt;&gt;"",'2A'!G36,"")</f>
        <v/>
      </c>
      <c r="H486" s="92">
        <f>IF('2A'!B36&lt;&gt;"",'2A'!H36,"")</f>
        <v/>
      </c>
      <c r="I486" s="92">
        <f>IF('2A'!B36&lt;&gt;"",'2A'!I36,"")</f>
        <v/>
      </c>
      <c r="J486" s="82">
        <f>IF('2A'!B36&lt;&gt;"",'2A'!J36,"")</f>
        <v/>
      </c>
    </row>
    <row r="487" ht="15.75" customHeight="1" s="52">
      <c r="A487" s="97">
        <f>IF('2A'!B37&lt;&gt;"","2A","")</f>
        <v/>
      </c>
      <c r="B487" s="78">
        <f>IF('2A'!B37&lt;&gt;"",'2A'!B37,"")</f>
        <v/>
      </c>
      <c r="C487" s="78">
        <f>IF('2A'!B37&lt;&gt;"",'2A'!C37,"")</f>
        <v/>
      </c>
      <c r="D487" s="78">
        <f>IF('2A'!B37&lt;&gt;"",'2A'!D37,"")</f>
        <v/>
      </c>
      <c r="E487" s="78">
        <f>IF('2A'!B37&lt;&gt;"",'2A'!E37,"")</f>
        <v/>
      </c>
      <c r="F487" s="78">
        <f>IF('2A'!B37&lt;&gt;"",'2A'!F37,"")</f>
        <v/>
      </c>
      <c r="G487" s="78">
        <f>IF('2A'!B37&lt;&gt;"",'2A'!G37,"")</f>
        <v/>
      </c>
      <c r="H487" s="97">
        <f>IF('2A'!B37&lt;&gt;"",'2A'!H37,"")</f>
        <v/>
      </c>
      <c r="I487" s="97">
        <f>IF('2A'!B37&lt;&gt;"",'2A'!I37,"")</f>
        <v/>
      </c>
      <c r="J487" s="78">
        <f>IF('2A'!B37&lt;&gt;"",'2A'!J37,"")</f>
        <v/>
      </c>
    </row>
    <row r="488" ht="15.75" customHeight="1" s="52">
      <c r="A488" s="92">
        <f>IF('2A'!B38&lt;&gt;"","2A","")</f>
        <v/>
      </c>
      <c r="B488" s="82">
        <f>IF('2A'!B38&lt;&gt;"",'2A'!B38,"")</f>
        <v/>
      </c>
      <c r="C488" s="82">
        <f>IF('2A'!B38&lt;&gt;"",'2A'!C38,"")</f>
        <v/>
      </c>
      <c r="D488" s="82">
        <f>IF('2A'!B38&lt;&gt;"",'2A'!D38,"")</f>
        <v/>
      </c>
      <c r="E488" s="82">
        <f>IF('2A'!B38&lt;&gt;"",'2A'!E38,"")</f>
        <v/>
      </c>
      <c r="F488" s="82">
        <f>IF('2A'!B38&lt;&gt;"",'2A'!F38,"")</f>
        <v/>
      </c>
      <c r="G488" s="82">
        <f>IF('2A'!B38&lt;&gt;"",'2A'!G38,"")</f>
        <v/>
      </c>
      <c r="H488" s="92">
        <f>IF('2A'!B38&lt;&gt;"",'2A'!H38,"")</f>
        <v/>
      </c>
      <c r="I488" s="92">
        <f>IF('2A'!B38&lt;&gt;"",'2A'!I38,"")</f>
        <v/>
      </c>
      <c r="J488" s="82">
        <f>IF('2A'!B38&lt;&gt;"",'2A'!J38,"")</f>
        <v/>
      </c>
    </row>
    <row r="489" ht="15.75" customHeight="1" s="52">
      <c r="A489" s="97">
        <f>IF('2A'!B39&lt;&gt;"","2A","")</f>
        <v/>
      </c>
      <c r="B489" s="78">
        <f>IF('2A'!B39&lt;&gt;"",'2A'!B39,"")</f>
        <v/>
      </c>
      <c r="C489" s="78">
        <f>IF('2A'!B39&lt;&gt;"",'2A'!C39,"")</f>
        <v/>
      </c>
      <c r="D489" s="78">
        <f>IF('2A'!B39&lt;&gt;"",'2A'!D39,"")</f>
        <v/>
      </c>
      <c r="E489" s="78">
        <f>IF('2A'!B39&lt;&gt;"",'2A'!E39,"")</f>
        <v/>
      </c>
      <c r="F489" s="78">
        <f>IF('2A'!B39&lt;&gt;"",'2A'!F39,"")</f>
        <v/>
      </c>
      <c r="G489" s="78">
        <f>IF('2A'!B39&lt;&gt;"",'2A'!G39,"")</f>
        <v/>
      </c>
      <c r="H489" s="97">
        <f>IF('2A'!B39&lt;&gt;"",'2A'!H39,"")</f>
        <v/>
      </c>
      <c r="I489" s="97">
        <f>IF('2A'!B39&lt;&gt;"",'2A'!I39,"")</f>
        <v/>
      </c>
      <c r="J489" s="78">
        <f>IF('2A'!B39&lt;&gt;"",'2A'!J39,"")</f>
        <v/>
      </c>
    </row>
    <row r="490" ht="15.75" customHeight="1" s="52">
      <c r="A490" s="92">
        <f>IF('2A'!B40&lt;&gt;"","2A","")</f>
        <v/>
      </c>
      <c r="B490" s="82">
        <f>IF('2A'!B40&lt;&gt;"",'2A'!B40,"")</f>
        <v/>
      </c>
      <c r="C490" s="82">
        <f>IF('2A'!B40&lt;&gt;"",'2A'!C40,"")</f>
        <v/>
      </c>
      <c r="D490" s="82">
        <f>IF('2A'!B40&lt;&gt;"",'2A'!D40,"")</f>
        <v/>
      </c>
      <c r="E490" s="82">
        <f>IF('2A'!B40&lt;&gt;"",'2A'!E40,"")</f>
        <v/>
      </c>
      <c r="F490" s="82">
        <f>IF('2A'!B40&lt;&gt;"",'2A'!F40,"")</f>
        <v/>
      </c>
      <c r="G490" s="82">
        <f>IF('2A'!B40&lt;&gt;"",'2A'!G40,"")</f>
        <v/>
      </c>
      <c r="H490" s="92">
        <f>IF('2A'!B40&lt;&gt;"",'2A'!H40,"")</f>
        <v/>
      </c>
      <c r="I490" s="92">
        <f>IF('2A'!B40&lt;&gt;"",'2A'!I40,"")</f>
        <v/>
      </c>
      <c r="J490" s="82">
        <f>IF('2A'!B40&lt;&gt;"",'2A'!J40,"")</f>
        <v/>
      </c>
    </row>
    <row r="491" ht="15.75" customHeight="1" s="52">
      <c r="A491" s="97">
        <f>IF('2A'!B41&lt;&gt;"","2A","")</f>
        <v/>
      </c>
      <c r="B491" s="78">
        <f>IF('2A'!B41&lt;&gt;"",'2A'!B41,"")</f>
        <v/>
      </c>
      <c r="C491" s="78">
        <f>IF('2A'!B41&lt;&gt;"",'2A'!C41,"")</f>
        <v/>
      </c>
      <c r="D491" s="78">
        <f>IF('2A'!B41&lt;&gt;"",'2A'!D41,"")</f>
        <v/>
      </c>
      <c r="E491" s="78">
        <f>IF('2A'!B41&lt;&gt;"",'2A'!E41,"")</f>
        <v/>
      </c>
      <c r="F491" s="78">
        <f>IF('2A'!B41&lt;&gt;"",'2A'!F41,"")</f>
        <v/>
      </c>
      <c r="G491" s="78">
        <f>IF('2A'!B41&lt;&gt;"",'2A'!G41,"")</f>
        <v/>
      </c>
      <c r="H491" s="97">
        <f>IF('2A'!B41&lt;&gt;"",'2A'!H41,"")</f>
        <v/>
      </c>
      <c r="I491" s="97">
        <f>IF('2A'!B41&lt;&gt;"",'2A'!I41,"")</f>
        <v/>
      </c>
      <c r="J491" s="78">
        <f>IF('2A'!B41&lt;&gt;"",'2A'!J41,"")</f>
        <v/>
      </c>
    </row>
    <row r="492" ht="15.75" customHeight="1" s="52">
      <c r="A492" s="92">
        <f>IF('2A'!B42&lt;&gt;"","2A","")</f>
        <v/>
      </c>
      <c r="B492" s="82">
        <f>IF('2A'!B42&lt;&gt;"",'2A'!B42,"")</f>
        <v/>
      </c>
      <c r="C492" s="82">
        <f>IF('2A'!B42&lt;&gt;"",'2A'!C42,"")</f>
        <v/>
      </c>
      <c r="D492" s="82">
        <f>IF('2A'!B42&lt;&gt;"",'2A'!D42,"")</f>
        <v/>
      </c>
      <c r="E492" s="82">
        <f>IF('2A'!B42&lt;&gt;"",'2A'!E42,"")</f>
        <v/>
      </c>
      <c r="F492" s="82">
        <f>IF('2A'!B42&lt;&gt;"",'2A'!F42,"")</f>
        <v/>
      </c>
      <c r="G492" s="82">
        <f>IF('2A'!B42&lt;&gt;"",'2A'!G42,"")</f>
        <v/>
      </c>
      <c r="H492" s="92">
        <f>IF('2A'!B42&lt;&gt;"",'2A'!H42,"")</f>
        <v/>
      </c>
      <c r="I492" s="92">
        <f>IF('2A'!B42&lt;&gt;"",'2A'!I42,"")</f>
        <v/>
      </c>
      <c r="J492" s="82">
        <f>IF('2A'!B42&lt;&gt;"",'2A'!J42,"")</f>
        <v/>
      </c>
    </row>
    <row r="493" ht="15.75" customHeight="1" s="52">
      <c r="A493" s="97">
        <f>IF('2A'!B43&lt;&gt;"","2A","")</f>
        <v/>
      </c>
      <c r="B493" s="78">
        <f>IF('2A'!B43&lt;&gt;"",'2A'!B43,"")</f>
        <v/>
      </c>
      <c r="C493" s="78">
        <f>IF('2A'!B43&lt;&gt;"",'2A'!C43,"")</f>
        <v/>
      </c>
      <c r="D493" s="78">
        <f>IF('2A'!B43&lt;&gt;"",'2A'!D43,"")</f>
        <v/>
      </c>
      <c r="E493" s="78">
        <f>IF('2A'!B43&lt;&gt;"",'2A'!E43,"")</f>
        <v/>
      </c>
      <c r="F493" s="78">
        <f>IF('2A'!B43&lt;&gt;"",'2A'!F43,"")</f>
        <v/>
      </c>
      <c r="G493" s="78">
        <f>IF('2A'!B43&lt;&gt;"",'2A'!G43,"")</f>
        <v/>
      </c>
      <c r="H493" s="97">
        <f>IF('2A'!B43&lt;&gt;"",'2A'!H43,"")</f>
        <v/>
      </c>
      <c r="I493" s="97">
        <f>IF('2A'!B43&lt;&gt;"",'2A'!I43,"")</f>
        <v/>
      </c>
      <c r="J493" s="78">
        <f>IF('2A'!B43&lt;&gt;"",'2A'!J43,"")</f>
        <v/>
      </c>
    </row>
    <row r="494" ht="15.75" customHeight="1" s="52">
      <c r="A494" s="92">
        <f>IF('2A'!B44&lt;&gt;"","2A","")</f>
        <v/>
      </c>
      <c r="B494" s="82">
        <f>IF('2A'!B44&lt;&gt;"",'2A'!B44,"")</f>
        <v/>
      </c>
      <c r="C494" s="82">
        <f>IF('2A'!B44&lt;&gt;"",'2A'!C44,"")</f>
        <v/>
      </c>
      <c r="D494" s="82">
        <f>IF('2A'!B44&lt;&gt;"",'2A'!D44,"")</f>
        <v/>
      </c>
      <c r="E494" s="82">
        <f>IF('2A'!B44&lt;&gt;"",'2A'!E44,"")</f>
        <v/>
      </c>
      <c r="F494" s="82">
        <f>IF('2A'!B44&lt;&gt;"",'2A'!F44,"")</f>
        <v/>
      </c>
      <c r="G494" s="82">
        <f>IF('2A'!B44&lt;&gt;"",'2A'!G44,"")</f>
        <v/>
      </c>
      <c r="H494" s="92">
        <f>IF('2A'!B44&lt;&gt;"",'2A'!H44,"")</f>
        <v/>
      </c>
      <c r="I494" s="92">
        <f>IF('2A'!B44&lt;&gt;"",'2A'!I44,"")</f>
        <v/>
      </c>
      <c r="J494" s="82">
        <f>IF('2A'!B44&lt;&gt;"",'2A'!J44,"")</f>
        <v/>
      </c>
    </row>
    <row r="495" ht="15.75" customHeight="1" s="52">
      <c r="A495" s="97">
        <f>IF('2A'!B45&lt;&gt;"","2A","")</f>
        <v/>
      </c>
      <c r="B495" s="78">
        <f>IF('2A'!B45&lt;&gt;"",'2A'!B45,"")</f>
        <v/>
      </c>
      <c r="C495" s="78">
        <f>IF('2A'!B45&lt;&gt;"",'2A'!C45,"")</f>
        <v/>
      </c>
      <c r="D495" s="78">
        <f>IF('2A'!B45&lt;&gt;"",'2A'!D45,"")</f>
        <v/>
      </c>
      <c r="E495" s="78">
        <f>IF('2A'!B45&lt;&gt;"",'2A'!E45,"")</f>
        <v/>
      </c>
      <c r="F495" s="78">
        <f>IF('2A'!B45&lt;&gt;"",'2A'!F45,"")</f>
        <v/>
      </c>
      <c r="G495" s="78">
        <f>IF('2A'!B45&lt;&gt;"",'2A'!G45,"")</f>
        <v/>
      </c>
      <c r="H495" s="97">
        <f>IF('2A'!B45&lt;&gt;"",'2A'!H45,"")</f>
        <v/>
      </c>
      <c r="I495" s="97">
        <f>IF('2A'!B45&lt;&gt;"",'2A'!I45,"")</f>
        <v/>
      </c>
      <c r="J495" s="78">
        <f>IF('2A'!B45&lt;&gt;"",'2A'!J45,"")</f>
        <v/>
      </c>
    </row>
    <row r="496" ht="15.75" customHeight="1" s="52">
      <c r="A496" s="92">
        <f>IF('2A'!B46&lt;&gt;"","2A","")</f>
        <v/>
      </c>
      <c r="B496" s="82">
        <f>IF('2A'!B46&lt;&gt;"",'2A'!B46,"")</f>
        <v/>
      </c>
      <c r="C496" s="82">
        <f>IF('2A'!B46&lt;&gt;"",'2A'!C46,"")</f>
        <v/>
      </c>
      <c r="D496" s="82">
        <f>IF('2A'!B46&lt;&gt;"",'2A'!D46,"")</f>
        <v/>
      </c>
      <c r="E496" s="82">
        <f>IF('2A'!B46&lt;&gt;"",'2A'!E46,"")</f>
        <v/>
      </c>
      <c r="F496" s="82">
        <f>IF('2A'!B46&lt;&gt;"",'2A'!F46,"")</f>
        <v/>
      </c>
      <c r="G496" s="82">
        <f>IF('2A'!B46&lt;&gt;"",'2A'!G46,"")</f>
        <v/>
      </c>
      <c r="H496" s="92">
        <f>IF('2A'!B46&lt;&gt;"",'2A'!H46,"")</f>
        <v/>
      </c>
      <c r="I496" s="92">
        <f>IF('2A'!B46&lt;&gt;"",'2A'!I46,"")</f>
        <v/>
      </c>
      <c r="J496" s="82">
        <f>IF('2A'!B46&lt;&gt;"",'2A'!J46,"")</f>
        <v/>
      </c>
    </row>
    <row r="497" ht="15.75" customHeight="1" s="52">
      <c r="A497" s="97">
        <f>IF('2A'!B47&lt;&gt;"","2A","")</f>
        <v/>
      </c>
      <c r="B497" s="78">
        <f>IF('2A'!B47&lt;&gt;"",'2A'!B47,"")</f>
        <v/>
      </c>
      <c r="C497" s="78">
        <f>IF('2A'!B47&lt;&gt;"",'2A'!C47,"")</f>
        <v/>
      </c>
      <c r="D497" s="78">
        <f>IF('2A'!B47&lt;&gt;"",'2A'!D47,"")</f>
        <v/>
      </c>
      <c r="E497" s="78">
        <f>IF('2A'!B47&lt;&gt;"",'2A'!E47,"")</f>
        <v/>
      </c>
      <c r="F497" s="78">
        <f>IF('2A'!B47&lt;&gt;"",'2A'!F47,"")</f>
        <v/>
      </c>
      <c r="G497" s="78">
        <f>IF('2A'!B47&lt;&gt;"",'2A'!G47,"")</f>
        <v/>
      </c>
      <c r="H497" s="97">
        <f>IF('2A'!B47&lt;&gt;"",'2A'!H47,"")</f>
        <v/>
      </c>
      <c r="I497" s="97">
        <f>IF('2A'!B47&lt;&gt;"",'2A'!I47,"")</f>
        <v/>
      </c>
      <c r="J497" s="78">
        <f>IF('2A'!B47&lt;&gt;"",'2A'!J47,"")</f>
        <v/>
      </c>
    </row>
    <row r="498" ht="15.75" customHeight="1" s="52">
      <c r="A498" s="92">
        <f>IF('2A'!B48&lt;&gt;"","2A","")</f>
        <v/>
      </c>
      <c r="B498" s="82">
        <f>IF('2A'!B48&lt;&gt;"",'2A'!B48,"")</f>
        <v/>
      </c>
      <c r="C498" s="82">
        <f>IF('2A'!B48&lt;&gt;"",'2A'!C48,"")</f>
        <v/>
      </c>
      <c r="D498" s="82">
        <f>IF('2A'!B48&lt;&gt;"",'2A'!D48,"")</f>
        <v/>
      </c>
      <c r="E498" s="82">
        <f>IF('2A'!B48&lt;&gt;"",'2A'!E48,"")</f>
        <v/>
      </c>
      <c r="F498" s="82">
        <f>IF('2A'!B48&lt;&gt;"",'2A'!F48,"")</f>
        <v/>
      </c>
      <c r="G498" s="82">
        <f>IF('2A'!B48&lt;&gt;"",'2A'!G48,"")</f>
        <v/>
      </c>
      <c r="H498" s="92">
        <f>IF('2A'!B48&lt;&gt;"",'2A'!H48,"")</f>
        <v/>
      </c>
      <c r="I498" s="92">
        <f>IF('2A'!B48&lt;&gt;"",'2A'!I48,"")</f>
        <v/>
      </c>
      <c r="J498" s="82">
        <f>IF('2A'!B48&lt;&gt;"",'2A'!J48,"")</f>
        <v/>
      </c>
    </row>
    <row r="499" ht="15.75" customHeight="1" s="52">
      <c r="A499" s="97">
        <f>IF('2A'!B49&lt;&gt;"","2A","")</f>
        <v/>
      </c>
      <c r="B499" s="78">
        <f>IF('2A'!B49&lt;&gt;"",'2A'!B49,"")</f>
        <v/>
      </c>
      <c r="C499" s="78">
        <f>IF('2A'!B49&lt;&gt;"",'2A'!C49,"")</f>
        <v/>
      </c>
      <c r="D499" s="78">
        <f>IF('2A'!B49&lt;&gt;"",'2A'!D49,"")</f>
        <v/>
      </c>
      <c r="E499" s="78">
        <f>IF('2A'!B49&lt;&gt;"",'2A'!E49,"")</f>
        <v/>
      </c>
      <c r="F499" s="78">
        <f>IF('2A'!B49&lt;&gt;"",'2A'!F49,"")</f>
        <v/>
      </c>
      <c r="G499" s="78">
        <f>IF('2A'!B49&lt;&gt;"",'2A'!G49,"")</f>
        <v/>
      </c>
      <c r="H499" s="97">
        <f>IF('2A'!B49&lt;&gt;"",'2A'!H49,"")</f>
        <v/>
      </c>
      <c r="I499" s="97">
        <f>IF('2A'!B49&lt;&gt;"",'2A'!I49,"")</f>
        <v/>
      </c>
      <c r="J499" s="78">
        <f>IF('2A'!B49&lt;&gt;"",'2A'!J49,"")</f>
        <v/>
      </c>
    </row>
    <row r="500" ht="15.75" customHeight="1" s="52">
      <c r="A500" s="92">
        <f>IF('2A'!B50&lt;&gt;"","2A","")</f>
        <v/>
      </c>
      <c r="B500" s="82">
        <f>IF('2A'!B50&lt;&gt;"",'2A'!B50,"")</f>
        <v/>
      </c>
      <c r="C500" s="82">
        <f>IF('2A'!B50&lt;&gt;"",'2A'!C50,"")</f>
        <v/>
      </c>
      <c r="D500" s="82">
        <f>IF('2A'!B50&lt;&gt;"",'2A'!D50,"")</f>
        <v/>
      </c>
      <c r="E500" s="82">
        <f>IF('2A'!B50&lt;&gt;"",'2A'!E50,"")</f>
        <v/>
      </c>
      <c r="F500" s="82">
        <f>IF('2A'!B50&lt;&gt;"",'2A'!F50,"")</f>
        <v/>
      </c>
      <c r="G500" s="82">
        <f>IF('2A'!B50&lt;&gt;"",'2A'!G50,"")</f>
        <v/>
      </c>
      <c r="H500" s="92">
        <f>IF('2A'!B50&lt;&gt;"",'2A'!H50,"")</f>
        <v/>
      </c>
      <c r="I500" s="92">
        <f>IF('2A'!B50&lt;&gt;"",'2A'!I50,"")</f>
        <v/>
      </c>
      <c r="J500" s="82">
        <f>IF('2A'!B50&lt;&gt;"",'2A'!J50,"")</f>
        <v/>
      </c>
    </row>
    <row r="501" ht="15.75" customHeight="1" s="52">
      <c r="A501" s="97">
        <f>IF('2A'!B51&lt;&gt;"","2A","")</f>
        <v/>
      </c>
      <c r="B501" s="78">
        <f>IF('2A'!B51&lt;&gt;"",'2A'!B51,"")</f>
        <v/>
      </c>
      <c r="C501" s="78">
        <f>IF('2A'!B51&lt;&gt;"",'2A'!C51,"")</f>
        <v/>
      </c>
      <c r="D501" s="78">
        <f>IF('2A'!B51&lt;&gt;"",'2A'!D51,"")</f>
        <v/>
      </c>
      <c r="E501" s="78">
        <f>IF('2A'!B51&lt;&gt;"",'2A'!E51,"")</f>
        <v/>
      </c>
      <c r="F501" s="78">
        <f>IF('2A'!B51&lt;&gt;"",'2A'!F51,"")</f>
        <v/>
      </c>
      <c r="G501" s="78">
        <f>IF('2A'!B51&lt;&gt;"",'2A'!G51,"")</f>
        <v/>
      </c>
      <c r="H501" s="97">
        <f>IF('2A'!B51&lt;&gt;"",'2A'!H51,"")</f>
        <v/>
      </c>
      <c r="I501" s="97">
        <f>IF('2A'!B51&lt;&gt;"",'2A'!I51,"")</f>
        <v/>
      </c>
      <c r="J501" s="78">
        <f>IF('2A'!B51&lt;&gt;"",'2A'!J51,"")</f>
        <v/>
      </c>
    </row>
    <row r="502" ht="15.75" customHeight="1" s="52">
      <c r="A502" s="92">
        <f>IF('2A'!B52&lt;&gt;"","2A","")</f>
        <v/>
      </c>
      <c r="B502" s="82">
        <f>IF('2A'!B52&lt;&gt;"",'2A'!B52,"")</f>
        <v/>
      </c>
      <c r="C502" s="82">
        <f>IF('2A'!B52&lt;&gt;"",'2A'!C52,"")</f>
        <v/>
      </c>
      <c r="D502" s="82">
        <f>IF('2A'!B52&lt;&gt;"",'2A'!D52,"")</f>
        <v/>
      </c>
      <c r="E502" s="82">
        <f>IF('2A'!B52&lt;&gt;"",'2A'!E52,"")</f>
        <v/>
      </c>
      <c r="F502" s="82">
        <f>IF('2A'!B52&lt;&gt;"",'2A'!F52,"")</f>
        <v/>
      </c>
      <c r="G502" s="82">
        <f>IF('2A'!B52&lt;&gt;"",'2A'!G52,"")</f>
        <v/>
      </c>
      <c r="H502" s="92">
        <f>IF('2A'!B52&lt;&gt;"",'2A'!H52,"")</f>
        <v/>
      </c>
      <c r="I502" s="92">
        <f>IF('2A'!B52&lt;&gt;"",'2A'!I52,"")</f>
        <v/>
      </c>
      <c r="J502" s="82">
        <f>IF('2A'!B52&lt;&gt;"",'2A'!J52,"")</f>
        <v/>
      </c>
    </row>
    <row r="503" ht="15.75" customHeight="1" s="52">
      <c r="A503" s="97">
        <f>IF('2A'!B53&lt;&gt;"","2A","")</f>
        <v/>
      </c>
      <c r="B503" s="78">
        <f>IF('2A'!B53&lt;&gt;"",'2A'!B53,"")</f>
        <v/>
      </c>
      <c r="C503" s="78">
        <f>IF('2A'!B53&lt;&gt;"",'2A'!C53,"")</f>
        <v/>
      </c>
      <c r="D503" s="78">
        <f>IF('2A'!B53&lt;&gt;"",'2A'!D53,"")</f>
        <v/>
      </c>
      <c r="E503" s="78">
        <f>IF('2A'!B53&lt;&gt;"",'2A'!E53,"")</f>
        <v/>
      </c>
      <c r="F503" s="78">
        <f>IF('2A'!B53&lt;&gt;"",'2A'!F53,"")</f>
        <v/>
      </c>
      <c r="G503" s="78">
        <f>IF('2A'!B53&lt;&gt;"",'2A'!G53,"")</f>
        <v/>
      </c>
      <c r="H503" s="97">
        <f>IF('2A'!B53&lt;&gt;"",'2A'!H53,"")</f>
        <v/>
      </c>
      <c r="I503" s="97">
        <f>IF('2A'!B53&lt;&gt;"",'2A'!I53,"")</f>
        <v/>
      </c>
      <c r="J503" s="78">
        <f>IF('2A'!B53&lt;&gt;"",'2A'!J53,"")</f>
        <v/>
      </c>
    </row>
    <row r="504" ht="15.75" customHeight="1" s="52">
      <c r="A504" s="92">
        <f>IF('2A'!B54&lt;&gt;"","2A","")</f>
        <v/>
      </c>
      <c r="B504" s="82">
        <f>IF('2A'!B54&lt;&gt;"",'2A'!B54,"")</f>
        <v/>
      </c>
      <c r="C504" s="82">
        <f>IF('2A'!B54&lt;&gt;"",'2A'!C54,"")</f>
        <v/>
      </c>
      <c r="D504" s="82">
        <f>IF('2A'!B54&lt;&gt;"",'2A'!D54,"")</f>
        <v/>
      </c>
      <c r="E504" s="82">
        <f>IF('2A'!B54&lt;&gt;"",'2A'!E54,"")</f>
        <v/>
      </c>
      <c r="F504" s="82">
        <f>IF('2A'!B54&lt;&gt;"",'2A'!F54,"")</f>
        <v/>
      </c>
      <c r="G504" s="82">
        <f>IF('2A'!B54&lt;&gt;"",'2A'!G54,"")</f>
        <v/>
      </c>
      <c r="H504" s="92">
        <f>IF('2A'!B54&lt;&gt;"",'2A'!H54,"")</f>
        <v/>
      </c>
      <c r="I504" s="92">
        <f>IF('2A'!B54&lt;&gt;"",'2A'!I54,"")</f>
        <v/>
      </c>
      <c r="J504" s="82">
        <f>IF('2A'!B54&lt;&gt;"",'2A'!J54,"")</f>
        <v/>
      </c>
    </row>
    <row r="505" ht="15.75" customHeight="1" s="52">
      <c r="A505" s="97">
        <f>IF('2B'!B5&lt;&gt;"","2B","")</f>
        <v/>
      </c>
      <c r="B505" s="78">
        <f>IF('2B'!B5&lt;&gt;"",'2B'!B5,"")</f>
        <v/>
      </c>
      <c r="C505" s="78">
        <f>IF('2B'!B5&lt;&gt;"",'2B'!C5,"")</f>
        <v/>
      </c>
      <c r="D505" s="78">
        <f>IF('2B'!B5&lt;&gt;"",'2B'!D5,"")</f>
        <v/>
      </c>
      <c r="E505" s="78">
        <f>IF('2B'!B5&lt;&gt;"",'2B'!E5,"")</f>
        <v/>
      </c>
      <c r="F505" s="78">
        <f>IF('2B'!B5&lt;&gt;"",'2B'!F5,"")</f>
        <v/>
      </c>
      <c r="G505" s="78">
        <f>IF('2B'!B5&lt;&gt;"",'2B'!G5,"")</f>
        <v/>
      </c>
      <c r="H505" s="97">
        <f>IF('2B'!B5&lt;&gt;"",'2B'!H5,"")</f>
        <v/>
      </c>
      <c r="I505" s="97">
        <f>IF('2B'!B5&lt;&gt;"",'2B'!I5,"")</f>
        <v/>
      </c>
      <c r="J505" s="78">
        <f>IF('2B'!B5&lt;&gt;"",'2B'!J5,"")</f>
        <v/>
      </c>
    </row>
    <row r="506" ht="15.75" customHeight="1" s="52">
      <c r="A506" s="92">
        <f>IF('2B'!B6&lt;&gt;"","2B","")</f>
        <v/>
      </c>
      <c r="B506" s="82">
        <f>IF('2B'!B6&lt;&gt;"",'2B'!B6,"")</f>
        <v/>
      </c>
      <c r="C506" s="82">
        <f>IF('2B'!B6&lt;&gt;"",'2B'!C6,"")</f>
        <v/>
      </c>
      <c r="D506" s="82">
        <f>IF('2B'!B6&lt;&gt;"",'2B'!D6,"")</f>
        <v/>
      </c>
      <c r="E506" s="82">
        <f>IF('2B'!B6&lt;&gt;"",'2B'!E6,"")</f>
        <v/>
      </c>
      <c r="F506" s="82">
        <f>IF('2B'!B6&lt;&gt;"",'2B'!F6,"")</f>
        <v/>
      </c>
      <c r="G506" s="82">
        <f>IF('2B'!B6&lt;&gt;"",'2B'!G6,"")</f>
        <v/>
      </c>
      <c r="H506" s="92">
        <f>IF('2B'!B6&lt;&gt;"",'2B'!H6,"")</f>
        <v/>
      </c>
      <c r="I506" s="92">
        <f>IF('2B'!B6&lt;&gt;"",'2B'!I6,"")</f>
        <v/>
      </c>
      <c r="J506" s="82">
        <f>IF('2B'!B6&lt;&gt;"",'2B'!J6,"")</f>
        <v/>
      </c>
    </row>
    <row r="507" ht="15.75" customHeight="1" s="52">
      <c r="A507" s="97">
        <f>IF('2B'!B7&lt;&gt;"","2B","")</f>
        <v/>
      </c>
      <c r="B507" s="78">
        <f>IF('2B'!B7&lt;&gt;"",'2B'!B7,"")</f>
        <v/>
      </c>
      <c r="C507" s="78">
        <f>IF('2B'!B7&lt;&gt;"",'2B'!C7,"")</f>
        <v/>
      </c>
      <c r="D507" s="78">
        <f>IF('2B'!B7&lt;&gt;"",'2B'!D7,"")</f>
        <v/>
      </c>
      <c r="E507" s="78">
        <f>IF('2B'!B7&lt;&gt;"",'2B'!E7,"")</f>
        <v/>
      </c>
      <c r="F507" s="78">
        <f>IF('2B'!B7&lt;&gt;"",'2B'!F7,"")</f>
        <v/>
      </c>
      <c r="G507" s="78">
        <f>IF('2B'!B7&lt;&gt;"",'2B'!G7,"")</f>
        <v/>
      </c>
      <c r="H507" s="97">
        <f>IF('2B'!B7&lt;&gt;"",'2B'!H7,"")</f>
        <v/>
      </c>
      <c r="I507" s="97">
        <f>IF('2B'!B7&lt;&gt;"",'2B'!I7,"")</f>
        <v/>
      </c>
      <c r="J507" s="78">
        <f>IF('2B'!B7&lt;&gt;"",'2B'!J7,"")</f>
        <v/>
      </c>
    </row>
    <row r="508" ht="15.75" customHeight="1" s="52">
      <c r="A508" s="92">
        <f>IF('2B'!B8&lt;&gt;"","2B","")</f>
        <v/>
      </c>
      <c r="B508" s="82">
        <f>IF('2B'!B8&lt;&gt;"",'2B'!B8,"")</f>
        <v/>
      </c>
      <c r="C508" s="82">
        <f>IF('2B'!B8&lt;&gt;"",'2B'!C8,"")</f>
        <v/>
      </c>
      <c r="D508" s="82">
        <f>IF('2B'!B8&lt;&gt;"",'2B'!D8,"")</f>
        <v/>
      </c>
      <c r="E508" s="82">
        <f>IF('2B'!B8&lt;&gt;"",'2B'!E8,"")</f>
        <v/>
      </c>
      <c r="F508" s="82">
        <f>IF('2B'!B8&lt;&gt;"",'2B'!F8,"")</f>
        <v/>
      </c>
      <c r="G508" s="82">
        <f>IF('2B'!B8&lt;&gt;"",'2B'!G8,"")</f>
        <v/>
      </c>
      <c r="H508" s="92">
        <f>IF('2B'!B8&lt;&gt;"",'2B'!H8,"")</f>
        <v/>
      </c>
      <c r="I508" s="92">
        <f>IF('2B'!B8&lt;&gt;"",'2B'!I8,"")</f>
        <v/>
      </c>
      <c r="J508" s="82">
        <f>IF('2B'!B8&lt;&gt;"",'2B'!J8,"")</f>
        <v/>
      </c>
    </row>
    <row r="509" ht="15.75" customHeight="1" s="52">
      <c r="A509" s="97">
        <f>IF('2B'!B9&lt;&gt;"","2B","")</f>
        <v/>
      </c>
      <c r="B509" s="78">
        <f>IF('2B'!B9&lt;&gt;"",'2B'!B9,"")</f>
        <v/>
      </c>
      <c r="C509" s="78">
        <f>IF('2B'!B9&lt;&gt;"",'2B'!C9,"")</f>
        <v/>
      </c>
      <c r="D509" s="78">
        <f>IF('2B'!B9&lt;&gt;"",'2B'!D9,"")</f>
        <v/>
      </c>
      <c r="E509" s="78">
        <f>IF('2B'!B9&lt;&gt;"",'2B'!E9,"")</f>
        <v/>
      </c>
      <c r="F509" s="78">
        <f>IF('2B'!B9&lt;&gt;"",'2B'!F9,"")</f>
        <v/>
      </c>
      <c r="G509" s="78">
        <f>IF('2B'!B9&lt;&gt;"",'2B'!G9,"")</f>
        <v/>
      </c>
      <c r="H509" s="97">
        <f>IF('2B'!B9&lt;&gt;"",'2B'!H9,"")</f>
        <v/>
      </c>
      <c r="I509" s="97">
        <f>IF('2B'!B9&lt;&gt;"",'2B'!I9,"")</f>
        <v/>
      </c>
      <c r="J509" s="78">
        <f>IF('2B'!B9&lt;&gt;"",'2B'!J9,"")</f>
        <v/>
      </c>
    </row>
    <row r="510" ht="15.75" customHeight="1" s="52">
      <c r="A510" s="92">
        <f>IF('2B'!B10&lt;&gt;"","2B","")</f>
        <v/>
      </c>
      <c r="B510" s="82">
        <f>IF('2B'!B10&lt;&gt;"",'2B'!B10,"")</f>
        <v/>
      </c>
      <c r="C510" s="82">
        <f>IF('2B'!B10&lt;&gt;"",'2B'!C10,"")</f>
        <v/>
      </c>
      <c r="D510" s="82">
        <f>IF('2B'!B10&lt;&gt;"",'2B'!D10,"")</f>
        <v/>
      </c>
      <c r="E510" s="82">
        <f>IF('2B'!B10&lt;&gt;"",'2B'!E10,"")</f>
        <v/>
      </c>
      <c r="F510" s="82">
        <f>IF('2B'!B10&lt;&gt;"",'2B'!F10,"")</f>
        <v/>
      </c>
      <c r="G510" s="82">
        <f>IF('2B'!B10&lt;&gt;"",'2B'!G10,"")</f>
        <v/>
      </c>
      <c r="H510" s="92">
        <f>IF('2B'!B10&lt;&gt;"",'2B'!H10,"")</f>
        <v/>
      </c>
      <c r="I510" s="92">
        <f>IF('2B'!B10&lt;&gt;"",'2B'!I10,"")</f>
        <v/>
      </c>
      <c r="J510" s="82">
        <f>IF('2B'!B10&lt;&gt;"",'2B'!J10,"")</f>
        <v/>
      </c>
    </row>
    <row r="511" ht="15.75" customHeight="1" s="52">
      <c r="A511" s="97">
        <f>IF('2B'!B11&lt;&gt;"","2B","")</f>
        <v/>
      </c>
      <c r="B511" s="78">
        <f>IF('2B'!B11&lt;&gt;"",'2B'!B11,"")</f>
        <v/>
      </c>
      <c r="C511" s="78">
        <f>IF('2B'!B11&lt;&gt;"",'2B'!C11,"")</f>
        <v/>
      </c>
      <c r="D511" s="78">
        <f>IF('2B'!B11&lt;&gt;"",'2B'!D11,"")</f>
        <v/>
      </c>
      <c r="E511" s="78">
        <f>IF('2B'!B11&lt;&gt;"",'2B'!E11,"")</f>
        <v/>
      </c>
      <c r="F511" s="78">
        <f>IF('2B'!B11&lt;&gt;"",'2B'!F11,"")</f>
        <v/>
      </c>
      <c r="G511" s="78">
        <f>IF('2B'!B11&lt;&gt;"",'2B'!G11,"")</f>
        <v/>
      </c>
      <c r="H511" s="97">
        <f>IF('2B'!B11&lt;&gt;"",'2B'!H11,"")</f>
        <v/>
      </c>
      <c r="I511" s="97">
        <f>IF('2B'!B11&lt;&gt;"",'2B'!I11,"")</f>
        <v/>
      </c>
      <c r="J511" s="78">
        <f>IF('2B'!B11&lt;&gt;"",'2B'!J11,"")</f>
        <v/>
      </c>
    </row>
    <row r="512" ht="15.75" customHeight="1" s="52">
      <c r="A512" s="92">
        <f>IF('2B'!B12&lt;&gt;"","2B","")</f>
        <v/>
      </c>
      <c r="B512" s="82">
        <f>IF('2B'!B12&lt;&gt;"",'2B'!B12,"")</f>
        <v/>
      </c>
      <c r="C512" s="82">
        <f>IF('2B'!B12&lt;&gt;"",'2B'!C12,"")</f>
        <v/>
      </c>
      <c r="D512" s="82">
        <f>IF('2B'!B12&lt;&gt;"",'2B'!D12,"")</f>
        <v/>
      </c>
      <c r="E512" s="82">
        <f>IF('2B'!B12&lt;&gt;"",'2B'!E12,"")</f>
        <v/>
      </c>
      <c r="F512" s="82">
        <f>IF('2B'!B12&lt;&gt;"",'2B'!F12,"")</f>
        <v/>
      </c>
      <c r="G512" s="82">
        <f>IF('2B'!B12&lt;&gt;"",'2B'!G12,"")</f>
        <v/>
      </c>
      <c r="H512" s="92">
        <f>IF('2B'!B12&lt;&gt;"",'2B'!H12,"")</f>
        <v/>
      </c>
      <c r="I512" s="92">
        <f>IF('2B'!B12&lt;&gt;"",'2B'!I12,"")</f>
        <v/>
      </c>
      <c r="J512" s="82">
        <f>IF('2B'!B12&lt;&gt;"",'2B'!J12,"")</f>
        <v/>
      </c>
    </row>
    <row r="513" ht="15.75" customHeight="1" s="52">
      <c r="A513" s="97">
        <f>IF('2B'!B13&lt;&gt;"","2B","")</f>
        <v/>
      </c>
      <c r="B513" s="78">
        <f>IF('2B'!B13&lt;&gt;"",'2B'!B13,"")</f>
        <v/>
      </c>
      <c r="C513" s="78">
        <f>IF('2B'!B13&lt;&gt;"",'2B'!C13,"")</f>
        <v/>
      </c>
      <c r="D513" s="78">
        <f>IF('2B'!B13&lt;&gt;"",'2B'!D13,"")</f>
        <v/>
      </c>
      <c r="E513" s="78">
        <f>IF('2B'!B13&lt;&gt;"",'2B'!E13,"")</f>
        <v/>
      </c>
      <c r="F513" s="78">
        <f>IF('2B'!B13&lt;&gt;"",'2B'!F13,"")</f>
        <v/>
      </c>
      <c r="G513" s="78">
        <f>IF('2B'!B13&lt;&gt;"",'2B'!G13,"")</f>
        <v/>
      </c>
      <c r="H513" s="97">
        <f>IF('2B'!B13&lt;&gt;"",'2B'!H13,"")</f>
        <v/>
      </c>
      <c r="I513" s="97">
        <f>IF('2B'!B13&lt;&gt;"",'2B'!I13,"")</f>
        <v/>
      </c>
      <c r="J513" s="78">
        <f>IF('2B'!B13&lt;&gt;"",'2B'!J13,"")</f>
        <v/>
      </c>
    </row>
    <row r="514" ht="15.75" customHeight="1" s="52">
      <c r="A514" s="92">
        <f>IF('2B'!B14&lt;&gt;"","2B","")</f>
        <v/>
      </c>
      <c r="B514" s="82">
        <f>IF('2B'!B14&lt;&gt;"",'2B'!B14,"")</f>
        <v/>
      </c>
      <c r="C514" s="82">
        <f>IF('2B'!B14&lt;&gt;"",'2B'!C14,"")</f>
        <v/>
      </c>
      <c r="D514" s="82">
        <f>IF('2B'!B14&lt;&gt;"",'2B'!D14,"")</f>
        <v/>
      </c>
      <c r="E514" s="82">
        <f>IF('2B'!B14&lt;&gt;"",'2B'!E14,"")</f>
        <v/>
      </c>
      <c r="F514" s="82">
        <f>IF('2B'!B14&lt;&gt;"",'2B'!F14,"")</f>
        <v/>
      </c>
      <c r="G514" s="82">
        <f>IF('2B'!B14&lt;&gt;"",'2B'!G14,"")</f>
        <v/>
      </c>
      <c r="H514" s="92">
        <f>IF('2B'!B14&lt;&gt;"",'2B'!H14,"")</f>
        <v/>
      </c>
      <c r="I514" s="92">
        <f>IF('2B'!B14&lt;&gt;"",'2B'!I14,"")</f>
        <v/>
      </c>
      <c r="J514" s="82">
        <f>IF('2B'!B14&lt;&gt;"",'2B'!J14,"")</f>
        <v/>
      </c>
    </row>
    <row r="515" ht="15.75" customHeight="1" s="52">
      <c r="A515" s="97">
        <f>IF('2B'!B15&lt;&gt;"","2B","")</f>
        <v/>
      </c>
      <c r="B515" s="78">
        <f>IF('2B'!B15&lt;&gt;"",'2B'!B15,"")</f>
        <v/>
      </c>
      <c r="C515" s="78">
        <f>IF('2B'!B15&lt;&gt;"",'2B'!C15,"")</f>
        <v/>
      </c>
      <c r="D515" s="78">
        <f>IF('2B'!B15&lt;&gt;"",'2B'!D15,"")</f>
        <v/>
      </c>
      <c r="E515" s="78">
        <f>IF('2B'!B15&lt;&gt;"",'2B'!E15,"")</f>
        <v/>
      </c>
      <c r="F515" s="78">
        <f>IF('2B'!B15&lt;&gt;"",'2B'!F15,"")</f>
        <v/>
      </c>
      <c r="G515" s="78">
        <f>IF('2B'!B15&lt;&gt;"",'2B'!G15,"")</f>
        <v/>
      </c>
      <c r="H515" s="97">
        <f>IF('2B'!B15&lt;&gt;"",'2B'!H15,"")</f>
        <v/>
      </c>
      <c r="I515" s="97">
        <f>IF('2B'!B15&lt;&gt;"",'2B'!I15,"")</f>
        <v/>
      </c>
      <c r="J515" s="78">
        <f>IF('2B'!B15&lt;&gt;"",'2B'!J15,"")</f>
        <v/>
      </c>
    </row>
    <row r="516" ht="15.75" customHeight="1" s="52">
      <c r="A516" s="92">
        <f>IF('2B'!B16&lt;&gt;"","2B","")</f>
        <v/>
      </c>
      <c r="B516" s="82">
        <f>IF('2B'!B16&lt;&gt;"",'2B'!B16,"")</f>
        <v/>
      </c>
      <c r="C516" s="82">
        <f>IF('2B'!B16&lt;&gt;"",'2B'!C16,"")</f>
        <v/>
      </c>
      <c r="D516" s="82">
        <f>IF('2B'!B16&lt;&gt;"",'2B'!D16,"")</f>
        <v/>
      </c>
      <c r="E516" s="82">
        <f>IF('2B'!B16&lt;&gt;"",'2B'!E16,"")</f>
        <v/>
      </c>
      <c r="F516" s="82">
        <f>IF('2B'!B16&lt;&gt;"",'2B'!F16,"")</f>
        <v/>
      </c>
      <c r="G516" s="82">
        <f>IF('2B'!B16&lt;&gt;"",'2B'!G16,"")</f>
        <v/>
      </c>
      <c r="H516" s="92">
        <f>IF('2B'!B16&lt;&gt;"",'2B'!H16,"")</f>
        <v/>
      </c>
      <c r="I516" s="92">
        <f>IF('2B'!B16&lt;&gt;"",'2B'!I16,"")</f>
        <v/>
      </c>
      <c r="J516" s="82">
        <f>IF('2B'!B16&lt;&gt;"",'2B'!J16,"")</f>
        <v/>
      </c>
    </row>
    <row r="517" ht="15.75" customHeight="1" s="52">
      <c r="A517" s="97">
        <f>IF('2B'!B17&lt;&gt;"","2B","")</f>
        <v/>
      </c>
      <c r="B517" s="78">
        <f>IF('2B'!B17&lt;&gt;"",'2B'!B17,"")</f>
        <v/>
      </c>
      <c r="C517" s="78">
        <f>IF('2B'!B17&lt;&gt;"",'2B'!C17,"")</f>
        <v/>
      </c>
      <c r="D517" s="78">
        <f>IF('2B'!B17&lt;&gt;"",'2B'!D17,"")</f>
        <v/>
      </c>
      <c r="E517" s="78">
        <f>IF('2B'!B17&lt;&gt;"",'2B'!E17,"")</f>
        <v/>
      </c>
      <c r="F517" s="78">
        <f>IF('2B'!B17&lt;&gt;"",'2B'!F17,"")</f>
        <v/>
      </c>
      <c r="G517" s="78">
        <f>IF('2B'!B17&lt;&gt;"",'2B'!G17,"")</f>
        <v/>
      </c>
      <c r="H517" s="97">
        <f>IF('2B'!B17&lt;&gt;"",'2B'!H17,"")</f>
        <v/>
      </c>
      <c r="I517" s="97">
        <f>IF('2B'!B17&lt;&gt;"",'2B'!I17,"")</f>
        <v/>
      </c>
      <c r="J517" s="78">
        <f>IF('2B'!B17&lt;&gt;"",'2B'!J17,"")</f>
        <v/>
      </c>
    </row>
    <row r="518" ht="15.75" customHeight="1" s="52">
      <c r="A518" s="92">
        <f>IF('2B'!B18&lt;&gt;"","2B","")</f>
        <v/>
      </c>
      <c r="B518" s="82">
        <f>IF('2B'!B18&lt;&gt;"",'2B'!B18,"")</f>
        <v/>
      </c>
      <c r="C518" s="82">
        <f>IF('2B'!B18&lt;&gt;"",'2B'!C18,"")</f>
        <v/>
      </c>
      <c r="D518" s="82">
        <f>IF('2B'!B18&lt;&gt;"",'2B'!D18,"")</f>
        <v/>
      </c>
      <c r="E518" s="82">
        <f>IF('2B'!B18&lt;&gt;"",'2B'!E18,"")</f>
        <v/>
      </c>
      <c r="F518" s="82">
        <f>IF('2B'!B18&lt;&gt;"",'2B'!F18,"")</f>
        <v/>
      </c>
      <c r="G518" s="82">
        <f>IF('2B'!B18&lt;&gt;"",'2B'!G18,"")</f>
        <v/>
      </c>
      <c r="H518" s="92">
        <f>IF('2B'!B18&lt;&gt;"",'2B'!H18,"")</f>
        <v/>
      </c>
      <c r="I518" s="92">
        <f>IF('2B'!B18&lt;&gt;"",'2B'!I18,"")</f>
        <v/>
      </c>
      <c r="J518" s="82">
        <f>IF('2B'!B18&lt;&gt;"",'2B'!J18,"")</f>
        <v/>
      </c>
    </row>
    <row r="519" ht="15.75" customHeight="1" s="52">
      <c r="A519" s="97">
        <f>IF('2B'!B19&lt;&gt;"","2B","")</f>
        <v/>
      </c>
      <c r="B519" s="78">
        <f>IF('2B'!B19&lt;&gt;"",'2B'!B19,"")</f>
        <v/>
      </c>
      <c r="C519" s="78">
        <f>IF('2B'!B19&lt;&gt;"",'2B'!C19,"")</f>
        <v/>
      </c>
      <c r="D519" s="78">
        <f>IF('2B'!B19&lt;&gt;"",'2B'!D19,"")</f>
        <v/>
      </c>
      <c r="E519" s="78">
        <f>IF('2B'!B19&lt;&gt;"",'2B'!E19,"")</f>
        <v/>
      </c>
      <c r="F519" s="78">
        <f>IF('2B'!B19&lt;&gt;"",'2B'!F19,"")</f>
        <v/>
      </c>
      <c r="G519" s="78">
        <f>IF('2B'!B19&lt;&gt;"",'2B'!G19,"")</f>
        <v/>
      </c>
      <c r="H519" s="97">
        <f>IF('2B'!B19&lt;&gt;"",'2B'!H19,"")</f>
        <v/>
      </c>
      <c r="I519" s="97">
        <f>IF('2B'!B19&lt;&gt;"",'2B'!I19,"")</f>
        <v/>
      </c>
      <c r="J519" s="78">
        <f>IF('2B'!B19&lt;&gt;"",'2B'!J19,"")</f>
        <v/>
      </c>
    </row>
    <row r="520" ht="15.75" customHeight="1" s="52">
      <c r="A520" s="92">
        <f>IF('2B'!B20&lt;&gt;"","2B","")</f>
        <v/>
      </c>
      <c r="B520" s="82">
        <f>IF('2B'!B20&lt;&gt;"",'2B'!B20,"")</f>
        <v/>
      </c>
      <c r="C520" s="82">
        <f>IF('2B'!B20&lt;&gt;"",'2B'!C20,"")</f>
        <v/>
      </c>
      <c r="D520" s="82">
        <f>IF('2B'!B20&lt;&gt;"",'2B'!D20,"")</f>
        <v/>
      </c>
      <c r="E520" s="82">
        <f>IF('2B'!B20&lt;&gt;"",'2B'!E20,"")</f>
        <v/>
      </c>
      <c r="F520" s="82">
        <f>IF('2B'!B20&lt;&gt;"",'2B'!F20,"")</f>
        <v/>
      </c>
      <c r="G520" s="82">
        <f>IF('2B'!B20&lt;&gt;"",'2B'!G20,"")</f>
        <v/>
      </c>
      <c r="H520" s="92">
        <f>IF('2B'!B20&lt;&gt;"",'2B'!H20,"")</f>
        <v/>
      </c>
      <c r="I520" s="92">
        <f>IF('2B'!B20&lt;&gt;"",'2B'!I20,"")</f>
        <v/>
      </c>
      <c r="J520" s="82">
        <f>IF('2B'!B20&lt;&gt;"",'2B'!J20,"")</f>
        <v/>
      </c>
    </row>
    <row r="521" ht="15.75" customHeight="1" s="52">
      <c r="A521" s="97">
        <f>IF('2B'!B21&lt;&gt;"","2B","")</f>
        <v/>
      </c>
      <c r="B521" s="78">
        <f>IF('2B'!B21&lt;&gt;"",'2B'!B21,"")</f>
        <v/>
      </c>
      <c r="C521" s="78">
        <f>IF('2B'!B21&lt;&gt;"",'2B'!C21,"")</f>
        <v/>
      </c>
      <c r="D521" s="78">
        <f>IF('2B'!B21&lt;&gt;"",'2B'!D21,"")</f>
        <v/>
      </c>
      <c r="E521" s="78">
        <f>IF('2B'!B21&lt;&gt;"",'2B'!E21,"")</f>
        <v/>
      </c>
      <c r="F521" s="78">
        <f>IF('2B'!B21&lt;&gt;"",'2B'!F21,"")</f>
        <v/>
      </c>
      <c r="G521" s="78">
        <f>IF('2B'!B21&lt;&gt;"",'2B'!G21,"")</f>
        <v/>
      </c>
      <c r="H521" s="97">
        <f>IF('2B'!B21&lt;&gt;"",'2B'!H21,"")</f>
        <v/>
      </c>
      <c r="I521" s="97">
        <f>IF('2B'!B21&lt;&gt;"",'2B'!I21,"")</f>
        <v/>
      </c>
      <c r="J521" s="78">
        <f>IF('2B'!B21&lt;&gt;"",'2B'!J21,"")</f>
        <v/>
      </c>
    </row>
    <row r="522" ht="15.75" customHeight="1" s="52">
      <c r="A522" s="92">
        <f>IF('2B'!B22&lt;&gt;"","2B","")</f>
        <v/>
      </c>
      <c r="B522" s="82">
        <f>IF('2B'!B22&lt;&gt;"",'2B'!B22,"")</f>
        <v/>
      </c>
      <c r="C522" s="82">
        <f>IF('2B'!B22&lt;&gt;"",'2B'!C22,"")</f>
        <v/>
      </c>
      <c r="D522" s="82">
        <f>IF('2B'!B22&lt;&gt;"",'2B'!D22,"")</f>
        <v/>
      </c>
      <c r="E522" s="82">
        <f>IF('2B'!B22&lt;&gt;"",'2B'!E22,"")</f>
        <v/>
      </c>
      <c r="F522" s="82">
        <f>IF('2B'!B22&lt;&gt;"",'2B'!F22,"")</f>
        <v/>
      </c>
      <c r="G522" s="82">
        <f>IF('2B'!B22&lt;&gt;"",'2B'!G22,"")</f>
        <v/>
      </c>
      <c r="H522" s="92">
        <f>IF('2B'!B22&lt;&gt;"",'2B'!H22,"")</f>
        <v/>
      </c>
      <c r="I522" s="92">
        <f>IF('2B'!B22&lt;&gt;"",'2B'!I22,"")</f>
        <v/>
      </c>
      <c r="J522" s="82">
        <f>IF('2B'!B22&lt;&gt;"",'2B'!J22,"")</f>
        <v/>
      </c>
    </row>
    <row r="523" ht="15.75" customHeight="1" s="52">
      <c r="A523" s="97">
        <f>IF('2B'!B23&lt;&gt;"","2B","")</f>
        <v/>
      </c>
      <c r="B523" s="78">
        <f>IF('2B'!B23&lt;&gt;"",'2B'!B23,"")</f>
        <v/>
      </c>
      <c r="C523" s="78">
        <f>IF('2B'!B23&lt;&gt;"",'2B'!C23,"")</f>
        <v/>
      </c>
      <c r="D523" s="78">
        <f>IF('2B'!B23&lt;&gt;"",'2B'!D23,"")</f>
        <v/>
      </c>
      <c r="E523" s="78">
        <f>IF('2B'!B23&lt;&gt;"",'2B'!E23,"")</f>
        <v/>
      </c>
      <c r="F523" s="78">
        <f>IF('2B'!B23&lt;&gt;"",'2B'!F23,"")</f>
        <v/>
      </c>
      <c r="G523" s="78">
        <f>IF('2B'!B23&lt;&gt;"",'2B'!G23,"")</f>
        <v/>
      </c>
      <c r="H523" s="97">
        <f>IF('2B'!B23&lt;&gt;"",'2B'!H23,"")</f>
        <v/>
      </c>
      <c r="I523" s="97">
        <f>IF('2B'!B23&lt;&gt;"",'2B'!I23,"")</f>
        <v/>
      </c>
      <c r="J523" s="78">
        <f>IF('2B'!B23&lt;&gt;"",'2B'!J23,"")</f>
        <v/>
      </c>
    </row>
    <row r="524" ht="15.75" customHeight="1" s="52">
      <c r="A524" s="92">
        <f>IF('2B'!B24&lt;&gt;"","2B","")</f>
        <v/>
      </c>
      <c r="B524" s="82">
        <f>IF('2B'!B24&lt;&gt;"",'2B'!B24,"")</f>
        <v/>
      </c>
      <c r="C524" s="82">
        <f>IF('2B'!B24&lt;&gt;"",'2B'!C24,"")</f>
        <v/>
      </c>
      <c r="D524" s="82">
        <f>IF('2B'!B24&lt;&gt;"",'2B'!D24,"")</f>
        <v/>
      </c>
      <c r="E524" s="82">
        <f>IF('2B'!B24&lt;&gt;"",'2B'!E24,"")</f>
        <v/>
      </c>
      <c r="F524" s="82">
        <f>IF('2B'!B24&lt;&gt;"",'2B'!F24,"")</f>
        <v/>
      </c>
      <c r="G524" s="82">
        <f>IF('2B'!B24&lt;&gt;"",'2B'!G24,"")</f>
        <v/>
      </c>
      <c r="H524" s="92">
        <f>IF('2B'!B24&lt;&gt;"",'2B'!H24,"")</f>
        <v/>
      </c>
      <c r="I524" s="92">
        <f>IF('2B'!B24&lt;&gt;"",'2B'!I24,"")</f>
        <v/>
      </c>
      <c r="J524" s="82">
        <f>IF('2B'!B24&lt;&gt;"",'2B'!J24,"")</f>
        <v/>
      </c>
    </row>
    <row r="525" ht="15.75" customHeight="1" s="52">
      <c r="A525" s="97">
        <f>IF('2B'!B25&lt;&gt;"","2B","")</f>
        <v/>
      </c>
      <c r="B525" s="78">
        <f>IF('2B'!B25&lt;&gt;"",'2B'!B25,"")</f>
        <v/>
      </c>
      <c r="C525" s="78">
        <f>IF('2B'!B25&lt;&gt;"",'2B'!C25,"")</f>
        <v/>
      </c>
      <c r="D525" s="78">
        <f>IF('2B'!B25&lt;&gt;"",'2B'!D25,"")</f>
        <v/>
      </c>
      <c r="E525" s="78">
        <f>IF('2B'!B25&lt;&gt;"",'2B'!E25,"")</f>
        <v/>
      </c>
      <c r="F525" s="78">
        <f>IF('2B'!B25&lt;&gt;"",'2B'!F25,"")</f>
        <v/>
      </c>
      <c r="G525" s="78">
        <f>IF('2B'!B25&lt;&gt;"",'2B'!G25,"")</f>
        <v/>
      </c>
      <c r="H525" s="97">
        <f>IF('2B'!B25&lt;&gt;"",'2B'!H25,"")</f>
        <v/>
      </c>
      <c r="I525" s="97">
        <f>IF('2B'!B25&lt;&gt;"",'2B'!I25,"")</f>
        <v/>
      </c>
      <c r="J525" s="78">
        <f>IF('2B'!B25&lt;&gt;"",'2B'!J25,"")</f>
        <v/>
      </c>
    </row>
    <row r="526" ht="15.75" customHeight="1" s="52">
      <c r="A526" s="92">
        <f>IF('2B'!B26&lt;&gt;"","2B","")</f>
        <v/>
      </c>
      <c r="B526" s="82">
        <f>IF('2B'!B26&lt;&gt;"",'2B'!B26,"")</f>
        <v/>
      </c>
      <c r="C526" s="82">
        <f>IF('2B'!B26&lt;&gt;"",'2B'!C26,"")</f>
        <v/>
      </c>
      <c r="D526" s="82">
        <f>IF('2B'!B26&lt;&gt;"",'2B'!D26,"")</f>
        <v/>
      </c>
      <c r="E526" s="82">
        <f>IF('2B'!B26&lt;&gt;"",'2B'!E26,"")</f>
        <v/>
      </c>
      <c r="F526" s="82">
        <f>IF('2B'!B26&lt;&gt;"",'2B'!F26,"")</f>
        <v/>
      </c>
      <c r="G526" s="82">
        <f>IF('2B'!B26&lt;&gt;"",'2B'!G26,"")</f>
        <v/>
      </c>
      <c r="H526" s="92">
        <f>IF('2B'!B26&lt;&gt;"",'2B'!H26,"")</f>
        <v/>
      </c>
      <c r="I526" s="92">
        <f>IF('2B'!B26&lt;&gt;"",'2B'!I26,"")</f>
        <v/>
      </c>
      <c r="J526" s="82">
        <f>IF('2B'!B26&lt;&gt;"",'2B'!J26,"")</f>
        <v/>
      </c>
    </row>
    <row r="527" ht="15.75" customHeight="1" s="52">
      <c r="A527" s="97">
        <f>IF('2B'!B27&lt;&gt;"","2B","")</f>
        <v/>
      </c>
      <c r="B527" s="78">
        <f>IF('2B'!B27&lt;&gt;"",'2B'!B27,"")</f>
        <v/>
      </c>
      <c r="C527" s="78">
        <f>IF('2B'!B27&lt;&gt;"",'2B'!C27,"")</f>
        <v/>
      </c>
      <c r="D527" s="78">
        <f>IF('2B'!B27&lt;&gt;"",'2B'!D27,"")</f>
        <v/>
      </c>
      <c r="E527" s="78">
        <f>IF('2B'!B27&lt;&gt;"",'2B'!E27,"")</f>
        <v/>
      </c>
      <c r="F527" s="78">
        <f>IF('2B'!B27&lt;&gt;"",'2B'!F27,"")</f>
        <v/>
      </c>
      <c r="G527" s="78">
        <f>IF('2B'!B27&lt;&gt;"",'2B'!G27,"")</f>
        <v/>
      </c>
      <c r="H527" s="97">
        <f>IF('2B'!B27&lt;&gt;"",'2B'!H27,"")</f>
        <v/>
      </c>
      <c r="I527" s="97">
        <f>IF('2B'!B27&lt;&gt;"",'2B'!I27,"")</f>
        <v/>
      </c>
      <c r="J527" s="78">
        <f>IF('2B'!B27&lt;&gt;"",'2B'!J27,"")</f>
        <v/>
      </c>
    </row>
    <row r="528" ht="15.75" customHeight="1" s="52">
      <c r="A528" s="92">
        <f>IF('2B'!B28&lt;&gt;"","2B","")</f>
        <v/>
      </c>
      <c r="B528" s="82">
        <f>IF('2B'!B28&lt;&gt;"",'2B'!B28,"")</f>
        <v/>
      </c>
      <c r="C528" s="82">
        <f>IF('2B'!B28&lt;&gt;"",'2B'!C28,"")</f>
        <v/>
      </c>
      <c r="D528" s="82">
        <f>IF('2B'!B28&lt;&gt;"",'2B'!D28,"")</f>
        <v/>
      </c>
      <c r="E528" s="82">
        <f>IF('2B'!B28&lt;&gt;"",'2B'!E28,"")</f>
        <v/>
      </c>
      <c r="F528" s="82">
        <f>IF('2B'!B28&lt;&gt;"",'2B'!F28,"")</f>
        <v/>
      </c>
      <c r="G528" s="82">
        <f>IF('2B'!B28&lt;&gt;"",'2B'!G28,"")</f>
        <v/>
      </c>
      <c r="H528" s="92">
        <f>IF('2B'!B28&lt;&gt;"",'2B'!H28,"")</f>
        <v/>
      </c>
      <c r="I528" s="92">
        <f>IF('2B'!B28&lt;&gt;"",'2B'!I28,"")</f>
        <v/>
      </c>
      <c r="J528" s="82">
        <f>IF('2B'!B28&lt;&gt;"",'2B'!J28,"")</f>
        <v/>
      </c>
    </row>
    <row r="529" ht="15.75" customHeight="1" s="52">
      <c r="A529" s="97">
        <f>IF('2B'!B29&lt;&gt;"","2B","")</f>
        <v/>
      </c>
      <c r="B529" s="78">
        <f>IF('2B'!B29&lt;&gt;"",'2B'!B29,"")</f>
        <v/>
      </c>
      <c r="C529" s="78">
        <f>IF('2B'!B29&lt;&gt;"",'2B'!C29,"")</f>
        <v/>
      </c>
      <c r="D529" s="78">
        <f>IF('2B'!B29&lt;&gt;"",'2B'!D29,"")</f>
        <v/>
      </c>
      <c r="E529" s="78">
        <f>IF('2B'!B29&lt;&gt;"",'2B'!E29,"")</f>
        <v/>
      </c>
      <c r="F529" s="78">
        <f>IF('2B'!B29&lt;&gt;"",'2B'!F29,"")</f>
        <v/>
      </c>
      <c r="G529" s="78">
        <f>IF('2B'!B29&lt;&gt;"",'2B'!G29,"")</f>
        <v/>
      </c>
      <c r="H529" s="97">
        <f>IF('2B'!B29&lt;&gt;"",'2B'!H29,"")</f>
        <v/>
      </c>
      <c r="I529" s="97">
        <f>IF('2B'!B29&lt;&gt;"",'2B'!I29,"")</f>
        <v/>
      </c>
      <c r="J529" s="78">
        <f>IF('2B'!B29&lt;&gt;"",'2B'!J29,"")</f>
        <v/>
      </c>
    </row>
    <row r="530" ht="15.75" customHeight="1" s="52">
      <c r="A530" s="92">
        <f>IF('2B'!B30&lt;&gt;"","2B","")</f>
        <v/>
      </c>
      <c r="B530" s="82">
        <f>IF('2B'!B30&lt;&gt;"",'2B'!B30,"")</f>
        <v/>
      </c>
      <c r="C530" s="82">
        <f>IF('2B'!B30&lt;&gt;"",'2B'!C30,"")</f>
        <v/>
      </c>
      <c r="D530" s="82">
        <f>IF('2B'!B30&lt;&gt;"",'2B'!D30,"")</f>
        <v/>
      </c>
      <c r="E530" s="82">
        <f>IF('2B'!B30&lt;&gt;"",'2B'!E30,"")</f>
        <v/>
      </c>
      <c r="F530" s="82">
        <f>IF('2B'!B30&lt;&gt;"",'2B'!F30,"")</f>
        <v/>
      </c>
      <c r="G530" s="82">
        <f>IF('2B'!B30&lt;&gt;"",'2B'!G30,"")</f>
        <v/>
      </c>
      <c r="H530" s="92">
        <f>IF('2B'!B30&lt;&gt;"",'2B'!H30,"")</f>
        <v/>
      </c>
      <c r="I530" s="92">
        <f>IF('2B'!B30&lt;&gt;"",'2B'!I30,"")</f>
        <v/>
      </c>
      <c r="J530" s="82">
        <f>IF('2B'!B30&lt;&gt;"",'2B'!J30,"")</f>
        <v/>
      </c>
    </row>
    <row r="531" ht="15.75" customHeight="1" s="52">
      <c r="A531" s="97">
        <f>IF('2B'!B31&lt;&gt;"","2B","")</f>
        <v/>
      </c>
      <c r="B531" s="78">
        <f>IF('2B'!B31&lt;&gt;"",'2B'!B31,"")</f>
        <v/>
      </c>
      <c r="C531" s="78">
        <f>IF('2B'!B31&lt;&gt;"",'2B'!C31,"")</f>
        <v/>
      </c>
      <c r="D531" s="78">
        <f>IF('2B'!B31&lt;&gt;"",'2B'!D31,"")</f>
        <v/>
      </c>
      <c r="E531" s="78">
        <f>IF('2B'!B31&lt;&gt;"",'2B'!E31,"")</f>
        <v/>
      </c>
      <c r="F531" s="78">
        <f>IF('2B'!B31&lt;&gt;"",'2B'!F31,"")</f>
        <v/>
      </c>
      <c r="G531" s="78">
        <f>IF('2B'!B31&lt;&gt;"",'2B'!G31,"")</f>
        <v/>
      </c>
      <c r="H531" s="97">
        <f>IF('2B'!B31&lt;&gt;"",'2B'!H31,"")</f>
        <v/>
      </c>
      <c r="I531" s="97">
        <f>IF('2B'!B31&lt;&gt;"",'2B'!I31,"")</f>
        <v/>
      </c>
      <c r="J531" s="78">
        <f>IF('2B'!B31&lt;&gt;"",'2B'!J31,"")</f>
        <v/>
      </c>
    </row>
    <row r="532" ht="15.75" customHeight="1" s="52">
      <c r="A532" s="92">
        <f>IF('2B'!B32&lt;&gt;"","2B","")</f>
        <v/>
      </c>
      <c r="B532" s="82">
        <f>IF('2B'!B32&lt;&gt;"",'2B'!B32,"")</f>
        <v/>
      </c>
      <c r="C532" s="82">
        <f>IF('2B'!B32&lt;&gt;"",'2B'!C32,"")</f>
        <v/>
      </c>
      <c r="D532" s="82">
        <f>IF('2B'!B32&lt;&gt;"",'2B'!D32,"")</f>
        <v/>
      </c>
      <c r="E532" s="82">
        <f>IF('2B'!B32&lt;&gt;"",'2B'!E32,"")</f>
        <v/>
      </c>
      <c r="F532" s="82">
        <f>IF('2B'!B32&lt;&gt;"",'2B'!F32,"")</f>
        <v/>
      </c>
      <c r="G532" s="82">
        <f>IF('2B'!B32&lt;&gt;"",'2B'!G32,"")</f>
        <v/>
      </c>
      <c r="H532" s="92">
        <f>IF('2B'!B32&lt;&gt;"",'2B'!H32,"")</f>
        <v/>
      </c>
      <c r="I532" s="92">
        <f>IF('2B'!B32&lt;&gt;"",'2B'!I32,"")</f>
        <v/>
      </c>
      <c r="J532" s="82">
        <f>IF('2B'!B32&lt;&gt;"",'2B'!J32,"")</f>
        <v/>
      </c>
    </row>
    <row r="533" ht="15.75" customHeight="1" s="52">
      <c r="A533" s="97">
        <f>IF('2B'!B33&lt;&gt;"","2B","")</f>
        <v/>
      </c>
      <c r="B533" s="78">
        <f>IF('2B'!B33&lt;&gt;"",'2B'!B33,"")</f>
        <v/>
      </c>
      <c r="C533" s="78">
        <f>IF('2B'!B33&lt;&gt;"",'2B'!C33,"")</f>
        <v/>
      </c>
      <c r="D533" s="78">
        <f>IF('2B'!B33&lt;&gt;"",'2B'!D33,"")</f>
        <v/>
      </c>
      <c r="E533" s="78">
        <f>IF('2B'!B33&lt;&gt;"",'2B'!E33,"")</f>
        <v/>
      </c>
      <c r="F533" s="78">
        <f>IF('2B'!B33&lt;&gt;"",'2B'!F33,"")</f>
        <v/>
      </c>
      <c r="G533" s="78">
        <f>IF('2B'!B33&lt;&gt;"",'2B'!G33,"")</f>
        <v/>
      </c>
      <c r="H533" s="97">
        <f>IF('2B'!B33&lt;&gt;"",'2B'!H33,"")</f>
        <v/>
      </c>
      <c r="I533" s="97">
        <f>IF('2B'!B33&lt;&gt;"",'2B'!I33,"")</f>
        <v/>
      </c>
      <c r="J533" s="78">
        <f>IF('2B'!B33&lt;&gt;"",'2B'!J33,"")</f>
        <v/>
      </c>
    </row>
    <row r="534" ht="15.75" customHeight="1" s="52">
      <c r="A534" s="92">
        <f>IF('2B'!B34&lt;&gt;"","2B","")</f>
        <v/>
      </c>
      <c r="B534" s="82">
        <f>IF('2B'!B34&lt;&gt;"",'2B'!B34,"")</f>
        <v/>
      </c>
      <c r="C534" s="82">
        <f>IF('2B'!B34&lt;&gt;"",'2B'!C34,"")</f>
        <v/>
      </c>
      <c r="D534" s="82">
        <f>IF('2B'!B34&lt;&gt;"",'2B'!D34,"")</f>
        <v/>
      </c>
      <c r="E534" s="82">
        <f>IF('2B'!B34&lt;&gt;"",'2B'!E34,"")</f>
        <v/>
      </c>
      <c r="F534" s="82">
        <f>IF('2B'!B34&lt;&gt;"",'2B'!F34,"")</f>
        <v/>
      </c>
      <c r="G534" s="82">
        <f>IF('2B'!B34&lt;&gt;"",'2B'!G34,"")</f>
        <v/>
      </c>
      <c r="H534" s="92">
        <f>IF('2B'!B34&lt;&gt;"",'2B'!H34,"")</f>
        <v/>
      </c>
      <c r="I534" s="92">
        <f>IF('2B'!B34&lt;&gt;"",'2B'!I34,"")</f>
        <v/>
      </c>
      <c r="J534" s="82">
        <f>IF('2B'!B34&lt;&gt;"",'2B'!J34,"")</f>
        <v/>
      </c>
    </row>
    <row r="535" ht="15.75" customHeight="1" s="52">
      <c r="A535" s="97">
        <f>IF('2B'!B35&lt;&gt;"","2B","")</f>
        <v/>
      </c>
      <c r="B535" s="78">
        <f>IF('2B'!B35&lt;&gt;"",'2B'!B35,"")</f>
        <v/>
      </c>
      <c r="C535" s="78">
        <f>IF('2B'!B35&lt;&gt;"",'2B'!C35,"")</f>
        <v/>
      </c>
      <c r="D535" s="78">
        <f>IF('2B'!B35&lt;&gt;"",'2B'!D35,"")</f>
        <v/>
      </c>
      <c r="E535" s="78">
        <f>IF('2B'!B35&lt;&gt;"",'2B'!E35,"")</f>
        <v/>
      </c>
      <c r="F535" s="78">
        <f>IF('2B'!B35&lt;&gt;"",'2B'!F35,"")</f>
        <v/>
      </c>
      <c r="G535" s="78">
        <f>IF('2B'!B35&lt;&gt;"",'2B'!G35,"")</f>
        <v/>
      </c>
      <c r="H535" s="97">
        <f>IF('2B'!B35&lt;&gt;"",'2B'!H35,"")</f>
        <v/>
      </c>
      <c r="I535" s="97">
        <f>IF('2B'!B35&lt;&gt;"",'2B'!I35,"")</f>
        <v/>
      </c>
      <c r="J535" s="78">
        <f>IF('2B'!B35&lt;&gt;"",'2B'!J35,"")</f>
        <v/>
      </c>
    </row>
    <row r="536" ht="15.75" customHeight="1" s="52">
      <c r="A536" s="92">
        <f>IF('2B'!B36&lt;&gt;"","2B","")</f>
        <v/>
      </c>
      <c r="B536" s="82">
        <f>IF('2B'!B36&lt;&gt;"",'2B'!B36,"")</f>
        <v/>
      </c>
      <c r="C536" s="82">
        <f>IF('2B'!B36&lt;&gt;"",'2B'!C36,"")</f>
        <v/>
      </c>
      <c r="D536" s="82">
        <f>IF('2B'!B36&lt;&gt;"",'2B'!D36,"")</f>
        <v/>
      </c>
      <c r="E536" s="82">
        <f>IF('2B'!B36&lt;&gt;"",'2B'!E36,"")</f>
        <v/>
      </c>
      <c r="F536" s="82">
        <f>IF('2B'!B36&lt;&gt;"",'2B'!F36,"")</f>
        <v/>
      </c>
      <c r="G536" s="82">
        <f>IF('2B'!B36&lt;&gt;"",'2B'!G36,"")</f>
        <v/>
      </c>
      <c r="H536" s="92">
        <f>IF('2B'!B36&lt;&gt;"",'2B'!H36,"")</f>
        <v/>
      </c>
      <c r="I536" s="92">
        <f>IF('2B'!B36&lt;&gt;"",'2B'!I36,"")</f>
        <v/>
      </c>
      <c r="J536" s="82">
        <f>IF('2B'!B36&lt;&gt;"",'2B'!J36,"")</f>
        <v/>
      </c>
    </row>
    <row r="537" ht="15.75" customHeight="1" s="52">
      <c r="A537" s="97">
        <f>IF('2B'!B37&lt;&gt;"","2B","")</f>
        <v/>
      </c>
      <c r="B537" s="78">
        <f>IF('2B'!B37&lt;&gt;"",'2B'!B37,"")</f>
        <v/>
      </c>
      <c r="C537" s="78">
        <f>IF('2B'!B37&lt;&gt;"",'2B'!C37,"")</f>
        <v/>
      </c>
      <c r="D537" s="78">
        <f>IF('2B'!B37&lt;&gt;"",'2B'!D37,"")</f>
        <v/>
      </c>
      <c r="E537" s="78">
        <f>IF('2B'!B37&lt;&gt;"",'2B'!E37,"")</f>
        <v/>
      </c>
      <c r="F537" s="78">
        <f>IF('2B'!B37&lt;&gt;"",'2B'!F37,"")</f>
        <v/>
      </c>
      <c r="G537" s="78">
        <f>IF('2B'!B37&lt;&gt;"",'2B'!G37,"")</f>
        <v/>
      </c>
      <c r="H537" s="97">
        <f>IF('2B'!B37&lt;&gt;"",'2B'!H37,"")</f>
        <v/>
      </c>
      <c r="I537" s="97">
        <f>IF('2B'!B37&lt;&gt;"",'2B'!I37,"")</f>
        <v/>
      </c>
      <c r="J537" s="78">
        <f>IF('2B'!B37&lt;&gt;"",'2B'!J37,"")</f>
        <v/>
      </c>
    </row>
    <row r="538" ht="15.75" customHeight="1" s="52">
      <c r="A538" s="92">
        <f>IF('2B'!B38&lt;&gt;"","2B","")</f>
        <v/>
      </c>
      <c r="B538" s="82">
        <f>IF('2B'!B38&lt;&gt;"",'2B'!B38,"")</f>
        <v/>
      </c>
      <c r="C538" s="82">
        <f>IF('2B'!B38&lt;&gt;"",'2B'!C38,"")</f>
        <v/>
      </c>
      <c r="D538" s="82">
        <f>IF('2B'!B38&lt;&gt;"",'2B'!D38,"")</f>
        <v/>
      </c>
      <c r="E538" s="82">
        <f>IF('2B'!B38&lt;&gt;"",'2B'!E38,"")</f>
        <v/>
      </c>
      <c r="F538" s="82">
        <f>IF('2B'!B38&lt;&gt;"",'2B'!F38,"")</f>
        <v/>
      </c>
      <c r="G538" s="82">
        <f>IF('2B'!B38&lt;&gt;"",'2B'!G38,"")</f>
        <v/>
      </c>
      <c r="H538" s="92">
        <f>IF('2B'!B38&lt;&gt;"",'2B'!H38,"")</f>
        <v/>
      </c>
      <c r="I538" s="92">
        <f>IF('2B'!B38&lt;&gt;"",'2B'!I38,"")</f>
        <v/>
      </c>
      <c r="J538" s="82">
        <f>IF('2B'!B38&lt;&gt;"",'2B'!J38,"")</f>
        <v/>
      </c>
    </row>
    <row r="539" ht="15.75" customHeight="1" s="52">
      <c r="A539" s="97">
        <f>IF('2B'!B39&lt;&gt;"","2B","")</f>
        <v/>
      </c>
      <c r="B539" s="78">
        <f>IF('2B'!B39&lt;&gt;"",'2B'!B39,"")</f>
        <v/>
      </c>
      <c r="C539" s="78">
        <f>IF('2B'!B39&lt;&gt;"",'2B'!C39,"")</f>
        <v/>
      </c>
      <c r="D539" s="78">
        <f>IF('2B'!B39&lt;&gt;"",'2B'!D39,"")</f>
        <v/>
      </c>
      <c r="E539" s="78">
        <f>IF('2B'!B39&lt;&gt;"",'2B'!E39,"")</f>
        <v/>
      </c>
      <c r="F539" s="78">
        <f>IF('2B'!B39&lt;&gt;"",'2B'!F39,"")</f>
        <v/>
      </c>
      <c r="G539" s="78">
        <f>IF('2B'!B39&lt;&gt;"",'2B'!G39,"")</f>
        <v/>
      </c>
      <c r="H539" s="97">
        <f>IF('2B'!B39&lt;&gt;"",'2B'!H39,"")</f>
        <v/>
      </c>
      <c r="I539" s="97">
        <f>IF('2B'!B39&lt;&gt;"",'2B'!I39,"")</f>
        <v/>
      </c>
      <c r="J539" s="78">
        <f>IF('2B'!B39&lt;&gt;"",'2B'!J39,"")</f>
        <v/>
      </c>
    </row>
    <row r="540" ht="15.75" customHeight="1" s="52">
      <c r="A540" s="92">
        <f>IF('2B'!B40&lt;&gt;"","2B","")</f>
        <v/>
      </c>
      <c r="B540" s="82">
        <f>IF('2B'!B40&lt;&gt;"",'2B'!B40,"")</f>
        <v/>
      </c>
      <c r="C540" s="82">
        <f>IF('2B'!B40&lt;&gt;"",'2B'!C40,"")</f>
        <v/>
      </c>
      <c r="D540" s="82">
        <f>IF('2B'!B40&lt;&gt;"",'2B'!D40,"")</f>
        <v/>
      </c>
      <c r="E540" s="82">
        <f>IF('2B'!B40&lt;&gt;"",'2B'!E40,"")</f>
        <v/>
      </c>
      <c r="F540" s="82">
        <f>IF('2B'!B40&lt;&gt;"",'2B'!F40,"")</f>
        <v/>
      </c>
      <c r="G540" s="82">
        <f>IF('2B'!B40&lt;&gt;"",'2B'!G40,"")</f>
        <v/>
      </c>
      <c r="H540" s="92">
        <f>IF('2B'!B40&lt;&gt;"",'2B'!H40,"")</f>
        <v/>
      </c>
      <c r="I540" s="92">
        <f>IF('2B'!B40&lt;&gt;"",'2B'!I40,"")</f>
        <v/>
      </c>
      <c r="J540" s="82">
        <f>IF('2B'!B40&lt;&gt;"",'2B'!J40,"")</f>
        <v/>
      </c>
    </row>
    <row r="541" ht="15.75" customHeight="1" s="52">
      <c r="A541" s="97">
        <f>IF('2B'!B41&lt;&gt;"","2B","")</f>
        <v/>
      </c>
      <c r="B541" s="78">
        <f>IF('2B'!B41&lt;&gt;"",'2B'!B41,"")</f>
        <v/>
      </c>
      <c r="C541" s="78">
        <f>IF('2B'!B41&lt;&gt;"",'2B'!C41,"")</f>
        <v/>
      </c>
      <c r="D541" s="78">
        <f>IF('2B'!B41&lt;&gt;"",'2B'!D41,"")</f>
        <v/>
      </c>
      <c r="E541" s="78">
        <f>IF('2B'!B41&lt;&gt;"",'2B'!E41,"")</f>
        <v/>
      </c>
      <c r="F541" s="78">
        <f>IF('2B'!B41&lt;&gt;"",'2B'!F41,"")</f>
        <v/>
      </c>
      <c r="G541" s="78">
        <f>IF('2B'!B41&lt;&gt;"",'2B'!G41,"")</f>
        <v/>
      </c>
      <c r="H541" s="97">
        <f>IF('2B'!B41&lt;&gt;"",'2B'!H41,"")</f>
        <v/>
      </c>
      <c r="I541" s="97">
        <f>IF('2B'!B41&lt;&gt;"",'2B'!I41,"")</f>
        <v/>
      </c>
      <c r="J541" s="78">
        <f>IF('2B'!B41&lt;&gt;"",'2B'!J41,"")</f>
        <v/>
      </c>
    </row>
    <row r="542" ht="15.75" customHeight="1" s="52">
      <c r="A542" s="92">
        <f>IF('2B'!B42&lt;&gt;"","2B","")</f>
        <v/>
      </c>
      <c r="B542" s="82">
        <f>IF('2B'!B42&lt;&gt;"",'2B'!B42,"")</f>
        <v/>
      </c>
      <c r="C542" s="82">
        <f>IF('2B'!B42&lt;&gt;"",'2B'!C42,"")</f>
        <v/>
      </c>
      <c r="D542" s="82">
        <f>IF('2B'!B42&lt;&gt;"",'2B'!D42,"")</f>
        <v/>
      </c>
      <c r="E542" s="82">
        <f>IF('2B'!B42&lt;&gt;"",'2B'!E42,"")</f>
        <v/>
      </c>
      <c r="F542" s="82">
        <f>IF('2B'!B42&lt;&gt;"",'2B'!F42,"")</f>
        <v/>
      </c>
      <c r="G542" s="82">
        <f>IF('2B'!B42&lt;&gt;"",'2B'!G42,"")</f>
        <v/>
      </c>
      <c r="H542" s="92">
        <f>IF('2B'!B42&lt;&gt;"",'2B'!H42,"")</f>
        <v/>
      </c>
      <c r="I542" s="92">
        <f>IF('2B'!B42&lt;&gt;"",'2B'!I42,"")</f>
        <v/>
      </c>
      <c r="J542" s="82">
        <f>IF('2B'!B42&lt;&gt;"",'2B'!J42,"")</f>
        <v/>
      </c>
    </row>
    <row r="543" ht="15.75" customHeight="1" s="52">
      <c r="A543" s="97">
        <f>IF('2B'!B43&lt;&gt;"","2B","")</f>
        <v/>
      </c>
      <c r="B543" s="78">
        <f>IF('2B'!B43&lt;&gt;"",'2B'!B43,"")</f>
        <v/>
      </c>
      <c r="C543" s="78">
        <f>IF('2B'!B43&lt;&gt;"",'2B'!C43,"")</f>
        <v/>
      </c>
      <c r="D543" s="78">
        <f>IF('2B'!B43&lt;&gt;"",'2B'!D43,"")</f>
        <v/>
      </c>
      <c r="E543" s="78">
        <f>IF('2B'!B43&lt;&gt;"",'2B'!E43,"")</f>
        <v/>
      </c>
      <c r="F543" s="78">
        <f>IF('2B'!B43&lt;&gt;"",'2B'!F43,"")</f>
        <v/>
      </c>
      <c r="G543" s="78">
        <f>IF('2B'!B43&lt;&gt;"",'2B'!G43,"")</f>
        <v/>
      </c>
      <c r="H543" s="97">
        <f>IF('2B'!B43&lt;&gt;"",'2B'!H43,"")</f>
        <v/>
      </c>
      <c r="I543" s="97">
        <f>IF('2B'!B43&lt;&gt;"",'2B'!I43,"")</f>
        <v/>
      </c>
      <c r="J543" s="78">
        <f>IF('2B'!B43&lt;&gt;"",'2B'!J43,"")</f>
        <v/>
      </c>
    </row>
    <row r="544" ht="15.75" customHeight="1" s="52">
      <c r="A544" s="92">
        <f>IF('2B'!B44&lt;&gt;"","2B","")</f>
        <v/>
      </c>
      <c r="B544" s="82">
        <f>IF('2B'!B44&lt;&gt;"",'2B'!B44,"")</f>
        <v/>
      </c>
      <c r="C544" s="82">
        <f>IF('2B'!B44&lt;&gt;"",'2B'!C44,"")</f>
        <v/>
      </c>
      <c r="D544" s="82">
        <f>IF('2B'!B44&lt;&gt;"",'2B'!D44,"")</f>
        <v/>
      </c>
      <c r="E544" s="82">
        <f>IF('2B'!B44&lt;&gt;"",'2B'!E44,"")</f>
        <v/>
      </c>
      <c r="F544" s="82">
        <f>IF('2B'!B44&lt;&gt;"",'2B'!F44,"")</f>
        <v/>
      </c>
      <c r="G544" s="82">
        <f>IF('2B'!B44&lt;&gt;"",'2B'!G44,"")</f>
        <v/>
      </c>
      <c r="H544" s="92">
        <f>IF('2B'!B44&lt;&gt;"",'2B'!H44,"")</f>
        <v/>
      </c>
      <c r="I544" s="92">
        <f>IF('2B'!B44&lt;&gt;"",'2B'!I44,"")</f>
        <v/>
      </c>
      <c r="J544" s="82">
        <f>IF('2B'!B44&lt;&gt;"",'2B'!J44,"")</f>
        <v/>
      </c>
    </row>
    <row r="545" ht="15.75" customHeight="1" s="52">
      <c r="A545" s="97">
        <f>IF('2B'!B45&lt;&gt;"","2B","")</f>
        <v/>
      </c>
      <c r="B545" s="78">
        <f>IF('2B'!B45&lt;&gt;"",'2B'!B45,"")</f>
        <v/>
      </c>
      <c r="C545" s="78">
        <f>IF('2B'!B45&lt;&gt;"",'2B'!C45,"")</f>
        <v/>
      </c>
      <c r="D545" s="78">
        <f>IF('2B'!B45&lt;&gt;"",'2B'!D45,"")</f>
        <v/>
      </c>
      <c r="E545" s="78">
        <f>IF('2B'!B45&lt;&gt;"",'2B'!E45,"")</f>
        <v/>
      </c>
      <c r="F545" s="78">
        <f>IF('2B'!B45&lt;&gt;"",'2B'!F45,"")</f>
        <v/>
      </c>
      <c r="G545" s="78">
        <f>IF('2B'!B45&lt;&gt;"",'2B'!G45,"")</f>
        <v/>
      </c>
      <c r="H545" s="97">
        <f>IF('2B'!B45&lt;&gt;"",'2B'!H45,"")</f>
        <v/>
      </c>
      <c r="I545" s="97">
        <f>IF('2B'!B45&lt;&gt;"",'2B'!I45,"")</f>
        <v/>
      </c>
      <c r="J545" s="78">
        <f>IF('2B'!B45&lt;&gt;"",'2B'!J45,"")</f>
        <v/>
      </c>
    </row>
    <row r="546" ht="15.75" customHeight="1" s="52">
      <c r="A546" s="92">
        <f>IF('2B'!B46&lt;&gt;"","2B","")</f>
        <v/>
      </c>
      <c r="B546" s="82">
        <f>IF('2B'!B46&lt;&gt;"",'2B'!B46,"")</f>
        <v/>
      </c>
      <c r="C546" s="82">
        <f>IF('2B'!B46&lt;&gt;"",'2B'!C46,"")</f>
        <v/>
      </c>
      <c r="D546" s="82">
        <f>IF('2B'!B46&lt;&gt;"",'2B'!D46,"")</f>
        <v/>
      </c>
      <c r="E546" s="82">
        <f>IF('2B'!B46&lt;&gt;"",'2B'!E46,"")</f>
        <v/>
      </c>
      <c r="F546" s="82">
        <f>IF('2B'!B46&lt;&gt;"",'2B'!F46,"")</f>
        <v/>
      </c>
      <c r="G546" s="82">
        <f>IF('2B'!B46&lt;&gt;"",'2B'!G46,"")</f>
        <v/>
      </c>
      <c r="H546" s="92">
        <f>IF('2B'!B46&lt;&gt;"",'2B'!H46,"")</f>
        <v/>
      </c>
      <c r="I546" s="92">
        <f>IF('2B'!B46&lt;&gt;"",'2B'!I46,"")</f>
        <v/>
      </c>
      <c r="J546" s="82">
        <f>IF('2B'!B46&lt;&gt;"",'2B'!J46,"")</f>
        <v/>
      </c>
    </row>
    <row r="547" ht="15.75" customHeight="1" s="52">
      <c r="A547" s="97">
        <f>IF('2B'!B47&lt;&gt;"","2B","")</f>
        <v/>
      </c>
      <c r="B547" s="78">
        <f>IF('2B'!B47&lt;&gt;"",'2B'!B47,"")</f>
        <v/>
      </c>
      <c r="C547" s="78">
        <f>IF('2B'!B47&lt;&gt;"",'2B'!C47,"")</f>
        <v/>
      </c>
      <c r="D547" s="78">
        <f>IF('2B'!B47&lt;&gt;"",'2B'!D47,"")</f>
        <v/>
      </c>
      <c r="E547" s="78">
        <f>IF('2B'!B47&lt;&gt;"",'2B'!E47,"")</f>
        <v/>
      </c>
      <c r="F547" s="78">
        <f>IF('2B'!B47&lt;&gt;"",'2B'!F47,"")</f>
        <v/>
      </c>
      <c r="G547" s="78">
        <f>IF('2B'!B47&lt;&gt;"",'2B'!G47,"")</f>
        <v/>
      </c>
      <c r="H547" s="97">
        <f>IF('2B'!B47&lt;&gt;"",'2B'!H47,"")</f>
        <v/>
      </c>
      <c r="I547" s="97">
        <f>IF('2B'!B47&lt;&gt;"",'2B'!I47,"")</f>
        <v/>
      </c>
      <c r="J547" s="78">
        <f>IF('2B'!B47&lt;&gt;"",'2B'!J47,"")</f>
        <v/>
      </c>
    </row>
    <row r="548" ht="15.75" customHeight="1" s="52">
      <c r="A548" s="92">
        <f>IF('2B'!B48&lt;&gt;"","2B","")</f>
        <v/>
      </c>
      <c r="B548" s="82">
        <f>IF('2B'!B48&lt;&gt;"",'2B'!B48,"")</f>
        <v/>
      </c>
      <c r="C548" s="82">
        <f>IF('2B'!B48&lt;&gt;"",'2B'!C48,"")</f>
        <v/>
      </c>
      <c r="D548" s="82">
        <f>IF('2B'!B48&lt;&gt;"",'2B'!D48,"")</f>
        <v/>
      </c>
      <c r="E548" s="82">
        <f>IF('2B'!B48&lt;&gt;"",'2B'!E48,"")</f>
        <v/>
      </c>
      <c r="F548" s="82">
        <f>IF('2B'!B48&lt;&gt;"",'2B'!F48,"")</f>
        <v/>
      </c>
      <c r="G548" s="82">
        <f>IF('2B'!B48&lt;&gt;"",'2B'!G48,"")</f>
        <v/>
      </c>
      <c r="H548" s="92">
        <f>IF('2B'!B48&lt;&gt;"",'2B'!H48,"")</f>
        <v/>
      </c>
      <c r="I548" s="92">
        <f>IF('2B'!B48&lt;&gt;"",'2B'!I48,"")</f>
        <v/>
      </c>
      <c r="J548" s="82">
        <f>IF('2B'!B48&lt;&gt;"",'2B'!J48,"")</f>
        <v/>
      </c>
    </row>
    <row r="549" ht="15.75" customHeight="1" s="52">
      <c r="A549" s="97">
        <f>IF('2B'!B49&lt;&gt;"","2B","")</f>
        <v/>
      </c>
      <c r="B549" s="78">
        <f>IF('2B'!B49&lt;&gt;"",'2B'!B49,"")</f>
        <v/>
      </c>
      <c r="C549" s="78">
        <f>IF('2B'!B49&lt;&gt;"",'2B'!C49,"")</f>
        <v/>
      </c>
      <c r="D549" s="78">
        <f>IF('2B'!B49&lt;&gt;"",'2B'!D49,"")</f>
        <v/>
      </c>
      <c r="E549" s="78">
        <f>IF('2B'!B49&lt;&gt;"",'2B'!E49,"")</f>
        <v/>
      </c>
      <c r="F549" s="78">
        <f>IF('2B'!B49&lt;&gt;"",'2B'!F49,"")</f>
        <v/>
      </c>
      <c r="G549" s="78">
        <f>IF('2B'!B49&lt;&gt;"",'2B'!G49,"")</f>
        <v/>
      </c>
      <c r="H549" s="97">
        <f>IF('2B'!B49&lt;&gt;"",'2B'!H49,"")</f>
        <v/>
      </c>
      <c r="I549" s="97">
        <f>IF('2B'!B49&lt;&gt;"",'2B'!I49,"")</f>
        <v/>
      </c>
      <c r="J549" s="78">
        <f>IF('2B'!B49&lt;&gt;"",'2B'!J49,"")</f>
        <v/>
      </c>
    </row>
    <row r="550" ht="15.75" customHeight="1" s="52">
      <c r="A550" s="92">
        <f>IF('2B'!B50&lt;&gt;"","2B","")</f>
        <v/>
      </c>
      <c r="B550" s="82">
        <f>IF('2B'!B50&lt;&gt;"",'2B'!B50,"")</f>
        <v/>
      </c>
      <c r="C550" s="82">
        <f>IF('2B'!B50&lt;&gt;"",'2B'!C50,"")</f>
        <v/>
      </c>
      <c r="D550" s="82">
        <f>IF('2B'!B50&lt;&gt;"",'2B'!D50,"")</f>
        <v/>
      </c>
      <c r="E550" s="82">
        <f>IF('2B'!B50&lt;&gt;"",'2B'!E50,"")</f>
        <v/>
      </c>
      <c r="F550" s="82">
        <f>IF('2B'!B50&lt;&gt;"",'2B'!F50,"")</f>
        <v/>
      </c>
      <c r="G550" s="82">
        <f>IF('2B'!B50&lt;&gt;"",'2B'!G50,"")</f>
        <v/>
      </c>
      <c r="H550" s="92">
        <f>IF('2B'!B50&lt;&gt;"",'2B'!H50,"")</f>
        <v/>
      </c>
      <c r="I550" s="92">
        <f>IF('2B'!B50&lt;&gt;"",'2B'!I50,"")</f>
        <v/>
      </c>
      <c r="J550" s="82">
        <f>IF('2B'!B50&lt;&gt;"",'2B'!J50,"")</f>
        <v/>
      </c>
    </row>
    <row r="551" ht="15.75" customHeight="1" s="52">
      <c r="A551" s="97">
        <f>IF('2B'!B51&lt;&gt;"","2B","")</f>
        <v/>
      </c>
      <c r="B551" s="78">
        <f>IF('2B'!B51&lt;&gt;"",'2B'!B51,"")</f>
        <v/>
      </c>
      <c r="C551" s="78">
        <f>IF('2B'!B51&lt;&gt;"",'2B'!C51,"")</f>
        <v/>
      </c>
      <c r="D551" s="78">
        <f>IF('2B'!B51&lt;&gt;"",'2B'!D51,"")</f>
        <v/>
      </c>
      <c r="E551" s="78">
        <f>IF('2B'!B51&lt;&gt;"",'2B'!E51,"")</f>
        <v/>
      </c>
      <c r="F551" s="78">
        <f>IF('2B'!B51&lt;&gt;"",'2B'!F51,"")</f>
        <v/>
      </c>
      <c r="G551" s="78">
        <f>IF('2B'!B51&lt;&gt;"",'2B'!G51,"")</f>
        <v/>
      </c>
      <c r="H551" s="97">
        <f>IF('2B'!B51&lt;&gt;"",'2B'!H51,"")</f>
        <v/>
      </c>
      <c r="I551" s="97">
        <f>IF('2B'!B51&lt;&gt;"",'2B'!I51,"")</f>
        <v/>
      </c>
      <c r="J551" s="78">
        <f>IF('2B'!B51&lt;&gt;"",'2B'!J51,"")</f>
        <v/>
      </c>
    </row>
    <row r="552" ht="15.75" customHeight="1" s="52">
      <c r="A552" s="92">
        <f>IF('2B'!B52&lt;&gt;"","2B","")</f>
        <v/>
      </c>
      <c r="B552" s="82">
        <f>IF('2B'!B52&lt;&gt;"",'2B'!B52,"")</f>
        <v/>
      </c>
      <c r="C552" s="82">
        <f>IF('2B'!B52&lt;&gt;"",'2B'!C52,"")</f>
        <v/>
      </c>
      <c r="D552" s="82">
        <f>IF('2B'!B52&lt;&gt;"",'2B'!D52,"")</f>
        <v/>
      </c>
      <c r="E552" s="82">
        <f>IF('2B'!B52&lt;&gt;"",'2B'!E52,"")</f>
        <v/>
      </c>
      <c r="F552" s="82">
        <f>IF('2B'!B52&lt;&gt;"",'2B'!F52,"")</f>
        <v/>
      </c>
      <c r="G552" s="82">
        <f>IF('2B'!B52&lt;&gt;"",'2B'!G52,"")</f>
        <v/>
      </c>
      <c r="H552" s="92">
        <f>IF('2B'!B52&lt;&gt;"",'2B'!H52,"")</f>
        <v/>
      </c>
      <c r="I552" s="92">
        <f>IF('2B'!B52&lt;&gt;"",'2B'!I52,"")</f>
        <v/>
      </c>
      <c r="J552" s="82">
        <f>IF('2B'!B52&lt;&gt;"",'2B'!J52,"")</f>
        <v/>
      </c>
    </row>
    <row r="553" ht="15.75" customHeight="1" s="52">
      <c r="A553" s="97">
        <f>IF('2B'!B53&lt;&gt;"","2B","")</f>
        <v/>
      </c>
      <c r="B553" s="78">
        <f>IF('2B'!B53&lt;&gt;"",'2B'!B53,"")</f>
        <v/>
      </c>
      <c r="C553" s="78">
        <f>IF('2B'!B53&lt;&gt;"",'2B'!C53,"")</f>
        <v/>
      </c>
      <c r="D553" s="78">
        <f>IF('2B'!B53&lt;&gt;"",'2B'!D53,"")</f>
        <v/>
      </c>
      <c r="E553" s="78">
        <f>IF('2B'!B53&lt;&gt;"",'2B'!E53,"")</f>
        <v/>
      </c>
      <c r="F553" s="78">
        <f>IF('2B'!B53&lt;&gt;"",'2B'!F53,"")</f>
        <v/>
      </c>
      <c r="G553" s="78">
        <f>IF('2B'!B53&lt;&gt;"",'2B'!G53,"")</f>
        <v/>
      </c>
      <c r="H553" s="97">
        <f>IF('2B'!B53&lt;&gt;"",'2B'!H53,"")</f>
        <v/>
      </c>
      <c r="I553" s="97">
        <f>IF('2B'!B53&lt;&gt;"",'2B'!I53,"")</f>
        <v/>
      </c>
      <c r="J553" s="78">
        <f>IF('2B'!B53&lt;&gt;"",'2B'!J53,"")</f>
        <v/>
      </c>
    </row>
    <row r="554" ht="15.75" customHeight="1" s="52">
      <c r="A554" s="92">
        <f>IF('2B'!B54&lt;&gt;"","2B","")</f>
        <v/>
      </c>
      <c r="B554" s="82">
        <f>IF('2B'!B54&lt;&gt;"",'2B'!B54,"")</f>
        <v/>
      </c>
      <c r="C554" s="82">
        <f>IF('2B'!B54&lt;&gt;"",'2B'!C54,"")</f>
        <v/>
      </c>
      <c r="D554" s="82">
        <f>IF('2B'!B54&lt;&gt;"",'2B'!D54,"")</f>
        <v/>
      </c>
      <c r="E554" s="82">
        <f>IF('2B'!B54&lt;&gt;"",'2B'!E54,"")</f>
        <v/>
      </c>
      <c r="F554" s="82">
        <f>IF('2B'!B54&lt;&gt;"",'2B'!F54,"")</f>
        <v/>
      </c>
      <c r="G554" s="82">
        <f>IF('2B'!B54&lt;&gt;"",'2B'!G54,"")</f>
        <v/>
      </c>
      <c r="H554" s="92">
        <f>IF('2B'!B54&lt;&gt;"",'2B'!H54,"")</f>
        <v/>
      </c>
      <c r="I554" s="92">
        <f>IF('2B'!B54&lt;&gt;"",'2B'!I54,"")</f>
        <v/>
      </c>
      <c r="J554" s="82">
        <f>IF('2B'!B54&lt;&gt;"",'2B'!J54,"")</f>
        <v/>
      </c>
    </row>
    <row r="555" ht="15.75" customHeight="1" s="52">
      <c r="A555" s="97">
        <f>IF('2C'!B5&lt;&gt;"","2C","")</f>
        <v/>
      </c>
      <c r="B555" s="78">
        <f>IF('2C'!B5&lt;&gt;"",'2C'!B5,"")</f>
        <v/>
      </c>
      <c r="C555" s="78">
        <f>IF('2C'!B5&lt;&gt;"",'2C'!C5,"")</f>
        <v/>
      </c>
      <c r="D555" s="78">
        <f>IF('2C'!B5&lt;&gt;"",'2C'!D5,"")</f>
        <v/>
      </c>
      <c r="E555" s="78">
        <f>IF('2C'!B5&lt;&gt;"",'2C'!E5,"")</f>
        <v/>
      </c>
      <c r="F555" s="78">
        <f>IF('2C'!B5&lt;&gt;"",'2C'!F5,"")</f>
        <v/>
      </c>
      <c r="G555" s="78">
        <f>IF('2C'!B5&lt;&gt;"",'2C'!G5,"")</f>
        <v/>
      </c>
      <c r="H555" s="97">
        <f>IF('2C'!B5&lt;&gt;"",'2C'!H5,"")</f>
        <v/>
      </c>
      <c r="I555" s="97">
        <f>IF('2C'!B5&lt;&gt;"",'2C'!I5,"")</f>
        <v/>
      </c>
      <c r="J555" s="78">
        <f>IF('2C'!B5&lt;&gt;"",'2C'!J5,"")</f>
        <v/>
      </c>
    </row>
    <row r="556" ht="15.75" customHeight="1" s="52">
      <c r="A556" s="92">
        <f>IF('2C'!B6&lt;&gt;"","2C","")</f>
        <v/>
      </c>
      <c r="B556" s="82">
        <f>IF('2C'!B6&lt;&gt;"",'2C'!B6,"")</f>
        <v/>
      </c>
      <c r="C556" s="82">
        <f>IF('2C'!B6&lt;&gt;"",'2C'!C6,"")</f>
        <v/>
      </c>
      <c r="D556" s="82">
        <f>IF('2C'!B6&lt;&gt;"",'2C'!D6,"")</f>
        <v/>
      </c>
      <c r="E556" s="82">
        <f>IF('2C'!B6&lt;&gt;"",'2C'!E6,"")</f>
        <v/>
      </c>
      <c r="F556" s="82">
        <f>IF('2C'!B6&lt;&gt;"",'2C'!F6,"")</f>
        <v/>
      </c>
      <c r="G556" s="82">
        <f>IF('2C'!B6&lt;&gt;"",'2C'!G6,"")</f>
        <v/>
      </c>
      <c r="H556" s="92">
        <f>IF('2C'!B6&lt;&gt;"",'2C'!H6,"")</f>
        <v/>
      </c>
      <c r="I556" s="92">
        <f>IF('2C'!B6&lt;&gt;"",'2C'!I6,"")</f>
        <v/>
      </c>
      <c r="J556" s="82">
        <f>IF('2C'!B6&lt;&gt;"",'2C'!J6,"")</f>
        <v/>
      </c>
    </row>
    <row r="557" ht="15.75" customHeight="1" s="52">
      <c r="A557" s="97">
        <f>IF('2C'!B7&lt;&gt;"","2C","")</f>
        <v/>
      </c>
      <c r="B557" s="78">
        <f>IF('2C'!B7&lt;&gt;"",'2C'!B7,"")</f>
        <v/>
      </c>
      <c r="C557" s="78">
        <f>IF('2C'!B7&lt;&gt;"",'2C'!C7,"")</f>
        <v/>
      </c>
      <c r="D557" s="78">
        <f>IF('2C'!B7&lt;&gt;"",'2C'!D7,"")</f>
        <v/>
      </c>
      <c r="E557" s="78">
        <f>IF('2C'!B7&lt;&gt;"",'2C'!E7,"")</f>
        <v/>
      </c>
      <c r="F557" s="78">
        <f>IF('2C'!B7&lt;&gt;"",'2C'!F7,"")</f>
        <v/>
      </c>
      <c r="G557" s="78">
        <f>IF('2C'!B7&lt;&gt;"",'2C'!G7,"")</f>
        <v/>
      </c>
      <c r="H557" s="97">
        <f>IF('2C'!B7&lt;&gt;"",'2C'!H7,"")</f>
        <v/>
      </c>
      <c r="I557" s="97">
        <f>IF('2C'!B7&lt;&gt;"",'2C'!I7,"")</f>
        <v/>
      </c>
      <c r="J557" s="78">
        <f>IF('2C'!B7&lt;&gt;"",'2C'!J7,"")</f>
        <v/>
      </c>
    </row>
    <row r="558" ht="15.75" customHeight="1" s="52">
      <c r="A558" s="92">
        <f>IF('2C'!B8&lt;&gt;"","2C","")</f>
        <v/>
      </c>
      <c r="B558" s="82">
        <f>IF('2C'!B8&lt;&gt;"",'2C'!B8,"")</f>
        <v/>
      </c>
      <c r="C558" s="82">
        <f>IF('2C'!B8&lt;&gt;"",'2C'!C8,"")</f>
        <v/>
      </c>
      <c r="D558" s="82">
        <f>IF('2C'!B8&lt;&gt;"",'2C'!D8,"")</f>
        <v/>
      </c>
      <c r="E558" s="82">
        <f>IF('2C'!B8&lt;&gt;"",'2C'!E8,"")</f>
        <v/>
      </c>
      <c r="F558" s="82">
        <f>IF('2C'!B8&lt;&gt;"",'2C'!F8,"")</f>
        <v/>
      </c>
      <c r="G558" s="82">
        <f>IF('2C'!B8&lt;&gt;"",'2C'!G8,"")</f>
        <v/>
      </c>
      <c r="H558" s="92">
        <f>IF('2C'!B8&lt;&gt;"",'2C'!H8,"")</f>
        <v/>
      </c>
      <c r="I558" s="92">
        <f>IF('2C'!B8&lt;&gt;"",'2C'!I8,"")</f>
        <v/>
      </c>
      <c r="J558" s="82">
        <f>IF('2C'!B8&lt;&gt;"",'2C'!J8,"")</f>
        <v/>
      </c>
    </row>
    <row r="559" ht="15.75" customHeight="1" s="52">
      <c r="A559" s="97">
        <f>IF('2C'!B9&lt;&gt;"","2C","")</f>
        <v/>
      </c>
      <c r="B559" s="78">
        <f>IF('2C'!B9&lt;&gt;"",'2C'!B9,"")</f>
        <v/>
      </c>
      <c r="C559" s="78">
        <f>IF('2C'!B9&lt;&gt;"",'2C'!C9,"")</f>
        <v/>
      </c>
      <c r="D559" s="78">
        <f>IF('2C'!B9&lt;&gt;"",'2C'!D9,"")</f>
        <v/>
      </c>
      <c r="E559" s="78">
        <f>IF('2C'!B9&lt;&gt;"",'2C'!E9,"")</f>
        <v/>
      </c>
      <c r="F559" s="78">
        <f>IF('2C'!B9&lt;&gt;"",'2C'!F9,"")</f>
        <v/>
      </c>
      <c r="G559" s="78">
        <f>IF('2C'!B9&lt;&gt;"",'2C'!G9,"")</f>
        <v/>
      </c>
      <c r="H559" s="97">
        <f>IF('2C'!B9&lt;&gt;"",'2C'!H9,"")</f>
        <v/>
      </c>
      <c r="I559" s="97">
        <f>IF('2C'!B9&lt;&gt;"",'2C'!I9,"")</f>
        <v/>
      </c>
      <c r="J559" s="78">
        <f>IF('2C'!B9&lt;&gt;"",'2C'!J9,"")</f>
        <v/>
      </c>
    </row>
    <row r="560" ht="15.75" customHeight="1" s="52">
      <c r="A560" s="92">
        <f>IF('2C'!B10&lt;&gt;"","2C","")</f>
        <v/>
      </c>
      <c r="B560" s="82">
        <f>IF('2C'!B10&lt;&gt;"",'2C'!B10,"")</f>
        <v/>
      </c>
      <c r="C560" s="82">
        <f>IF('2C'!B10&lt;&gt;"",'2C'!C10,"")</f>
        <v/>
      </c>
      <c r="D560" s="82">
        <f>IF('2C'!B10&lt;&gt;"",'2C'!D10,"")</f>
        <v/>
      </c>
      <c r="E560" s="82">
        <f>IF('2C'!B10&lt;&gt;"",'2C'!E10,"")</f>
        <v/>
      </c>
      <c r="F560" s="82">
        <f>IF('2C'!B10&lt;&gt;"",'2C'!F10,"")</f>
        <v/>
      </c>
      <c r="G560" s="82">
        <f>IF('2C'!B10&lt;&gt;"",'2C'!G10,"")</f>
        <v/>
      </c>
      <c r="H560" s="92">
        <f>IF('2C'!B10&lt;&gt;"",'2C'!H10,"")</f>
        <v/>
      </c>
      <c r="I560" s="92">
        <f>IF('2C'!B10&lt;&gt;"",'2C'!I10,"")</f>
        <v/>
      </c>
      <c r="J560" s="82">
        <f>IF('2C'!B10&lt;&gt;"",'2C'!J10,"")</f>
        <v/>
      </c>
    </row>
    <row r="561" ht="15.75" customHeight="1" s="52">
      <c r="A561" s="97">
        <f>IF('2C'!B11&lt;&gt;"","2C","")</f>
        <v/>
      </c>
      <c r="B561" s="78">
        <f>IF('2C'!B11&lt;&gt;"",'2C'!B11,"")</f>
        <v/>
      </c>
      <c r="C561" s="78">
        <f>IF('2C'!B11&lt;&gt;"",'2C'!C11,"")</f>
        <v/>
      </c>
      <c r="D561" s="78">
        <f>IF('2C'!B11&lt;&gt;"",'2C'!D11,"")</f>
        <v/>
      </c>
      <c r="E561" s="78">
        <f>IF('2C'!B11&lt;&gt;"",'2C'!E11,"")</f>
        <v/>
      </c>
      <c r="F561" s="78">
        <f>IF('2C'!B11&lt;&gt;"",'2C'!F11,"")</f>
        <v/>
      </c>
      <c r="G561" s="78">
        <f>IF('2C'!B11&lt;&gt;"",'2C'!G11,"")</f>
        <v/>
      </c>
      <c r="H561" s="97">
        <f>IF('2C'!B11&lt;&gt;"",'2C'!H11,"")</f>
        <v/>
      </c>
      <c r="I561" s="97">
        <f>IF('2C'!B11&lt;&gt;"",'2C'!I11,"")</f>
        <v/>
      </c>
      <c r="J561" s="78">
        <f>IF('2C'!B11&lt;&gt;"",'2C'!J11,"")</f>
        <v/>
      </c>
    </row>
    <row r="562" ht="15.75" customHeight="1" s="52">
      <c r="A562" s="92">
        <f>IF('2C'!B12&lt;&gt;"","2C","")</f>
        <v/>
      </c>
      <c r="B562" s="82">
        <f>IF('2C'!B12&lt;&gt;"",'2C'!B12,"")</f>
        <v/>
      </c>
      <c r="C562" s="82">
        <f>IF('2C'!B12&lt;&gt;"",'2C'!C12,"")</f>
        <v/>
      </c>
      <c r="D562" s="82">
        <f>IF('2C'!B12&lt;&gt;"",'2C'!D12,"")</f>
        <v/>
      </c>
      <c r="E562" s="82">
        <f>IF('2C'!B12&lt;&gt;"",'2C'!E12,"")</f>
        <v/>
      </c>
      <c r="F562" s="82">
        <f>IF('2C'!B12&lt;&gt;"",'2C'!F12,"")</f>
        <v/>
      </c>
      <c r="G562" s="82">
        <f>IF('2C'!B12&lt;&gt;"",'2C'!G12,"")</f>
        <v/>
      </c>
      <c r="H562" s="92">
        <f>IF('2C'!B12&lt;&gt;"",'2C'!H12,"")</f>
        <v/>
      </c>
      <c r="I562" s="92">
        <f>IF('2C'!B12&lt;&gt;"",'2C'!I12,"")</f>
        <v/>
      </c>
      <c r="J562" s="82">
        <f>IF('2C'!B12&lt;&gt;"",'2C'!J12,"")</f>
        <v/>
      </c>
    </row>
    <row r="563" ht="15.75" customHeight="1" s="52">
      <c r="A563" s="97">
        <f>IF('2C'!B13&lt;&gt;"","2C","")</f>
        <v/>
      </c>
      <c r="B563" s="78">
        <f>IF('2C'!B13&lt;&gt;"",'2C'!B13,"")</f>
        <v/>
      </c>
      <c r="C563" s="78">
        <f>IF('2C'!B13&lt;&gt;"",'2C'!C13,"")</f>
        <v/>
      </c>
      <c r="D563" s="78">
        <f>IF('2C'!B13&lt;&gt;"",'2C'!D13,"")</f>
        <v/>
      </c>
      <c r="E563" s="78">
        <f>IF('2C'!B13&lt;&gt;"",'2C'!E13,"")</f>
        <v/>
      </c>
      <c r="F563" s="78">
        <f>IF('2C'!B13&lt;&gt;"",'2C'!F13,"")</f>
        <v/>
      </c>
      <c r="G563" s="78">
        <f>IF('2C'!B13&lt;&gt;"",'2C'!G13,"")</f>
        <v/>
      </c>
      <c r="H563" s="97">
        <f>IF('2C'!B13&lt;&gt;"",'2C'!H13,"")</f>
        <v/>
      </c>
      <c r="I563" s="97">
        <f>IF('2C'!B13&lt;&gt;"",'2C'!I13,"")</f>
        <v/>
      </c>
      <c r="J563" s="78">
        <f>IF('2C'!B13&lt;&gt;"",'2C'!J13,"")</f>
        <v/>
      </c>
    </row>
    <row r="564" ht="15.75" customHeight="1" s="52">
      <c r="A564" s="92">
        <f>IF('2C'!B14&lt;&gt;"","2C","")</f>
        <v/>
      </c>
      <c r="B564" s="82">
        <f>IF('2C'!B14&lt;&gt;"",'2C'!B14,"")</f>
        <v/>
      </c>
      <c r="C564" s="82">
        <f>IF('2C'!B14&lt;&gt;"",'2C'!C14,"")</f>
        <v/>
      </c>
      <c r="D564" s="82">
        <f>IF('2C'!B14&lt;&gt;"",'2C'!D14,"")</f>
        <v/>
      </c>
      <c r="E564" s="82">
        <f>IF('2C'!B14&lt;&gt;"",'2C'!E14,"")</f>
        <v/>
      </c>
      <c r="F564" s="82">
        <f>IF('2C'!B14&lt;&gt;"",'2C'!F14,"")</f>
        <v/>
      </c>
      <c r="G564" s="82">
        <f>IF('2C'!B14&lt;&gt;"",'2C'!G14,"")</f>
        <v/>
      </c>
      <c r="H564" s="92">
        <f>IF('2C'!B14&lt;&gt;"",'2C'!H14,"")</f>
        <v/>
      </c>
      <c r="I564" s="92">
        <f>IF('2C'!B14&lt;&gt;"",'2C'!I14,"")</f>
        <v/>
      </c>
      <c r="J564" s="82">
        <f>IF('2C'!B14&lt;&gt;"",'2C'!J14,"")</f>
        <v/>
      </c>
    </row>
    <row r="565" ht="15.75" customHeight="1" s="52">
      <c r="A565" s="97">
        <f>IF('2C'!B15&lt;&gt;"","2C","")</f>
        <v/>
      </c>
      <c r="B565" s="78">
        <f>IF('2C'!B15&lt;&gt;"",'2C'!B15,"")</f>
        <v/>
      </c>
      <c r="C565" s="78">
        <f>IF('2C'!B15&lt;&gt;"",'2C'!C15,"")</f>
        <v/>
      </c>
      <c r="D565" s="78">
        <f>IF('2C'!B15&lt;&gt;"",'2C'!D15,"")</f>
        <v/>
      </c>
      <c r="E565" s="78">
        <f>IF('2C'!B15&lt;&gt;"",'2C'!E15,"")</f>
        <v/>
      </c>
      <c r="F565" s="78">
        <f>IF('2C'!B15&lt;&gt;"",'2C'!F15,"")</f>
        <v/>
      </c>
      <c r="G565" s="78">
        <f>IF('2C'!B15&lt;&gt;"",'2C'!G15,"")</f>
        <v/>
      </c>
      <c r="H565" s="97">
        <f>IF('2C'!B15&lt;&gt;"",'2C'!H15,"")</f>
        <v/>
      </c>
      <c r="I565" s="97">
        <f>IF('2C'!B15&lt;&gt;"",'2C'!I15,"")</f>
        <v/>
      </c>
      <c r="J565" s="78">
        <f>IF('2C'!B15&lt;&gt;"",'2C'!J15,"")</f>
        <v/>
      </c>
    </row>
    <row r="566" ht="15.75" customHeight="1" s="52">
      <c r="A566" s="92">
        <f>IF('2C'!B16&lt;&gt;"","2C","")</f>
        <v/>
      </c>
      <c r="B566" s="82">
        <f>IF('2C'!B16&lt;&gt;"",'2C'!B16,"")</f>
        <v/>
      </c>
      <c r="C566" s="82">
        <f>IF('2C'!B16&lt;&gt;"",'2C'!C16,"")</f>
        <v/>
      </c>
      <c r="D566" s="82">
        <f>IF('2C'!B16&lt;&gt;"",'2C'!D16,"")</f>
        <v/>
      </c>
      <c r="E566" s="82">
        <f>IF('2C'!B16&lt;&gt;"",'2C'!E16,"")</f>
        <v/>
      </c>
      <c r="F566" s="82">
        <f>IF('2C'!B16&lt;&gt;"",'2C'!F16,"")</f>
        <v/>
      </c>
      <c r="G566" s="82">
        <f>IF('2C'!B16&lt;&gt;"",'2C'!G16,"")</f>
        <v/>
      </c>
      <c r="H566" s="92">
        <f>IF('2C'!B16&lt;&gt;"",'2C'!H16,"")</f>
        <v/>
      </c>
      <c r="I566" s="92">
        <f>IF('2C'!B16&lt;&gt;"",'2C'!I16,"")</f>
        <v/>
      </c>
      <c r="J566" s="82">
        <f>IF('2C'!B16&lt;&gt;"",'2C'!J16,"")</f>
        <v/>
      </c>
    </row>
    <row r="567" ht="15.75" customHeight="1" s="52">
      <c r="A567" s="97">
        <f>IF('2C'!B17&lt;&gt;"","2C","")</f>
        <v/>
      </c>
      <c r="B567" s="78">
        <f>IF('2C'!B17&lt;&gt;"",'2C'!B17,"")</f>
        <v/>
      </c>
      <c r="C567" s="78">
        <f>IF('2C'!B17&lt;&gt;"",'2C'!C17,"")</f>
        <v/>
      </c>
      <c r="D567" s="78">
        <f>IF('2C'!B17&lt;&gt;"",'2C'!D17,"")</f>
        <v/>
      </c>
      <c r="E567" s="78">
        <f>IF('2C'!B17&lt;&gt;"",'2C'!E17,"")</f>
        <v/>
      </c>
      <c r="F567" s="78">
        <f>IF('2C'!B17&lt;&gt;"",'2C'!F17,"")</f>
        <v/>
      </c>
      <c r="G567" s="78">
        <f>IF('2C'!B17&lt;&gt;"",'2C'!G17,"")</f>
        <v/>
      </c>
      <c r="H567" s="97">
        <f>IF('2C'!B17&lt;&gt;"",'2C'!H17,"")</f>
        <v/>
      </c>
      <c r="I567" s="97">
        <f>IF('2C'!B17&lt;&gt;"",'2C'!I17,"")</f>
        <v/>
      </c>
      <c r="J567" s="78">
        <f>IF('2C'!B17&lt;&gt;"",'2C'!J17,"")</f>
        <v/>
      </c>
    </row>
    <row r="568" ht="15.75" customHeight="1" s="52">
      <c r="A568" s="92">
        <f>IF('2C'!B18&lt;&gt;"","2C","")</f>
        <v/>
      </c>
      <c r="B568" s="82">
        <f>IF('2C'!B18&lt;&gt;"",'2C'!B18,"")</f>
        <v/>
      </c>
      <c r="C568" s="82">
        <f>IF('2C'!B18&lt;&gt;"",'2C'!C18,"")</f>
        <v/>
      </c>
      <c r="D568" s="82">
        <f>IF('2C'!B18&lt;&gt;"",'2C'!D18,"")</f>
        <v/>
      </c>
      <c r="E568" s="82">
        <f>IF('2C'!B18&lt;&gt;"",'2C'!E18,"")</f>
        <v/>
      </c>
      <c r="F568" s="82">
        <f>IF('2C'!B18&lt;&gt;"",'2C'!F18,"")</f>
        <v/>
      </c>
      <c r="G568" s="82">
        <f>IF('2C'!B18&lt;&gt;"",'2C'!G18,"")</f>
        <v/>
      </c>
      <c r="H568" s="92">
        <f>IF('2C'!B18&lt;&gt;"",'2C'!H18,"")</f>
        <v/>
      </c>
      <c r="I568" s="92">
        <f>IF('2C'!B18&lt;&gt;"",'2C'!I18,"")</f>
        <v/>
      </c>
      <c r="J568" s="82">
        <f>IF('2C'!B18&lt;&gt;"",'2C'!J18,"")</f>
        <v/>
      </c>
    </row>
    <row r="569" ht="15.75" customHeight="1" s="52">
      <c r="A569" s="97">
        <f>IF('2C'!B19&lt;&gt;"","2C","")</f>
        <v/>
      </c>
      <c r="B569" s="78">
        <f>IF('2C'!B19&lt;&gt;"",'2C'!B19,"")</f>
        <v/>
      </c>
      <c r="C569" s="78">
        <f>IF('2C'!B19&lt;&gt;"",'2C'!C19,"")</f>
        <v/>
      </c>
      <c r="D569" s="78">
        <f>IF('2C'!B19&lt;&gt;"",'2C'!D19,"")</f>
        <v/>
      </c>
      <c r="E569" s="78">
        <f>IF('2C'!B19&lt;&gt;"",'2C'!E19,"")</f>
        <v/>
      </c>
      <c r="F569" s="78">
        <f>IF('2C'!B19&lt;&gt;"",'2C'!F19,"")</f>
        <v/>
      </c>
      <c r="G569" s="78">
        <f>IF('2C'!B19&lt;&gt;"",'2C'!G19,"")</f>
        <v/>
      </c>
      <c r="H569" s="97">
        <f>IF('2C'!B19&lt;&gt;"",'2C'!H19,"")</f>
        <v/>
      </c>
      <c r="I569" s="97">
        <f>IF('2C'!B19&lt;&gt;"",'2C'!I19,"")</f>
        <v/>
      </c>
      <c r="J569" s="78">
        <f>IF('2C'!B19&lt;&gt;"",'2C'!J19,"")</f>
        <v/>
      </c>
    </row>
    <row r="570" ht="15.75" customHeight="1" s="52">
      <c r="A570" s="92">
        <f>IF('2C'!B20&lt;&gt;"","2C","")</f>
        <v/>
      </c>
      <c r="B570" s="82">
        <f>IF('2C'!B20&lt;&gt;"",'2C'!B20,"")</f>
        <v/>
      </c>
      <c r="C570" s="82">
        <f>IF('2C'!B20&lt;&gt;"",'2C'!C20,"")</f>
        <v/>
      </c>
      <c r="D570" s="82">
        <f>IF('2C'!B20&lt;&gt;"",'2C'!D20,"")</f>
        <v/>
      </c>
      <c r="E570" s="82">
        <f>IF('2C'!B20&lt;&gt;"",'2C'!E20,"")</f>
        <v/>
      </c>
      <c r="F570" s="82">
        <f>IF('2C'!B20&lt;&gt;"",'2C'!F20,"")</f>
        <v/>
      </c>
      <c r="G570" s="82">
        <f>IF('2C'!B20&lt;&gt;"",'2C'!G20,"")</f>
        <v/>
      </c>
      <c r="H570" s="92">
        <f>IF('2C'!B20&lt;&gt;"",'2C'!H20,"")</f>
        <v/>
      </c>
      <c r="I570" s="92">
        <f>IF('2C'!B20&lt;&gt;"",'2C'!I20,"")</f>
        <v/>
      </c>
      <c r="J570" s="82">
        <f>IF('2C'!B20&lt;&gt;"",'2C'!J20,"")</f>
        <v/>
      </c>
    </row>
    <row r="571" ht="15.75" customHeight="1" s="52">
      <c r="A571" s="97">
        <f>IF('2C'!B21&lt;&gt;"","2C","")</f>
        <v/>
      </c>
      <c r="B571" s="78">
        <f>IF('2C'!B21&lt;&gt;"",'2C'!B21,"")</f>
        <v/>
      </c>
      <c r="C571" s="78">
        <f>IF('2C'!B21&lt;&gt;"",'2C'!C21,"")</f>
        <v/>
      </c>
      <c r="D571" s="78">
        <f>IF('2C'!B21&lt;&gt;"",'2C'!D21,"")</f>
        <v/>
      </c>
      <c r="E571" s="78">
        <f>IF('2C'!B21&lt;&gt;"",'2C'!E21,"")</f>
        <v/>
      </c>
      <c r="F571" s="78">
        <f>IF('2C'!B21&lt;&gt;"",'2C'!F21,"")</f>
        <v/>
      </c>
      <c r="G571" s="78">
        <f>IF('2C'!B21&lt;&gt;"",'2C'!G21,"")</f>
        <v/>
      </c>
      <c r="H571" s="97">
        <f>IF('2C'!B21&lt;&gt;"",'2C'!H21,"")</f>
        <v/>
      </c>
      <c r="I571" s="97">
        <f>IF('2C'!B21&lt;&gt;"",'2C'!I21,"")</f>
        <v/>
      </c>
      <c r="J571" s="78">
        <f>IF('2C'!B21&lt;&gt;"",'2C'!J21,"")</f>
        <v/>
      </c>
    </row>
    <row r="572" ht="15.75" customHeight="1" s="52">
      <c r="A572" s="92">
        <f>IF('2C'!B22&lt;&gt;"","2C","")</f>
        <v/>
      </c>
      <c r="B572" s="82">
        <f>IF('2C'!B22&lt;&gt;"",'2C'!B22,"")</f>
        <v/>
      </c>
      <c r="C572" s="82">
        <f>IF('2C'!B22&lt;&gt;"",'2C'!C22,"")</f>
        <v/>
      </c>
      <c r="D572" s="82">
        <f>IF('2C'!B22&lt;&gt;"",'2C'!D22,"")</f>
        <v/>
      </c>
      <c r="E572" s="82">
        <f>IF('2C'!B22&lt;&gt;"",'2C'!E22,"")</f>
        <v/>
      </c>
      <c r="F572" s="82">
        <f>IF('2C'!B22&lt;&gt;"",'2C'!F22,"")</f>
        <v/>
      </c>
      <c r="G572" s="82">
        <f>IF('2C'!B22&lt;&gt;"",'2C'!G22,"")</f>
        <v/>
      </c>
      <c r="H572" s="92">
        <f>IF('2C'!B22&lt;&gt;"",'2C'!H22,"")</f>
        <v/>
      </c>
      <c r="I572" s="92">
        <f>IF('2C'!B22&lt;&gt;"",'2C'!I22,"")</f>
        <v/>
      </c>
      <c r="J572" s="82">
        <f>IF('2C'!B22&lt;&gt;"",'2C'!J22,"")</f>
        <v/>
      </c>
    </row>
    <row r="573" ht="15.75" customHeight="1" s="52">
      <c r="A573" s="97">
        <f>IF('2C'!B23&lt;&gt;"","2C","")</f>
        <v/>
      </c>
      <c r="B573" s="78">
        <f>IF('2C'!B23&lt;&gt;"",'2C'!B23,"")</f>
        <v/>
      </c>
      <c r="C573" s="78">
        <f>IF('2C'!B23&lt;&gt;"",'2C'!C23,"")</f>
        <v/>
      </c>
      <c r="D573" s="78">
        <f>IF('2C'!B23&lt;&gt;"",'2C'!D23,"")</f>
        <v/>
      </c>
      <c r="E573" s="78">
        <f>IF('2C'!B23&lt;&gt;"",'2C'!E23,"")</f>
        <v/>
      </c>
      <c r="F573" s="78">
        <f>IF('2C'!B23&lt;&gt;"",'2C'!F23,"")</f>
        <v/>
      </c>
      <c r="G573" s="78">
        <f>IF('2C'!B23&lt;&gt;"",'2C'!G23,"")</f>
        <v/>
      </c>
      <c r="H573" s="97">
        <f>IF('2C'!B23&lt;&gt;"",'2C'!H23,"")</f>
        <v/>
      </c>
      <c r="I573" s="97">
        <f>IF('2C'!B23&lt;&gt;"",'2C'!I23,"")</f>
        <v/>
      </c>
      <c r="J573" s="78">
        <f>IF('2C'!B23&lt;&gt;"",'2C'!J23,"")</f>
        <v/>
      </c>
    </row>
    <row r="574" ht="15.75" customHeight="1" s="52">
      <c r="A574" s="92">
        <f>IF('2C'!B24&lt;&gt;"","2C","")</f>
        <v/>
      </c>
      <c r="B574" s="82">
        <f>IF('2C'!B24&lt;&gt;"",'2C'!B24,"")</f>
        <v/>
      </c>
      <c r="C574" s="82">
        <f>IF('2C'!B24&lt;&gt;"",'2C'!C24,"")</f>
        <v/>
      </c>
      <c r="D574" s="82">
        <f>IF('2C'!B24&lt;&gt;"",'2C'!D24,"")</f>
        <v/>
      </c>
      <c r="E574" s="82">
        <f>IF('2C'!B24&lt;&gt;"",'2C'!E24,"")</f>
        <v/>
      </c>
      <c r="F574" s="82">
        <f>IF('2C'!B24&lt;&gt;"",'2C'!F24,"")</f>
        <v/>
      </c>
      <c r="G574" s="82">
        <f>IF('2C'!B24&lt;&gt;"",'2C'!G24,"")</f>
        <v/>
      </c>
      <c r="H574" s="92">
        <f>IF('2C'!B24&lt;&gt;"",'2C'!H24,"")</f>
        <v/>
      </c>
      <c r="I574" s="92">
        <f>IF('2C'!B24&lt;&gt;"",'2C'!I24,"")</f>
        <v/>
      </c>
      <c r="J574" s="82">
        <f>IF('2C'!B24&lt;&gt;"",'2C'!J24,"")</f>
        <v/>
      </c>
    </row>
    <row r="575" ht="15.75" customHeight="1" s="52">
      <c r="A575" s="97">
        <f>IF('2C'!B25&lt;&gt;"","2C","")</f>
        <v/>
      </c>
      <c r="B575" s="78">
        <f>IF('2C'!B25&lt;&gt;"",'2C'!B25,"")</f>
        <v/>
      </c>
      <c r="C575" s="78">
        <f>IF('2C'!B25&lt;&gt;"",'2C'!C25,"")</f>
        <v/>
      </c>
      <c r="D575" s="78">
        <f>IF('2C'!B25&lt;&gt;"",'2C'!D25,"")</f>
        <v/>
      </c>
      <c r="E575" s="78">
        <f>IF('2C'!B25&lt;&gt;"",'2C'!E25,"")</f>
        <v/>
      </c>
      <c r="F575" s="78">
        <f>IF('2C'!B25&lt;&gt;"",'2C'!F25,"")</f>
        <v/>
      </c>
      <c r="G575" s="78">
        <f>IF('2C'!B25&lt;&gt;"",'2C'!G25,"")</f>
        <v/>
      </c>
      <c r="H575" s="97">
        <f>IF('2C'!B25&lt;&gt;"",'2C'!H25,"")</f>
        <v/>
      </c>
      <c r="I575" s="97">
        <f>IF('2C'!B25&lt;&gt;"",'2C'!I25,"")</f>
        <v/>
      </c>
      <c r="J575" s="78">
        <f>IF('2C'!B25&lt;&gt;"",'2C'!J25,"")</f>
        <v/>
      </c>
    </row>
    <row r="576" ht="15.75" customHeight="1" s="52">
      <c r="A576" s="92">
        <f>IF('2C'!B26&lt;&gt;"","2C","")</f>
        <v/>
      </c>
      <c r="B576" s="82">
        <f>IF('2C'!B26&lt;&gt;"",'2C'!B26,"")</f>
        <v/>
      </c>
      <c r="C576" s="82">
        <f>IF('2C'!B26&lt;&gt;"",'2C'!C26,"")</f>
        <v/>
      </c>
      <c r="D576" s="82">
        <f>IF('2C'!B26&lt;&gt;"",'2C'!D26,"")</f>
        <v/>
      </c>
      <c r="E576" s="82">
        <f>IF('2C'!B26&lt;&gt;"",'2C'!E26,"")</f>
        <v/>
      </c>
      <c r="F576" s="82">
        <f>IF('2C'!B26&lt;&gt;"",'2C'!F26,"")</f>
        <v/>
      </c>
      <c r="G576" s="82">
        <f>IF('2C'!B26&lt;&gt;"",'2C'!G26,"")</f>
        <v/>
      </c>
      <c r="H576" s="92">
        <f>IF('2C'!B26&lt;&gt;"",'2C'!H26,"")</f>
        <v/>
      </c>
      <c r="I576" s="92">
        <f>IF('2C'!B26&lt;&gt;"",'2C'!I26,"")</f>
        <v/>
      </c>
      <c r="J576" s="82">
        <f>IF('2C'!B26&lt;&gt;"",'2C'!J26,"")</f>
        <v/>
      </c>
    </row>
    <row r="577" ht="15.75" customHeight="1" s="52">
      <c r="A577" s="97">
        <f>IF('2C'!B27&lt;&gt;"","2C","")</f>
        <v/>
      </c>
      <c r="B577" s="78">
        <f>IF('2C'!B27&lt;&gt;"",'2C'!B27,"")</f>
        <v/>
      </c>
      <c r="C577" s="78">
        <f>IF('2C'!B27&lt;&gt;"",'2C'!C27,"")</f>
        <v/>
      </c>
      <c r="D577" s="78">
        <f>IF('2C'!B27&lt;&gt;"",'2C'!D27,"")</f>
        <v/>
      </c>
      <c r="E577" s="78">
        <f>IF('2C'!B27&lt;&gt;"",'2C'!E27,"")</f>
        <v/>
      </c>
      <c r="F577" s="78">
        <f>IF('2C'!B27&lt;&gt;"",'2C'!F27,"")</f>
        <v/>
      </c>
      <c r="G577" s="78">
        <f>IF('2C'!B27&lt;&gt;"",'2C'!G27,"")</f>
        <v/>
      </c>
      <c r="H577" s="97">
        <f>IF('2C'!B27&lt;&gt;"",'2C'!H27,"")</f>
        <v/>
      </c>
      <c r="I577" s="97">
        <f>IF('2C'!B27&lt;&gt;"",'2C'!I27,"")</f>
        <v/>
      </c>
      <c r="J577" s="78">
        <f>IF('2C'!B27&lt;&gt;"",'2C'!J27,"")</f>
        <v/>
      </c>
    </row>
    <row r="578" ht="15.75" customHeight="1" s="52">
      <c r="A578" s="92">
        <f>IF('2C'!B28&lt;&gt;"","2C","")</f>
        <v/>
      </c>
      <c r="B578" s="82">
        <f>IF('2C'!B28&lt;&gt;"",'2C'!B28,"")</f>
        <v/>
      </c>
      <c r="C578" s="82">
        <f>IF('2C'!B28&lt;&gt;"",'2C'!C28,"")</f>
        <v/>
      </c>
      <c r="D578" s="82">
        <f>IF('2C'!B28&lt;&gt;"",'2C'!D28,"")</f>
        <v/>
      </c>
      <c r="E578" s="82">
        <f>IF('2C'!B28&lt;&gt;"",'2C'!E28,"")</f>
        <v/>
      </c>
      <c r="F578" s="82">
        <f>IF('2C'!B28&lt;&gt;"",'2C'!F28,"")</f>
        <v/>
      </c>
      <c r="G578" s="82">
        <f>IF('2C'!B28&lt;&gt;"",'2C'!G28,"")</f>
        <v/>
      </c>
      <c r="H578" s="92">
        <f>IF('2C'!B28&lt;&gt;"",'2C'!H28,"")</f>
        <v/>
      </c>
      <c r="I578" s="92">
        <f>IF('2C'!B28&lt;&gt;"",'2C'!I28,"")</f>
        <v/>
      </c>
      <c r="J578" s="82">
        <f>IF('2C'!B28&lt;&gt;"",'2C'!J28,"")</f>
        <v/>
      </c>
    </row>
    <row r="579" ht="15.75" customHeight="1" s="52">
      <c r="A579" s="97">
        <f>IF('2C'!B29&lt;&gt;"","2C","")</f>
        <v/>
      </c>
      <c r="B579" s="78">
        <f>IF('2C'!B29&lt;&gt;"",'2C'!B29,"")</f>
        <v/>
      </c>
      <c r="C579" s="78">
        <f>IF('2C'!B29&lt;&gt;"",'2C'!C29,"")</f>
        <v/>
      </c>
      <c r="D579" s="78">
        <f>IF('2C'!B29&lt;&gt;"",'2C'!D29,"")</f>
        <v/>
      </c>
      <c r="E579" s="78">
        <f>IF('2C'!B29&lt;&gt;"",'2C'!E29,"")</f>
        <v/>
      </c>
      <c r="F579" s="78">
        <f>IF('2C'!B29&lt;&gt;"",'2C'!F29,"")</f>
        <v/>
      </c>
      <c r="G579" s="78">
        <f>IF('2C'!B29&lt;&gt;"",'2C'!G29,"")</f>
        <v/>
      </c>
      <c r="H579" s="97">
        <f>IF('2C'!B29&lt;&gt;"",'2C'!H29,"")</f>
        <v/>
      </c>
      <c r="I579" s="97">
        <f>IF('2C'!B29&lt;&gt;"",'2C'!I29,"")</f>
        <v/>
      </c>
      <c r="J579" s="78">
        <f>IF('2C'!B29&lt;&gt;"",'2C'!J29,"")</f>
        <v/>
      </c>
    </row>
    <row r="580" ht="15.75" customHeight="1" s="52">
      <c r="A580" s="92">
        <f>IF('2C'!B30&lt;&gt;"","2C","")</f>
        <v/>
      </c>
      <c r="B580" s="82">
        <f>IF('2C'!B30&lt;&gt;"",'2C'!B30,"")</f>
        <v/>
      </c>
      <c r="C580" s="82">
        <f>IF('2C'!B30&lt;&gt;"",'2C'!C30,"")</f>
        <v/>
      </c>
      <c r="D580" s="82">
        <f>IF('2C'!B30&lt;&gt;"",'2C'!D30,"")</f>
        <v/>
      </c>
      <c r="E580" s="82">
        <f>IF('2C'!B30&lt;&gt;"",'2C'!E30,"")</f>
        <v/>
      </c>
      <c r="F580" s="82">
        <f>IF('2C'!B30&lt;&gt;"",'2C'!F30,"")</f>
        <v/>
      </c>
      <c r="G580" s="82">
        <f>IF('2C'!B30&lt;&gt;"",'2C'!G30,"")</f>
        <v/>
      </c>
      <c r="H580" s="92">
        <f>IF('2C'!B30&lt;&gt;"",'2C'!H30,"")</f>
        <v/>
      </c>
      <c r="I580" s="92">
        <f>IF('2C'!B30&lt;&gt;"",'2C'!I30,"")</f>
        <v/>
      </c>
      <c r="J580" s="82">
        <f>IF('2C'!B30&lt;&gt;"",'2C'!J30,"")</f>
        <v/>
      </c>
    </row>
    <row r="581" ht="15.75" customHeight="1" s="52">
      <c r="A581" s="97">
        <f>IF('2C'!B31&lt;&gt;"","2C","")</f>
        <v/>
      </c>
      <c r="B581" s="78">
        <f>IF('2C'!B31&lt;&gt;"",'2C'!B31,"")</f>
        <v/>
      </c>
      <c r="C581" s="78">
        <f>IF('2C'!B31&lt;&gt;"",'2C'!C31,"")</f>
        <v/>
      </c>
      <c r="D581" s="78">
        <f>IF('2C'!B31&lt;&gt;"",'2C'!D31,"")</f>
        <v/>
      </c>
      <c r="E581" s="78">
        <f>IF('2C'!B31&lt;&gt;"",'2C'!E31,"")</f>
        <v/>
      </c>
      <c r="F581" s="78">
        <f>IF('2C'!B31&lt;&gt;"",'2C'!F31,"")</f>
        <v/>
      </c>
      <c r="G581" s="78">
        <f>IF('2C'!B31&lt;&gt;"",'2C'!G31,"")</f>
        <v/>
      </c>
      <c r="H581" s="97">
        <f>IF('2C'!B31&lt;&gt;"",'2C'!H31,"")</f>
        <v/>
      </c>
      <c r="I581" s="97">
        <f>IF('2C'!B31&lt;&gt;"",'2C'!I31,"")</f>
        <v/>
      </c>
      <c r="J581" s="78">
        <f>IF('2C'!B31&lt;&gt;"",'2C'!J31,"")</f>
        <v/>
      </c>
    </row>
    <row r="582" ht="15.75" customHeight="1" s="52">
      <c r="A582" s="92">
        <f>IF('2C'!B32&lt;&gt;"","2C","")</f>
        <v/>
      </c>
      <c r="B582" s="82">
        <f>IF('2C'!B32&lt;&gt;"",'2C'!B32,"")</f>
        <v/>
      </c>
      <c r="C582" s="82">
        <f>IF('2C'!B32&lt;&gt;"",'2C'!C32,"")</f>
        <v/>
      </c>
      <c r="D582" s="82">
        <f>IF('2C'!B32&lt;&gt;"",'2C'!D32,"")</f>
        <v/>
      </c>
      <c r="E582" s="82">
        <f>IF('2C'!B32&lt;&gt;"",'2C'!E32,"")</f>
        <v/>
      </c>
      <c r="F582" s="82">
        <f>IF('2C'!B32&lt;&gt;"",'2C'!F32,"")</f>
        <v/>
      </c>
      <c r="G582" s="82">
        <f>IF('2C'!B32&lt;&gt;"",'2C'!G32,"")</f>
        <v/>
      </c>
      <c r="H582" s="92">
        <f>IF('2C'!B32&lt;&gt;"",'2C'!H32,"")</f>
        <v/>
      </c>
      <c r="I582" s="92">
        <f>IF('2C'!B32&lt;&gt;"",'2C'!I32,"")</f>
        <v/>
      </c>
      <c r="J582" s="82">
        <f>IF('2C'!B32&lt;&gt;"",'2C'!J32,"")</f>
        <v/>
      </c>
    </row>
    <row r="583" ht="15.75" customHeight="1" s="52">
      <c r="A583" s="97">
        <f>IF('2C'!B33&lt;&gt;"","2C","")</f>
        <v/>
      </c>
      <c r="B583" s="78">
        <f>IF('2C'!B33&lt;&gt;"",'2C'!B33,"")</f>
        <v/>
      </c>
      <c r="C583" s="78">
        <f>IF('2C'!B33&lt;&gt;"",'2C'!C33,"")</f>
        <v/>
      </c>
      <c r="D583" s="78">
        <f>IF('2C'!B33&lt;&gt;"",'2C'!D33,"")</f>
        <v/>
      </c>
      <c r="E583" s="78">
        <f>IF('2C'!B33&lt;&gt;"",'2C'!E33,"")</f>
        <v/>
      </c>
      <c r="F583" s="78">
        <f>IF('2C'!B33&lt;&gt;"",'2C'!F33,"")</f>
        <v/>
      </c>
      <c r="G583" s="78">
        <f>IF('2C'!B33&lt;&gt;"",'2C'!G33,"")</f>
        <v/>
      </c>
      <c r="H583" s="97">
        <f>IF('2C'!B33&lt;&gt;"",'2C'!H33,"")</f>
        <v/>
      </c>
      <c r="I583" s="97">
        <f>IF('2C'!B33&lt;&gt;"",'2C'!I33,"")</f>
        <v/>
      </c>
      <c r="J583" s="78">
        <f>IF('2C'!B33&lt;&gt;"",'2C'!J33,"")</f>
        <v/>
      </c>
    </row>
    <row r="584" ht="15.75" customHeight="1" s="52">
      <c r="A584" s="92">
        <f>IF('2C'!B34&lt;&gt;"","2C","")</f>
        <v/>
      </c>
      <c r="B584" s="82">
        <f>IF('2C'!B34&lt;&gt;"",'2C'!B34,"")</f>
        <v/>
      </c>
      <c r="C584" s="82">
        <f>IF('2C'!B34&lt;&gt;"",'2C'!C34,"")</f>
        <v/>
      </c>
      <c r="D584" s="82">
        <f>IF('2C'!B34&lt;&gt;"",'2C'!D34,"")</f>
        <v/>
      </c>
      <c r="E584" s="82">
        <f>IF('2C'!B34&lt;&gt;"",'2C'!E34,"")</f>
        <v/>
      </c>
      <c r="F584" s="82">
        <f>IF('2C'!B34&lt;&gt;"",'2C'!F34,"")</f>
        <v/>
      </c>
      <c r="G584" s="82">
        <f>IF('2C'!B34&lt;&gt;"",'2C'!G34,"")</f>
        <v/>
      </c>
      <c r="H584" s="92">
        <f>IF('2C'!B34&lt;&gt;"",'2C'!H34,"")</f>
        <v/>
      </c>
      <c r="I584" s="92">
        <f>IF('2C'!B34&lt;&gt;"",'2C'!I34,"")</f>
        <v/>
      </c>
      <c r="J584" s="82">
        <f>IF('2C'!B34&lt;&gt;"",'2C'!J34,"")</f>
        <v/>
      </c>
    </row>
    <row r="585" ht="15.75" customHeight="1" s="52">
      <c r="A585" s="97">
        <f>IF('2C'!B35&lt;&gt;"","2C","")</f>
        <v/>
      </c>
      <c r="B585" s="78">
        <f>IF('2C'!B35&lt;&gt;"",'2C'!B35,"")</f>
        <v/>
      </c>
      <c r="C585" s="78">
        <f>IF('2C'!B35&lt;&gt;"",'2C'!C35,"")</f>
        <v/>
      </c>
      <c r="D585" s="78">
        <f>IF('2C'!B35&lt;&gt;"",'2C'!D35,"")</f>
        <v/>
      </c>
      <c r="E585" s="78">
        <f>IF('2C'!B35&lt;&gt;"",'2C'!E35,"")</f>
        <v/>
      </c>
      <c r="F585" s="78">
        <f>IF('2C'!B35&lt;&gt;"",'2C'!F35,"")</f>
        <v/>
      </c>
      <c r="G585" s="78">
        <f>IF('2C'!B35&lt;&gt;"",'2C'!G35,"")</f>
        <v/>
      </c>
      <c r="H585" s="97">
        <f>IF('2C'!B35&lt;&gt;"",'2C'!H35,"")</f>
        <v/>
      </c>
      <c r="I585" s="97">
        <f>IF('2C'!B35&lt;&gt;"",'2C'!I35,"")</f>
        <v/>
      </c>
      <c r="J585" s="78">
        <f>IF('2C'!B35&lt;&gt;"",'2C'!J35,"")</f>
        <v/>
      </c>
    </row>
    <row r="586" ht="15.75" customHeight="1" s="52">
      <c r="A586" s="92">
        <f>IF('2C'!B36&lt;&gt;"","2C","")</f>
        <v/>
      </c>
      <c r="B586" s="82">
        <f>IF('2C'!B36&lt;&gt;"",'2C'!B36,"")</f>
        <v/>
      </c>
      <c r="C586" s="82">
        <f>IF('2C'!B36&lt;&gt;"",'2C'!C36,"")</f>
        <v/>
      </c>
      <c r="D586" s="82">
        <f>IF('2C'!B36&lt;&gt;"",'2C'!D36,"")</f>
        <v/>
      </c>
      <c r="E586" s="82">
        <f>IF('2C'!B36&lt;&gt;"",'2C'!E36,"")</f>
        <v/>
      </c>
      <c r="F586" s="82">
        <f>IF('2C'!B36&lt;&gt;"",'2C'!F36,"")</f>
        <v/>
      </c>
      <c r="G586" s="82">
        <f>IF('2C'!B36&lt;&gt;"",'2C'!G36,"")</f>
        <v/>
      </c>
      <c r="H586" s="92">
        <f>IF('2C'!B36&lt;&gt;"",'2C'!H36,"")</f>
        <v/>
      </c>
      <c r="I586" s="92">
        <f>IF('2C'!B36&lt;&gt;"",'2C'!I36,"")</f>
        <v/>
      </c>
      <c r="J586" s="82">
        <f>IF('2C'!B36&lt;&gt;"",'2C'!J36,"")</f>
        <v/>
      </c>
    </row>
    <row r="587" ht="15.75" customHeight="1" s="52">
      <c r="A587" s="97">
        <f>IF('2C'!B37&lt;&gt;"","2C","")</f>
        <v/>
      </c>
      <c r="B587" s="78">
        <f>IF('2C'!B37&lt;&gt;"",'2C'!B37,"")</f>
        <v/>
      </c>
      <c r="C587" s="78">
        <f>IF('2C'!B37&lt;&gt;"",'2C'!C37,"")</f>
        <v/>
      </c>
      <c r="D587" s="78">
        <f>IF('2C'!B37&lt;&gt;"",'2C'!D37,"")</f>
        <v/>
      </c>
      <c r="E587" s="78">
        <f>IF('2C'!B37&lt;&gt;"",'2C'!E37,"")</f>
        <v/>
      </c>
      <c r="F587" s="78">
        <f>IF('2C'!B37&lt;&gt;"",'2C'!F37,"")</f>
        <v/>
      </c>
      <c r="G587" s="78">
        <f>IF('2C'!B37&lt;&gt;"",'2C'!G37,"")</f>
        <v/>
      </c>
      <c r="H587" s="97">
        <f>IF('2C'!B37&lt;&gt;"",'2C'!H37,"")</f>
        <v/>
      </c>
      <c r="I587" s="97">
        <f>IF('2C'!B37&lt;&gt;"",'2C'!I37,"")</f>
        <v/>
      </c>
      <c r="J587" s="78">
        <f>IF('2C'!B37&lt;&gt;"",'2C'!J37,"")</f>
        <v/>
      </c>
    </row>
    <row r="588" ht="15.75" customHeight="1" s="52">
      <c r="A588" s="92">
        <f>IF('2C'!B38&lt;&gt;"","2C","")</f>
        <v/>
      </c>
      <c r="B588" s="82">
        <f>IF('2C'!B38&lt;&gt;"",'2C'!B38,"")</f>
        <v/>
      </c>
      <c r="C588" s="82">
        <f>IF('2C'!B38&lt;&gt;"",'2C'!C38,"")</f>
        <v/>
      </c>
      <c r="D588" s="82">
        <f>IF('2C'!B38&lt;&gt;"",'2C'!D38,"")</f>
        <v/>
      </c>
      <c r="E588" s="82">
        <f>IF('2C'!B38&lt;&gt;"",'2C'!E38,"")</f>
        <v/>
      </c>
      <c r="F588" s="82">
        <f>IF('2C'!B38&lt;&gt;"",'2C'!F38,"")</f>
        <v/>
      </c>
      <c r="G588" s="82">
        <f>IF('2C'!B38&lt;&gt;"",'2C'!G38,"")</f>
        <v/>
      </c>
      <c r="H588" s="92">
        <f>IF('2C'!B38&lt;&gt;"",'2C'!H38,"")</f>
        <v/>
      </c>
      <c r="I588" s="92">
        <f>IF('2C'!B38&lt;&gt;"",'2C'!I38,"")</f>
        <v/>
      </c>
      <c r="J588" s="82">
        <f>IF('2C'!B38&lt;&gt;"",'2C'!J38,"")</f>
        <v/>
      </c>
    </row>
    <row r="589" ht="15.75" customHeight="1" s="52">
      <c r="A589" s="97">
        <f>IF('2C'!B39&lt;&gt;"","2C","")</f>
        <v/>
      </c>
      <c r="B589" s="78">
        <f>IF('2C'!B39&lt;&gt;"",'2C'!B39,"")</f>
        <v/>
      </c>
      <c r="C589" s="78">
        <f>IF('2C'!B39&lt;&gt;"",'2C'!C39,"")</f>
        <v/>
      </c>
      <c r="D589" s="78">
        <f>IF('2C'!B39&lt;&gt;"",'2C'!D39,"")</f>
        <v/>
      </c>
      <c r="E589" s="78">
        <f>IF('2C'!B39&lt;&gt;"",'2C'!E39,"")</f>
        <v/>
      </c>
      <c r="F589" s="78">
        <f>IF('2C'!B39&lt;&gt;"",'2C'!F39,"")</f>
        <v/>
      </c>
      <c r="G589" s="78">
        <f>IF('2C'!B39&lt;&gt;"",'2C'!G39,"")</f>
        <v/>
      </c>
      <c r="H589" s="97">
        <f>IF('2C'!B39&lt;&gt;"",'2C'!H39,"")</f>
        <v/>
      </c>
      <c r="I589" s="97">
        <f>IF('2C'!B39&lt;&gt;"",'2C'!I39,"")</f>
        <v/>
      </c>
      <c r="J589" s="78">
        <f>IF('2C'!B39&lt;&gt;"",'2C'!J39,"")</f>
        <v/>
      </c>
    </row>
    <row r="590" ht="15.75" customHeight="1" s="52">
      <c r="A590" s="92">
        <f>IF('2C'!B40&lt;&gt;"","2C","")</f>
        <v/>
      </c>
      <c r="B590" s="82">
        <f>IF('2C'!B40&lt;&gt;"",'2C'!B40,"")</f>
        <v/>
      </c>
      <c r="C590" s="82">
        <f>IF('2C'!B40&lt;&gt;"",'2C'!C40,"")</f>
        <v/>
      </c>
      <c r="D590" s="82">
        <f>IF('2C'!B40&lt;&gt;"",'2C'!D40,"")</f>
        <v/>
      </c>
      <c r="E590" s="82">
        <f>IF('2C'!B40&lt;&gt;"",'2C'!E40,"")</f>
        <v/>
      </c>
      <c r="F590" s="82">
        <f>IF('2C'!B40&lt;&gt;"",'2C'!F40,"")</f>
        <v/>
      </c>
      <c r="G590" s="82">
        <f>IF('2C'!B40&lt;&gt;"",'2C'!G40,"")</f>
        <v/>
      </c>
      <c r="H590" s="92">
        <f>IF('2C'!B40&lt;&gt;"",'2C'!H40,"")</f>
        <v/>
      </c>
      <c r="I590" s="92">
        <f>IF('2C'!B40&lt;&gt;"",'2C'!I40,"")</f>
        <v/>
      </c>
      <c r="J590" s="82">
        <f>IF('2C'!B40&lt;&gt;"",'2C'!J40,"")</f>
        <v/>
      </c>
    </row>
    <row r="591" ht="15.75" customHeight="1" s="52">
      <c r="A591" s="97">
        <f>IF('2C'!B41&lt;&gt;"","2C","")</f>
        <v/>
      </c>
      <c r="B591" s="78">
        <f>IF('2C'!B41&lt;&gt;"",'2C'!B41,"")</f>
        <v/>
      </c>
      <c r="C591" s="78">
        <f>IF('2C'!B41&lt;&gt;"",'2C'!C41,"")</f>
        <v/>
      </c>
      <c r="D591" s="78">
        <f>IF('2C'!B41&lt;&gt;"",'2C'!D41,"")</f>
        <v/>
      </c>
      <c r="E591" s="78">
        <f>IF('2C'!B41&lt;&gt;"",'2C'!E41,"")</f>
        <v/>
      </c>
      <c r="F591" s="78">
        <f>IF('2C'!B41&lt;&gt;"",'2C'!F41,"")</f>
        <v/>
      </c>
      <c r="G591" s="78">
        <f>IF('2C'!B41&lt;&gt;"",'2C'!G41,"")</f>
        <v/>
      </c>
      <c r="H591" s="97">
        <f>IF('2C'!B41&lt;&gt;"",'2C'!H41,"")</f>
        <v/>
      </c>
      <c r="I591" s="97">
        <f>IF('2C'!B41&lt;&gt;"",'2C'!I41,"")</f>
        <v/>
      </c>
      <c r="J591" s="78">
        <f>IF('2C'!B41&lt;&gt;"",'2C'!J41,"")</f>
        <v/>
      </c>
    </row>
    <row r="592" ht="15.75" customHeight="1" s="52">
      <c r="A592" s="92">
        <f>IF('2C'!B42&lt;&gt;"","2C","")</f>
        <v/>
      </c>
      <c r="B592" s="82">
        <f>IF('2C'!B42&lt;&gt;"",'2C'!B42,"")</f>
        <v/>
      </c>
      <c r="C592" s="82">
        <f>IF('2C'!B42&lt;&gt;"",'2C'!C42,"")</f>
        <v/>
      </c>
      <c r="D592" s="82">
        <f>IF('2C'!B42&lt;&gt;"",'2C'!D42,"")</f>
        <v/>
      </c>
      <c r="E592" s="82">
        <f>IF('2C'!B42&lt;&gt;"",'2C'!E42,"")</f>
        <v/>
      </c>
      <c r="F592" s="82">
        <f>IF('2C'!B42&lt;&gt;"",'2C'!F42,"")</f>
        <v/>
      </c>
      <c r="G592" s="82">
        <f>IF('2C'!B42&lt;&gt;"",'2C'!G42,"")</f>
        <v/>
      </c>
      <c r="H592" s="92">
        <f>IF('2C'!B42&lt;&gt;"",'2C'!H42,"")</f>
        <v/>
      </c>
      <c r="I592" s="92">
        <f>IF('2C'!B42&lt;&gt;"",'2C'!I42,"")</f>
        <v/>
      </c>
      <c r="J592" s="82">
        <f>IF('2C'!B42&lt;&gt;"",'2C'!J42,"")</f>
        <v/>
      </c>
    </row>
    <row r="593" ht="15.75" customHeight="1" s="52">
      <c r="A593" s="97">
        <f>IF('2C'!B43&lt;&gt;"","2C","")</f>
        <v/>
      </c>
      <c r="B593" s="78">
        <f>IF('2C'!B43&lt;&gt;"",'2C'!B43,"")</f>
        <v/>
      </c>
      <c r="C593" s="78">
        <f>IF('2C'!B43&lt;&gt;"",'2C'!C43,"")</f>
        <v/>
      </c>
      <c r="D593" s="78">
        <f>IF('2C'!B43&lt;&gt;"",'2C'!D43,"")</f>
        <v/>
      </c>
      <c r="E593" s="78">
        <f>IF('2C'!B43&lt;&gt;"",'2C'!E43,"")</f>
        <v/>
      </c>
      <c r="F593" s="78">
        <f>IF('2C'!B43&lt;&gt;"",'2C'!F43,"")</f>
        <v/>
      </c>
      <c r="G593" s="78">
        <f>IF('2C'!B43&lt;&gt;"",'2C'!G43,"")</f>
        <v/>
      </c>
      <c r="H593" s="97">
        <f>IF('2C'!B43&lt;&gt;"",'2C'!H43,"")</f>
        <v/>
      </c>
      <c r="I593" s="97">
        <f>IF('2C'!B43&lt;&gt;"",'2C'!I43,"")</f>
        <v/>
      </c>
      <c r="J593" s="78">
        <f>IF('2C'!B43&lt;&gt;"",'2C'!J43,"")</f>
        <v/>
      </c>
    </row>
    <row r="594" ht="15.75" customHeight="1" s="52">
      <c r="A594" s="92">
        <f>IF('2C'!B44&lt;&gt;"","2C","")</f>
        <v/>
      </c>
      <c r="B594" s="82">
        <f>IF('2C'!B44&lt;&gt;"",'2C'!B44,"")</f>
        <v/>
      </c>
      <c r="C594" s="82">
        <f>IF('2C'!B44&lt;&gt;"",'2C'!C44,"")</f>
        <v/>
      </c>
      <c r="D594" s="82">
        <f>IF('2C'!B44&lt;&gt;"",'2C'!D44,"")</f>
        <v/>
      </c>
      <c r="E594" s="82">
        <f>IF('2C'!B44&lt;&gt;"",'2C'!E44,"")</f>
        <v/>
      </c>
      <c r="F594" s="82">
        <f>IF('2C'!B44&lt;&gt;"",'2C'!F44,"")</f>
        <v/>
      </c>
      <c r="G594" s="82">
        <f>IF('2C'!B44&lt;&gt;"",'2C'!G44,"")</f>
        <v/>
      </c>
      <c r="H594" s="92">
        <f>IF('2C'!B44&lt;&gt;"",'2C'!H44,"")</f>
        <v/>
      </c>
      <c r="I594" s="92">
        <f>IF('2C'!B44&lt;&gt;"",'2C'!I44,"")</f>
        <v/>
      </c>
      <c r="J594" s="82">
        <f>IF('2C'!B44&lt;&gt;"",'2C'!J44,"")</f>
        <v/>
      </c>
    </row>
    <row r="595" ht="15.75" customHeight="1" s="52">
      <c r="A595" s="97">
        <f>IF('2C'!B45&lt;&gt;"","2C","")</f>
        <v/>
      </c>
      <c r="B595" s="78">
        <f>IF('2C'!B45&lt;&gt;"",'2C'!B45,"")</f>
        <v/>
      </c>
      <c r="C595" s="78">
        <f>IF('2C'!B45&lt;&gt;"",'2C'!C45,"")</f>
        <v/>
      </c>
      <c r="D595" s="78">
        <f>IF('2C'!B45&lt;&gt;"",'2C'!D45,"")</f>
        <v/>
      </c>
      <c r="E595" s="78">
        <f>IF('2C'!B45&lt;&gt;"",'2C'!E45,"")</f>
        <v/>
      </c>
      <c r="F595" s="78">
        <f>IF('2C'!B45&lt;&gt;"",'2C'!F45,"")</f>
        <v/>
      </c>
      <c r="G595" s="78">
        <f>IF('2C'!B45&lt;&gt;"",'2C'!G45,"")</f>
        <v/>
      </c>
      <c r="H595" s="97">
        <f>IF('2C'!B45&lt;&gt;"",'2C'!H45,"")</f>
        <v/>
      </c>
      <c r="I595" s="97">
        <f>IF('2C'!B45&lt;&gt;"",'2C'!I45,"")</f>
        <v/>
      </c>
      <c r="J595" s="78">
        <f>IF('2C'!B45&lt;&gt;"",'2C'!J45,"")</f>
        <v/>
      </c>
    </row>
    <row r="596" ht="15.75" customHeight="1" s="52">
      <c r="A596" s="92">
        <f>IF('2C'!B46&lt;&gt;"","2C","")</f>
        <v/>
      </c>
      <c r="B596" s="82">
        <f>IF('2C'!B46&lt;&gt;"",'2C'!B46,"")</f>
        <v/>
      </c>
      <c r="C596" s="82">
        <f>IF('2C'!B46&lt;&gt;"",'2C'!C46,"")</f>
        <v/>
      </c>
      <c r="D596" s="82">
        <f>IF('2C'!B46&lt;&gt;"",'2C'!D46,"")</f>
        <v/>
      </c>
      <c r="E596" s="82">
        <f>IF('2C'!B46&lt;&gt;"",'2C'!E46,"")</f>
        <v/>
      </c>
      <c r="F596" s="82">
        <f>IF('2C'!B46&lt;&gt;"",'2C'!F46,"")</f>
        <v/>
      </c>
      <c r="G596" s="82">
        <f>IF('2C'!B46&lt;&gt;"",'2C'!G46,"")</f>
        <v/>
      </c>
      <c r="H596" s="92">
        <f>IF('2C'!B46&lt;&gt;"",'2C'!H46,"")</f>
        <v/>
      </c>
      <c r="I596" s="92">
        <f>IF('2C'!B46&lt;&gt;"",'2C'!I46,"")</f>
        <v/>
      </c>
      <c r="J596" s="82">
        <f>IF('2C'!B46&lt;&gt;"",'2C'!J46,"")</f>
        <v/>
      </c>
    </row>
    <row r="597" ht="15.75" customHeight="1" s="52">
      <c r="A597" s="97">
        <f>IF('2C'!B47&lt;&gt;"","2C","")</f>
        <v/>
      </c>
      <c r="B597" s="78">
        <f>IF('2C'!B47&lt;&gt;"",'2C'!B47,"")</f>
        <v/>
      </c>
      <c r="C597" s="78">
        <f>IF('2C'!B47&lt;&gt;"",'2C'!C47,"")</f>
        <v/>
      </c>
      <c r="D597" s="78">
        <f>IF('2C'!B47&lt;&gt;"",'2C'!D47,"")</f>
        <v/>
      </c>
      <c r="E597" s="78">
        <f>IF('2C'!B47&lt;&gt;"",'2C'!E47,"")</f>
        <v/>
      </c>
      <c r="F597" s="78">
        <f>IF('2C'!B47&lt;&gt;"",'2C'!F47,"")</f>
        <v/>
      </c>
      <c r="G597" s="78">
        <f>IF('2C'!B47&lt;&gt;"",'2C'!G47,"")</f>
        <v/>
      </c>
      <c r="H597" s="97">
        <f>IF('2C'!B47&lt;&gt;"",'2C'!H47,"")</f>
        <v/>
      </c>
      <c r="I597" s="97">
        <f>IF('2C'!B47&lt;&gt;"",'2C'!I47,"")</f>
        <v/>
      </c>
      <c r="J597" s="78">
        <f>IF('2C'!B47&lt;&gt;"",'2C'!J47,"")</f>
        <v/>
      </c>
    </row>
    <row r="598" ht="15.75" customHeight="1" s="52">
      <c r="A598" s="92">
        <f>IF('2C'!B48&lt;&gt;"","2C","")</f>
        <v/>
      </c>
      <c r="B598" s="82">
        <f>IF('2C'!B48&lt;&gt;"",'2C'!B48,"")</f>
        <v/>
      </c>
      <c r="C598" s="82">
        <f>IF('2C'!B48&lt;&gt;"",'2C'!C48,"")</f>
        <v/>
      </c>
      <c r="D598" s="82">
        <f>IF('2C'!B48&lt;&gt;"",'2C'!D48,"")</f>
        <v/>
      </c>
      <c r="E598" s="82">
        <f>IF('2C'!B48&lt;&gt;"",'2C'!E48,"")</f>
        <v/>
      </c>
      <c r="F598" s="82">
        <f>IF('2C'!B48&lt;&gt;"",'2C'!F48,"")</f>
        <v/>
      </c>
      <c r="G598" s="82">
        <f>IF('2C'!B48&lt;&gt;"",'2C'!G48,"")</f>
        <v/>
      </c>
      <c r="H598" s="92">
        <f>IF('2C'!B48&lt;&gt;"",'2C'!H48,"")</f>
        <v/>
      </c>
      <c r="I598" s="92">
        <f>IF('2C'!B48&lt;&gt;"",'2C'!I48,"")</f>
        <v/>
      </c>
      <c r="J598" s="82">
        <f>IF('2C'!B48&lt;&gt;"",'2C'!J48,"")</f>
        <v/>
      </c>
    </row>
    <row r="599" ht="15.75" customHeight="1" s="52">
      <c r="A599" s="97">
        <f>IF('2C'!B49&lt;&gt;"","2C","")</f>
        <v/>
      </c>
      <c r="B599" s="78">
        <f>IF('2C'!B49&lt;&gt;"",'2C'!B49,"")</f>
        <v/>
      </c>
      <c r="C599" s="78">
        <f>IF('2C'!B49&lt;&gt;"",'2C'!C49,"")</f>
        <v/>
      </c>
      <c r="D599" s="78">
        <f>IF('2C'!B49&lt;&gt;"",'2C'!D49,"")</f>
        <v/>
      </c>
      <c r="E599" s="78">
        <f>IF('2C'!B49&lt;&gt;"",'2C'!E49,"")</f>
        <v/>
      </c>
      <c r="F599" s="78">
        <f>IF('2C'!B49&lt;&gt;"",'2C'!F49,"")</f>
        <v/>
      </c>
      <c r="G599" s="78">
        <f>IF('2C'!B49&lt;&gt;"",'2C'!G49,"")</f>
        <v/>
      </c>
      <c r="H599" s="97">
        <f>IF('2C'!B49&lt;&gt;"",'2C'!H49,"")</f>
        <v/>
      </c>
      <c r="I599" s="97">
        <f>IF('2C'!B49&lt;&gt;"",'2C'!I49,"")</f>
        <v/>
      </c>
      <c r="J599" s="78">
        <f>IF('2C'!B49&lt;&gt;"",'2C'!J49,"")</f>
        <v/>
      </c>
    </row>
    <row r="600" ht="15.75" customHeight="1" s="52">
      <c r="A600" s="92">
        <f>IF('2C'!B50&lt;&gt;"","2C","")</f>
        <v/>
      </c>
      <c r="B600" s="82">
        <f>IF('2C'!B50&lt;&gt;"",'2C'!B50,"")</f>
        <v/>
      </c>
      <c r="C600" s="82">
        <f>IF('2C'!B50&lt;&gt;"",'2C'!C50,"")</f>
        <v/>
      </c>
      <c r="D600" s="82">
        <f>IF('2C'!B50&lt;&gt;"",'2C'!D50,"")</f>
        <v/>
      </c>
      <c r="E600" s="82">
        <f>IF('2C'!B50&lt;&gt;"",'2C'!E50,"")</f>
        <v/>
      </c>
      <c r="F600" s="82">
        <f>IF('2C'!B50&lt;&gt;"",'2C'!F50,"")</f>
        <v/>
      </c>
      <c r="G600" s="82">
        <f>IF('2C'!B50&lt;&gt;"",'2C'!G50,"")</f>
        <v/>
      </c>
      <c r="H600" s="92">
        <f>IF('2C'!B50&lt;&gt;"",'2C'!H50,"")</f>
        <v/>
      </c>
      <c r="I600" s="92">
        <f>IF('2C'!B50&lt;&gt;"",'2C'!I50,"")</f>
        <v/>
      </c>
      <c r="J600" s="82">
        <f>IF('2C'!B50&lt;&gt;"",'2C'!J50,"")</f>
        <v/>
      </c>
    </row>
    <row r="601" ht="15.75" customHeight="1" s="52">
      <c r="A601" s="97">
        <f>IF('2C'!B51&lt;&gt;"","2C","")</f>
        <v/>
      </c>
      <c r="B601" s="78">
        <f>IF('2C'!B51&lt;&gt;"",'2C'!B51,"")</f>
        <v/>
      </c>
      <c r="C601" s="78">
        <f>IF('2C'!B51&lt;&gt;"",'2C'!C51,"")</f>
        <v/>
      </c>
      <c r="D601" s="78">
        <f>IF('2C'!B51&lt;&gt;"",'2C'!D51,"")</f>
        <v/>
      </c>
      <c r="E601" s="78">
        <f>IF('2C'!B51&lt;&gt;"",'2C'!E51,"")</f>
        <v/>
      </c>
      <c r="F601" s="78">
        <f>IF('2C'!B51&lt;&gt;"",'2C'!F51,"")</f>
        <v/>
      </c>
      <c r="G601" s="78">
        <f>IF('2C'!B51&lt;&gt;"",'2C'!G51,"")</f>
        <v/>
      </c>
      <c r="H601" s="97">
        <f>IF('2C'!B51&lt;&gt;"",'2C'!H51,"")</f>
        <v/>
      </c>
      <c r="I601" s="97">
        <f>IF('2C'!B51&lt;&gt;"",'2C'!I51,"")</f>
        <v/>
      </c>
      <c r="J601" s="78">
        <f>IF('2C'!B51&lt;&gt;"",'2C'!J51,"")</f>
        <v/>
      </c>
    </row>
    <row r="602" ht="15.75" customHeight="1" s="52">
      <c r="A602" s="92">
        <f>IF('2C'!B52&lt;&gt;"","2C","")</f>
        <v/>
      </c>
      <c r="B602" s="82">
        <f>IF('2C'!B52&lt;&gt;"",'2C'!B52,"")</f>
        <v/>
      </c>
      <c r="C602" s="82">
        <f>IF('2C'!B52&lt;&gt;"",'2C'!C52,"")</f>
        <v/>
      </c>
      <c r="D602" s="82">
        <f>IF('2C'!B52&lt;&gt;"",'2C'!D52,"")</f>
        <v/>
      </c>
      <c r="E602" s="82">
        <f>IF('2C'!B52&lt;&gt;"",'2C'!E52,"")</f>
        <v/>
      </c>
      <c r="F602" s="82">
        <f>IF('2C'!B52&lt;&gt;"",'2C'!F52,"")</f>
        <v/>
      </c>
      <c r="G602" s="82">
        <f>IF('2C'!B52&lt;&gt;"",'2C'!G52,"")</f>
        <v/>
      </c>
      <c r="H602" s="92">
        <f>IF('2C'!B52&lt;&gt;"",'2C'!H52,"")</f>
        <v/>
      </c>
      <c r="I602" s="92">
        <f>IF('2C'!B52&lt;&gt;"",'2C'!I52,"")</f>
        <v/>
      </c>
      <c r="J602" s="82">
        <f>IF('2C'!B52&lt;&gt;"",'2C'!J52,"")</f>
        <v/>
      </c>
    </row>
    <row r="603" ht="15.75" customHeight="1" s="52">
      <c r="A603" s="97">
        <f>IF('2C'!B53&lt;&gt;"","2C","")</f>
        <v/>
      </c>
      <c r="B603" s="78">
        <f>IF('2C'!B53&lt;&gt;"",'2C'!B53,"")</f>
        <v/>
      </c>
      <c r="C603" s="78">
        <f>IF('2C'!B53&lt;&gt;"",'2C'!C53,"")</f>
        <v/>
      </c>
      <c r="D603" s="78">
        <f>IF('2C'!B53&lt;&gt;"",'2C'!D53,"")</f>
        <v/>
      </c>
      <c r="E603" s="78">
        <f>IF('2C'!B53&lt;&gt;"",'2C'!E53,"")</f>
        <v/>
      </c>
      <c r="F603" s="78">
        <f>IF('2C'!B53&lt;&gt;"",'2C'!F53,"")</f>
        <v/>
      </c>
      <c r="G603" s="78">
        <f>IF('2C'!B53&lt;&gt;"",'2C'!G53,"")</f>
        <v/>
      </c>
      <c r="H603" s="97">
        <f>IF('2C'!B53&lt;&gt;"",'2C'!H53,"")</f>
        <v/>
      </c>
      <c r="I603" s="97">
        <f>IF('2C'!B53&lt;&gt;"",'2C'!I53,"")</f>
        <v/>
      </c>
      <c r="J603" s="78">
        <f>IF('2C'!B53&lt;&gt;"",'2C'!J53,"")</f>
        <v/>
      </c>
    </row>
    <row r="604" ht="15.75" customHeight="1" s="52">
      <c r="A604" s="92">
        <f>IF('2C'!B54&lt;&gt;"","2C","")</f>
        <v/>
      </c>
      <c r="B604" s="82">
        <f>IF('2C'!B54&lt;&gt;"",'2C'!B54,"")</f>
        <v/>
      </c>
      <c r="C604" s="82">
        <f>IF('2C'!B54&lt;&gt;"",'2C'!C54,"")</f>
        <v/>
      </c>
      <c r="D604" s="82">
        <f>IF('2C'!B54&lt;&gt;"",'2C'!D54,"")</f>
        <v/>
      </c>
      <c r="E604" s="82">
        <f>IF('2C'!B54&lt;&gt;"",'2C'!E54,"")</f>
        <v/>
      </c>
      <c r="F604" s="82">
        <f>IF('2C'!B54&lt;&gt;"",'2C'!F54,"")</f>
        <v/>
      </c>
      <c r="G604" s="82">
        <f>IF('2C'!B54&lt;&gt;"",'2C'!G54,"")</f>
        <v/>
      </c>
      <c r="H604" s="92">
        <f>IF('2C'!B54&lt;&gt;"",'2C'!H54,"")</f>
        <v/>
      </c>
      <c r="I604" s="92">
        <f>IF('2C'!B54&lt;&gt;"",'2C'!I54,"")</f>
        <v/>
      </c>
      <c r="J604" s="82">
        <f>IF('2C'!B54&lt;&gt;"",'2C'!J54,"")</f>
        <v/>
      </c>
    </row>
    <row r="605" ht="15.75" customHeight="1" s="52">
      <c r="A605" s="97">
        <f>IF('3A'!B5&lt;&gt;"","3A","")</f>
        <v/>
      </c>
      <c r="B605" s="78">
        <f>IF('3A'!B5&lt;&gt;"",'3A'!B5,"")</f>
        <v/>
      </c>
      <c r="C605" s="78">
        <f>IF('3A'!B5&lt;&gt;"",'3A'!C5,"")</f>
        <v/>
      </c>
      <c r="D605" s="78">
        <f>IF('3A'!B5&lt;&gt;"",'3A'!D5,"")</f>
        <v/>
      </c>
      <c r="E605" s="78">
        <f>IF('3A'!B5&lt;&gt;"",'3A'!E5,"")</f>
        <v/>
      </c>
      <c r="F605" s="78">
        <f>IF('3A'!B5&lt;&gt;"",'3A'!F5,"")</f>
        <v/>
      </c>
      <c r="G605" s="78">
        <f>IF('3A'!B5&lt;&gt;"",'3A'!G5,"")</f>
        <v/>
      </c>
      <c r="H605" s="97">
        <f>IF('3A'!B5&lt;&gt;"",'3A'!H5,"")</f>
        <v/>
      </c>
      <c r="I605" s="97">
        <f>IF('3A'!B5&lt;&gt;"",'3A'!I5,"")</f>
        <v/>
      </c>
      <c r="J605" s="78">
        <f>IF('3A'!B5&lt;&gt;"",'3A'!J5,"")</f>
        <v/>
      </c>
    </row>
    <row r="606" ht="15.75" customHeight="1" s="52">
      <c r="A606" s="92">
        <f>IF('3A'!B6&lt;&gt;"","3A","")</f>
        <v/>
      </c>
      <c r="B606" s="82">
        <f>IF('3A'!B6&lt;&gt;"",'3A'!B6,"")</f>
        <v/>
      </c>
      <c r="C606" s="82">
        <f>IF('3A'!B6&lt;&gt;"",'3A'!C6,"")</f>
        <v/>
      </c>
      <c r="D606" s="82">
        <f>IF('3A'!B6&lt;&gt;"",'3A'!D6,"")</f>
        <v/>
      </c>
      <c r="E606" s="82">
        <f>IF('3A'!B6&lt;&gt;"",'3A'!E6,"")</f>
        <v/>
      </c>
      <c r="F606" s="82">
        <f>IF('3A'!B6&lt;&gt;"",'3A'!F6,"")</f>
        <v/>
      </c>
      <c r="G606" s="82">
        <f>IF('3A'!B6&lt;&gt;"",'3A'!G6,"")</f>
        <v/>
      </c>
      <c r="H606" s="92">
        <f>IF('3A'!B6&lt;&gt;"",'3A'!H6,"")</f>
        <v/>
      </c>
      <c r="I606" s="92">
        <f>IF('3A'!B6&lt;&gt;"",'3A'!I6,"")</f>
        <v/>
      </c>
      <c r="J606" s="82">
        <f>IF('3A'!B6&lt;&gt;"",'3A'!J6,"")</f>
        <v/>
      </c>
    </row>
    <row r="607" ht="15.75" customHeight="1" s="52">
      <c r="A607" s="97">
        <f>IF('3A'!B7&lt;&gt;"","3A","")</f>
        <v/>
      </c>
      <c r="B607" s="78">
        <f>IF('3A'!B7&lt;&gt;"",'3A'!B7,"")</f>
        <v/>
      </c>
      <c r="C607" s="78">
        <f>IF('3A'!B7&lt;&gt;"",'3A'!C7,"")</f>
        <v/>
      </c>
      <c r="D607" s="78">
        <f>IF('3A'!B7&lt;&gt;"",'3A'!D7,"")</f>
        <v/>
      </c>
      <c r="E607" s="78">
        <f>IF('3A'!B7&lt;&gt;"",'3A'!E7,"")</f>
        <v/>
      </c>
      <c r="F607" s="78">
        <f>IF('3A'!B7&lt;&gt;"",'3A'!F7,"")</f>
        <v/>
      </c>
      <c r="G607" s="78">
        <f>IF('3A'!B7&lt;&gt;"",'3A'!G7,"")</f>
        <v/>
      </c>
      <c r="H607" s="97">
        <f>IF('3A'!B7&lt;&gt;"",'3A'!H7,"")</f>
        <v/>
      </c>
      <c r="I607" s="97">
        <f>IF('3A'!B7&lt;&gt;"",'3A'!I7,"")</f>
        <v/>
      </c>
      <c r="J607" s="78">
        <f>IF('3A'!B7&lt;&gt;"",'3A'!J7,"")</f>
        <v/>
      </c>
    </row>
    <row r="608" ht="15.75" customHeight="1" s="52">
      <c r="A608" s="92">
        <f>IF('3A'!B8&lt;&gt;"","3A","")</f>
        <v/>
      </c>
      <c r="B608" s="82">
        <f>IF('3A'!B8&lt;&gt;"",'3A'!B8,"")</f>
        <v/>
      </c>
      <c r="C608" s="82">
        <f>IF('3A'!B8&lt;&gt;"",'3A'!C8,"")</f>
        <v/>
      </c>
      <c r="D608" s="82">
        <f>IF('3A'!B8&lt;&gt;"",'3A'!D8,"")</f>
        <v/>
      </c>
      <c r="E608" s="82">
        <f>IF('3A'!B8&lt;&gt;"",'3A'!E8,"")</f>
        <v/>
      </c>
      <c r="F608" s="82">
        <f>IF('3A'!B8&lt;&gt;"",'3A'!F8,"")</f>
        <v/>
      </c>
      <c r="G608" s="82">
        <f>IF('3A'!B8&lt;&gt;"",'3A'!G8,"")</f>
        <v/>
      </c>
      <c r="H608" s="92">
        <f>IF('3A'!B8&lt;&gt;"",'3A'!H8,"")</f>
        <v/>
      </c>
      <c r="I608" s="92">
        <f>IF('3A'!B8&lt;&gt;"",'3A'!I8,"")</f>
        <v/>
      </c>
      <c r="J608" s="82">
        <f>IF('3A'!B8&lt;&gt;"",'3A'!J8,"")</f>
        <v/>
      </c>
    </row>
    <row r="609" ht="15.75" customHeight="1" s="52">
      <c r="A609" s="97">
        <f>IF('3A'!B9&lt;&gt;"","3A","")</f>
        <v/>
      </c>
      <c r="B609" s="78">
        <f>IF('3A'!B9&lt;&gt;"",'3A'!B9,"")</f>
        <v/>
      </c>
      <c r="C609" s="78">
        <f>IF('3A'!B9&lt;&gt;"",'3A'!C9,"")</f>
        <v/>
      </c>
      <c r="D609" s="78">
        <f>IF('3A'!B9&lt;&gt;"",'3A'!D9,"")</f>
        <v/>
      </c>
      <c r="E609" s="78">
        <f>IF('3A'!B9&lt;&gt;"",'3A'!E9,"")</f>
        <v/>
      </c>
      <c r="F609" s="78">
        <f>IF('3A'!B9&lt;&gt;"",'3A'!F9,"")</f>
        <v/>
      </c>
      <c r="G609" s="78">
        <f>IF('3A'!B9&lt;&gt;"",'3A'!G9,"")</f>
        <v/>
      </c>
      <c r="H609" s="97">
        <f>IF('3A'!B9&lt;&gt;"",'3A'!H9,"")</f>
        <v/>
      </c>
      <c r="I609" s="97">
        <f>IF('3A'!B9&lt;&gt;"",'3A'!I9,"")</f>
        <v/>
      </c>
      <c r="J609" s="78">
        <f>IF('3A'!B9&lt;&gt;"",'3A'!J9,"")</f>
        <v/>
      </c>
    </row>
    <row r="610" ht="15.75" customHeight="1" s="52">
      <c r="A610" s="92">
        <f>IF('3A'!B10&lt;&gt;"","3A","")</f>
        <v/>
      </c>
      <c r="B610" s="82">
        <f>IF('3A'!B10&lt;&gt;"",'3A'!B10,"")</f>
        <v/>
      </c>
      <c r="C610" s="82">
        <f>IF('3A'!B10&lt;&gt;"",'3A'!C10,"")</f>
        <v/>
      </c>
      <c r="D610" s="82">
        <f>IF('3A'!B10&lt;&gt;"",'3A'!D10,"")</f>
        <v/>
      </c>
      <c r="E610" s="82">
        <f>IF('3A'!B10&lt;&gt;"",'3A'!E10,"")</f>
        <v/>
      </c>
      <c r="F610" s="82">
        <f>IF('3A'!B10&lt;&gt;"",'3A'!F10,"")</f>
        <v/>
      </c>
      <c r="G610" s="82">
        <f>IF('3A'!B10&lt;&gt;"",'3A'!G10,"")</f>
        <v/>
      </c>
      <c r="H610" s="92">
        <f>IF('3A'!B10&lt;&gt;"",'3A'!H10,"")</f>
        <v/>
      </c>
      <c r="I610" s="92">
        <f>IF('3A'!B10&lt;&gt;"",'3A'!I10,"")</f>
        <v/>
      </c>
      <c r="J610" s="82">
        <f>IF('3A'!B10&lt;&gt;"",'3A'!J10,"")</f>
        <v/>
      </c>
    </row>
    <row r="611" ht="15.75" customHeight="1" s="52">
      <c r="A611" s="97">
        <f>IF('3A'!B11&lt;&gt;"","3A","")</f>
        <v/>
      </c>
      <c r="B611" s="78">
        <f>IF('3A'!B11&lt;&gt;"",'3A'!B11,"")</f>
        <v/>
      </c>
      <c r="C611" s="78">
        <f>IF('3A'!B11&lt;&gt;"",'3A'!C11,"")</f>
        <v/>
      </c>
      <c r="D611" s="78">
        <f>IF('3A'!B11&lt;&gt;"",'3A'!D11,"")</f>
        <v/>
      </c>
      <c r="E611" s="78">
        <f>IF('3A'!B11&lt;&gt;"",'3A'!E11,"")</f>
        <v/>
      </c>
      <c r="F611" s="78">
        <f>IF('3A'!B11&lt;&gt;"",'3A'!F11,"")</f>
        <v/>
      </c>
      <c r="G611" s="78">
        <f>IF('3A'!B11&lt;&gt;"",'3A'!G11,"")</f>
        <v/>
      </c>
      <c r="H611" s="97">
        <f>IF('3A'!B11&lt;&gt;"",'3A'!H11,"")</f>
        <v/>
      </c>
      <c r="I611" s="97">
        <f>IF('3A'!B11&lt;&gt;"",'3A'!I11,"")</f>
        <v/>
      </c>
      <c r="J611" s="78">
        <f>IF('3A'!B11&lt;&gt;"",'3A'!J11,"")</f>
        <v/>
      </c>
    </row>
    <row r="612" ht="15.75" customHeight="1" s="52">
      <c r="A612" s="92">
        <f>IF('3A'!B12&lt;&gt;"","3A","")</f>
        <v/>
      </c>
      <c r="B612" s="82">
        <f>IF('3A'!B12&lt;&gt;"",'3A'!B12,"")</f>
        <v/>
      </c>
      <c r="C612" s="82">
        <f>IF('3A'!B12&lt;&gt;"",'3A'!C12,"")</f>
        <v/>
      </c>
      <c r="D612" s="82">
        <f>IF('3A'!B12&lt;&gt;"",'3A'!D12,"")</f>
        <v/>
      </c>
      <c r="E612" s="82">
        <f>IF('3A'!B12&lt;&gt;"",'3A'!E12,"")</f>
        <v/>
      </c>
      <c r="F612" s="82">
        <f>IF('3A'!B12&lt;&gt;"",'3A'!F12,"")</f>
        <v/>
      </c>
      <c r="G612" s="82">
        <f>IF('3A'!B12&lt;&gt;"",'3A'!G12,"")</f>
        <v/>
      </c>
      <c r="H612" s="92">
        <f>IF('3A'!B12&lt;&gt;"",'3A'!H12,"")</f>
        <v/>
      </c>
      <c r="I612" s="92">
        <f>IF('3A'!B12&lt;&gt;"",'3A'!I12,"")</f>
        <v/>
      </c>
      <c r="J612" s="82">
        <f>IF('3A'!B12&lt;&gt;"",'3A'!J12,"")</f>
        <v/>
      </c>
    </row>
    <row r="613" ht="15.75" customHeight="1" s="52">
      <c r="A613" s="97">
        <f>IF('3A'!B13&lt;&gt;"","3A","")</f>
        <v/>
      </c>
      <c r="B613" s="78">
        <f>IF('3A'!B13&lt;&gt;"",'3A'!B13,"")</f>
        <v/>
      </c>
      <c r="C613" s="78">
        <f>IF('3A'!B13&lt;&gt;"",'3A'!C13,"")</f>
        <v/>
      </c>
      <c r="D613" s="78">
        <f>IF('3A'!B13&lt;&gt;"",'3A'!D13,"")</f>
        <v/>
      </c>
      <c r="E613" s="78">
        <f>IF('3A'!B13&lt;&gt;"",'3A'!E13,"")</f>
        <v/>
      </c>
      <c r="F613" s="78">
        <f>IF('3A'!B13&lt;&gt;"",'3A'!F13,"")</f>
        <v/>
      </c>
      <c r="G613" s="78">
        <f>IF('3A'!B13&lt;&gt;"",'3A'!G13,"")</f>
        <v/>
      </c>
      <c r="H613" s="97">
        <f>IF('3A'!B13&lt;&gt;"",'3A'!H13,"")</f>
        <v/>
      </c>
      <c r="I613" s="97">
        <f>IF('3A'!B13&lt;&gt;"",'3A'!I13,"")</f>
        <v/>
      </c>
      <c r="J613" s="78">
        <f>IF('3A'!B13&lt;&gt;"",'3A'!J13,"")</f>
        <v/>
      </c>
    </row>
    <row r="614" ht="15.75" customHeight="1" s="52">
      <c r="A614" s="92">
        <f>IF('3A'!B14&lt;&gt;"","3A","")</f>
        <v/>
      </c>
      <c r="B614" s="82">
        <f>IF('3A'!B14&lt;&gt;"",'3A'!B14,"")</f>
        <v/>
      </c>
      <c r="C614" s="82">
        <f>IF('3A'!B14&lt;&gt;"",'3A'!C14,"")</f>
        <v/>
      </c>
      <c r="D614" s="82">
        <f>IF('3A'!B14&lt;&gt;"",'3A'!D14,"")</f>
        <v/>
      </c>
      <c r="E614" s="82">
        <f>IF('3A'!B14&lt;&gt;"",'3A'!E14,"")</f>
        <v/>
      </c>
      <c r="F614" s="82">
        <f>IF('3A'!B14&lt;&gt;"",'3A'!F14,"")</f>
        <v/>
      </c>
      <c r="G614" s="82">
        <f>IF('3A'!B14&lt;&gt;"",'3A'!G14,"")</f>
        <v/>
      </c>
      <c r="H614" s="92">
        <f>IF('3A'!B14&lt;&gt;"",'3A'!H14,"")</f>
        <v/>
      </c>
      <c r="I614" s="92">
        <f>IF('3A'!B14&lt;&gt;"",'3A'!I14,"")</f>
        <v/>
      </c>
      <c r="J614" s="82">
        <f>IF('3A'!B14&lt;&gt;"",'3A'!J14,"")</f>
        <v/>
      </c>
    </row>
    <row r="615" ht="15.75" customHeight="1" s="52">
      <c r="A615" s="97">
        <f>IF('3A'!B15&lt;&gt;"","3A","")</f>
        <v/>
      </c>
      <c r="B615" s="78">
        <f>IF('3A'!B15&lt;&gt;"",'3A'!B15,"")</f>
        <v/>
      </c>
      <c r="C615" s="78">
        <f>IF('3A'!B15&lt;&gt;"",'3A'!C15,"")</f>
        <v/>
      </c>
      <c r="D615" s="78">
        <f>IF('3A'!B15&lt;&gt;"",'3A'!D15,"")</f>
        <v/>
      </c>
      <c r="E615" s="78">
        <f>IF('3A'!B15&lt;&gt;"",'3A'!E15,"")</f>
        <v/>
      </c>
      <c r="F615" s="78">
        <f>IF('3A'!B15&lt;&gt;"",'3A'!F15,"")</f>
        <v/>
      </c>
      <c r="G615" s="78">
        <f>IF('3A'!B15&lt;&gt;"",'3A'!G15,"")</f>
        <v/>
      </c>
      <c r="H615" s="97">
        <f>IF('3A'!B15&lt;&gt;"",'3A'!H15,"")</f>
        <v/>
      </c>
      <c r="I615" s="97">
        <f>IF('3A'!B15&lt;&gt;"",'3A'!I15,"")</f>
        <v/>
      </c>
      <c r="J615" s="78">
        <f>IF('3A'!B15&lt;&gt;"",'3A'!J15,"")</f>
        <v/>
      </c>
    </row>
    <row r="616" ht="15.75" customHeight="1" s="52">
      <c r="A616" s="92">
        <f>IF('3A'!B16&lt;&gt;"","3A","")</f>
        <v/>
      </c>
      <c r="B616" s="82">
        <f>IF('3A'!B16&lt;&gt;"",'3A'!B16,"")</f>
        <v/>
      </c>
      <c r="C616" s="82">
        <f>IF('3A'!B16&lt;&gt;"",'3A'!C16,"")</f>
        <v/>
      </c>
      <c r="D616" s="82">
        <f>IF('3A'!B16&lt;&gt;"",'3A'!D16,"")</f>
        <v/>
      </c>
      <c r="E616" s="82">
        <f>IF('3A'!B16&lt;&gt;"",'3A'!E16,"")</f>
        <v/>
      </c>
      <c r="F616" s="82">
        <f>IF('3A'!B16&lt;&gt;"",'3A'!F16,"")</f>
        <v/>
      </c>
      <c r="G616" s="82">
        <f>IF('3A'!B16&lt;&gt;"",'3A'!G16,"")</f>
        <v/>
      </c>
      <c r="H616" s="92">
        <f>IF('3A'!B16&lt;&gt;"",'3A'!H16,"")</f>
        <v/>
      </c>
      <c r="I616" s="92">
        <f>IF('3A'!B16&lt;&gt;"",'3A'!I16,"")</f>
        <v/>
      </c>
      <c r="J616" s="82">
        <f>IF('3A'!B16&lt;&gt;"",'3A'!J16,"")</f>
        <v/>
      </c>
    </row>
    <row r="617" ht="15.75" customHeight="1" s="52">
      <c r="A617" s="97">
        <f>IF('3A'!B17&lt;&gt;"","3A","")</f>
        <v/>
      </c>
      <c r="B617" s="78">
        <f>IF('3A'!B17&lt;&gt;"",'3A'!B17,"")</f>
        <v/>
      </c>
      <c r="C617" s="78">
        <f>IF('3A'!B17&lt;&gt;"",'3A'!C17,"")</f>
        <v/>
      </c>
      <c r="D617" s="78">
        <f>IF('3A'!B17&lt;&gt;"",'3A'!D17,"")</f>
        <v/>
      </c>
      <c r="E617" s="78">
        <f>IF('3A'!B17&lt;&gt;"",'3A'!E17,"")</f>
        <v/>
      </c>
      <c r="F617" s="78">
        <f>IF('3A'!B17&lt;&gt;"",'3A'!F17,"")</f>
        <v/>
      </c>
      <c r="G617" s="78">
        <f>IF('3A'!B17&lt;&gt;"",'3A'!G17,"")</f>
        <v/>
      </c>
      <c r="H617" s="97">
        <f>IF('3A'!B17&lt;&gt;"",'3A'!H17,"")</f>
        <v/>
      </c>
      <c r="I617" s="97">
        <f>IF('3A'!B17&lt;&gt;"",'3A'!I17,"")</f>
        <v/>
      </c>
      <c r="J617" s="78">
        <f>IF('3A'!B17&lt;&gt;"",'3A'!J17,"")</f>
        <v/>
      </c>
    </row>
    <row r="618" ht="15.75" customHeight="1" s="52">
      <c r="A618" s="92">
        <f>IF('3A'!B18&lt;&gt;"","3A","")</f>
        <v/>
      </c>
      <c r="B618" s="82">
        <f>IF('3A'!B18&lt;&gt;"",'3A'!B18,"")</f>
        <v/>
      </c>
      <c r="C618" s="82">
        <f>IF('3A'!B18&lt;&gt;"",'3A'!C18,"")</f>
        <v/>
      </c>
      <c r="D618" s="82">
        <f>IF('3A'!B18&lt;&gt;"",'3A'!D18,"")</f>
        <v/>
      </c>
      <c r="E618" s="82">
        <f>IF('3A'!B18&lt;&gt;"",'3A'!E18,"")</f>
        <v/>
      </c>
      <c r="F618" s="82">
        <f>IF('3A'!B18&lt;&gt;"",'3A'!F18,"")</f>
        <v/>
      </c>
      <c r="G618" s="82">
        <f>IF('3A'!B18&lt;&gt;"",'3A'!G18,"")</f>
        <v/>
      </c>
      <c r="H618" s="92">
        <f>IF('3A'!B18&lt;&gt;"",'3A'!H18,"")</f>
        <v/>
      </c>
      <c r="I618" s="92">
        <f>IF('3A'!B18&lt;&gt;"",'3A'!I18,"")</f>
        <v/>
      </c>
      <c r="J618" s="82">
        <f>IF('3A'!B18&lt;&gt;"",'3A'!J18,"")</f>
        <v/>
      </c>
    </row>
    <row r="619" ht="15.75" customHeight="1" s="52">
      <c r="A619" s="97">
        <f>IF('3A'!B19&lt;&gt;"","3A","")</f>
        <v/>
      </c>
      <c r="B619" s="78">
        <f>IF('3A'!B19&lt;&gt;"",'3A'!B19,"")</f>
        <v/>
      </c>
      <c r="C619" s="78">
        <f>IF('3A'!B19&lt;&gt;"",'3A'!C19,"")</f>
        <v/>
      </c>
      <c r="D619" s="78">
        <f>IF('3A'!B19&lt;&gt;"",'3A'!D19,"")</f>
        <v/>
      </c>
      <c r="E619" s="78">
        <f>IF('3A'!B19&lt;&gt;"",'3A'!E19,"")</f>
        <v/>
      </c>
      <c r="F619" s="78">
        <f>IF('3A'!B19&lt;&gt;"",'3A'!F19,"")</f>
        <v/>
      </c>
      <c r="G619" s="78">
        <f>IF('3A'!B19&lt;&gt;"",'3A'!G19,"")</f>
        <v/>
      </c>
      <c r="H619" s="97">
        <f>IF('3A'!B19&lt;&gt;"",'3A'!H19,"")</f>
        <v/>
      </c>
      <c r="I619" s="97">
        <f>IF('3A'!B19&lt;&gt;"",'3A'!I19,"")</f>
        <v/>
      </c>
      <c r="J619" s="78">
        <f>IF('3A'!B19&lt;&gt;"",'3A'!J19,"")</f>
        <v/>
      </c>
    </row>
    <row r="620" ht="15.75" customHeight="1" s="52">
      <c r="A620" s="92">
        <f>IF('3A'!B20&lt;&gt;"","3A","")</f>
        <v/>
      </c>
      <c r="B620" s="82">
        <f>IF('3A'!B20&lt;&gt;"",'3A'!B20,"")</f>
        <v/>
      </c>
      <c r="C620" s="82">
        <f>IF('3A'!B20&lt;&gt;"",'3A'!C20,"")</f>
        <v/>
      </c>
      <c r="D620" s="82">
        <f>IF('3A'!B20&lt;&gt;"",'3A'!D20,"")</f>
        <v/>
      </c>
      <c r="E620" s="82">
        <f>IF('3A'!B20&lt;&gt;"",'3A'!E20,"")</f>
        <v/>
      </c>
      <c r="F620" s="82">
        <f>IF('3A'!B20&lt;&gt;"",'3A'!F20,"")</f>
        <v/>
      </c>
      <c r="G620" s="82">
        <f>IF('3A'!B20&lt;&gt;"",'3A'!G20,"")</f>
        <v/>
      </c>
      <c r="H620" s="92">
        <f>IF('3A'!B20&lt;&gt;"",'3A'!H20,"")</f>
        <v/>
      </c>
      <c r="I620" s="92">
        <f>IF('3A'!B20&lt;&gt;"",'3A'!I20,"")</f>
        <v/>
      </c>
      <c r="J620" s="82">
        <f>IF('3A'!B20&lt;&gt;"",'3A'!J20,"")</f>
        <v/>
      </c>
    </row>
    <row r="621" ht="15.75" customHeight="1" s="52">
      <c r="A621" s="97">
        <f>IF('3A'!B21&lt;&gt;"","3A","")</f>
        <v/>
      </c>
      <c r="B621" s="78">
        <f>IF('3A'!B21&lt;&gt;"",'3A'!B21,"")</f>
        <v/>
      </c>
      <c r="C621" s="78">
        <f>IF('3A'!B21&lt;&gt;"",'3A'!C21,"")</f>
        <v/>
      </c>
      <c r="D621" s="78">
        <f>IF('3A'!B21&lt;&gt;"",'3A'!D21,"")</f>
        <v/>
      </c>
      <c r="E621" s="78">
        <f>IF('3A'!B21&lt;&gt;"",'3A'!E21,"")</f>
        <v/>
      </c>
      <c r="F621" s="78">
        <f>IF('3A'!B21&lt;&gt;"",'3A'!F21,"")</f>
        <v/>
      </c>
      <c r="G621" s="78">
        <f>IF('3A'!B21&lt;&gt;"",'3A'!G21,"")</f>
        <v/>
      </c>
      <c r="H621" s="97">
        <f>IF('3A'!B21&lt;&gt;"",'3A'!H21,"")</f>
        <v/>
      </c>
      <c r="I621" s="97">
        <f>IF('3A'!B21&lt;&gt;"",'3A'!I21,"")</f>
        <v/>
      </c>
      <c r="J621" s="78">
        <f>IF('3A'!B21&lt;&gt;"",'3A'!J21,"")</f>
        <v/>
      </c>
    </row>
    <row r="622" ht="15.75" customHeight="1" s="52">
      <c r="A622" s="92">
        <f>IF('3A'!B22&lt;&gt;"","3A","")</f>
        <v/>
      </c>
      <c r="B622" s="82">
        <f>IF('3A'!B22&lt;&gt;"",'3A'!B22,"")</f>
        <v/>
      </c>
      <c r="C622" s="82">
        <f>IF('3A'!B22&lt;&gt;"",'3A'!C22,"")</f>
        <v/>
      </c>
      <c r="D622" s="82">
        <f>IF('3A'!B22&lt;&gt;"",'3A'!D22,"")</f>
        <v/>
      </c>
      <c r="E622" s="82">
        <f>IF('3A'!B22&lt;&gt;"",'3A'!E22,"")</f>
        <v/>
      </c>
      <c r="F622" s="82">
        <f>IF('3A'!B22&lt;&gt;"",'3A'!F22,"")</f>
        <v/>
      </c>
      <c r="G622" s="82">
        <f>IF('3A'!B22&lt;&gt;"",'3A'!G22,"")</f>
        <v/>
      </c>
      <c r="H622" s="92">
        <f>IF('3A'!B22&lt;&gt;"",'3A'!H22,"")</f>
        <v/>
      </c>
      <c r="I622" s="92">
        <f>IF('3A'!B22&lt;&gt;"",'3A'!I22,"")</f>
        <v/>
      </c>
      <c r="J622" s="82">
        <f>IF('3A'!B22&lt;&gt;"",'3A'!J22,"")</f>
        <v/>
      </c>
    </row>
    <row r="623" ht="15.75" customHeight="1" s="52">
      <c r="A623" s="97">
        <f>IF('3A'!B23&lt;&gt;"","3A","")</f>
        <v/>
      </c>
      <c r="B623" s="78">
        <f>IF('3A'!B23&lt;&gt;"",'3A'!B23,"")</f>
        <v/>
      </c>
      <c r="C623" s="78">
        <f>IF('3A'!B23&lt;&gt;"",'3A'!C23,"")</f>
        <v/>
      </c>
      <c r="D623" s="78">
        <f>IF('3A'!B23&lt;&gt;"",'3A'!D23,"")</f>
        <v/>
      </c>
      <c r="E623" s="78">
        <f>IF('3A'!B23&lt;&gt;"",'3A'!E23,"")</f>
        <v/>
      </c>
      <c r="F623" s="78">
        <f>IF('3A'!B23&lt;&gt;"",'3A'!F23,"")</f>
        <v/>
      </c>
      <c r="G623" s="78">
        <f>IF('3A'!B23&lt;&gt;"",'3A'!G23,"")</f>
        <v/>
      </c>
      <c r="H623" s="97">
        <f>IF('3A'!B23&lt;&gt;"",'3A'!H23,"")</f>
        <v/>
      </c>
      <c r="I623" s="97">
        <f>IF('3A'!B23&lt;&gt;"",'3A'!I23,"")</f>
        <v/>
      </c>
      <c r="J623" s="78">
        <f>IF('3A'!B23&lt;&gt;"",'3A'!J23,"")</f>
        <v/>
      </c>
    </row>
    <row r="624" ht="15.75" customHeight="1" s="52">
      <c r="A624" s="92">
        <f>IF('3A'!B24&lt;&gt;"","3A","")</f>
        <v/>
      </c>
      <c r="B624" s="82">
        <f>IF('3A'!B24&lt;&gt;"",'3A'!B24,"")</f>
        <v/>
      </c>
      <c r="C624" s="82">
        <f>IF('3A'!B24&lt;&gt;"",'3A'!C24,"")</f>
        <v/>
      </c>
      <c r="D624" s="82">
        <f>IF('3A'!B24&lt;&gt;"",'3A'!D24,"")</f>
        <v/>
      </c>
      <c r="E624" s="82">
        <f>IF('3A'!B24&lt;&gt;"",'3A'!E24,"")</f>
        <v/>
      </c>
      <c r="F624" s="82">
        <f>IF('3A'!B24&lt;&gt;"",'3A'!F24,"")</f>
        <v/>
      </c>
      <c r="G624" s="82">
        <f>IF('3A'!B24&lt;&gt;"",'3A'!G24,"")</f>
        <v/>
      </c>
      <c r="H624" s="92">
        <f>IF('3A'!B24&lt;&gt;"",'3A'!H24,"")</f>
        <v/>
      </c>
      <c r="I624" s="92">
        <f>IF('3A'!B24&lt;&gt;"",'3A'!I24,"")</f>
        <v/>
      </c>
      <c r="J624" s="82">
        <f>IF('3A'!B24&lt;&gt;"",'3A'!J24,"")</f>
        <v/>
      </c>
    </row>
    <row r="625" ht="15.75" customHeight="1" s="52">
      <c r="A625" s="97">
        <f>IF('3A'!B25&lt;&gt;"","3A","")</f>
        <v/>
      </c>
      <c r="B625" s="78">
        <f>IF('3A'!B25&lt;&gt;"",'3A'!B25,"")</f>
        <v/>
      </c>
      <c r="C625" s="78">
        <f>IF('3A'!B25&lt;&gt;"",'3A'!C25,"")</f>
        <v/>
      </c>
      <c r="D625" s="78">
        <f>IF('3A'!B25&lt;&gt;"",'3A'!D25,"")</f>
        <v/>
      </c>
      <c r="E625" s="78">
        <f>IF('3A'!B25&lt;&gt;"",'3A'!E25,"")</f>
        <v/>
      </c>
      <c r="F625" s="78">
        <f>IF('3A'!B25&lt;&gt;"",'3A'!F25,"")</f>
        <v/>
      </c>
      <c r="G625" s="78">
        <f>IF('3A'!B25&lt;&gt;"",'3A'!G25,"")</f>
        <v/>
      </c>
      <c r="H625" s="97">
        <f>IF('3A'!B25&lt;&gt;"",'3A'!H25,"")</f>
        <v/>
      </c>
      <c r="I625" s="97">
        <f>IF('3A'!B25&lt;&gt;"",'3A'!I25,"")</f>
        <v/>
      </c>
      <c r="J625" s="78">
        <f>IF('3A'!B25&lt;&gt;"",'3A'!J25,"")</f>
        <v/>
      </c>
    </row>
    <row r="626" ht="15.75" customHeight="1" s="52">
      <c r="A626" s="92">
        <f>IF('3A'!B26&lt;&gt;"","3A","")</f>
        <v/>
      </c>
      <c r="B626" s="82">
        <f>IF('3A'!B26&lt;&gt;"",'3A'!B26,"")</f>
        <v/>
      </c>
      <c r="C626" s="82">
        <f>IF('3A'!B26&lt;&gt;"",'3A'!C26,"")</f>
        <v/>
      </c>
      <c r="D626" s="82">
        <f>IF('3A'!B26&lt;&gt;"",'3A'!D26,"")</f>
        <v/>
      </c>
      <c r="E626" s="82">
        <f>IF('3A'!B26&lt;&gt;"",'3A'!E26,"")</f>
        <v/>
      </c>
      <c r="F626" s="82">
        <f>IF('3A'!B26&lt;&gt;"",'3A'!F26,"")</f>
        <v/>
      </c>
      <c r="G626" s="82">
        <f>IF('3A'!B26&lt;&gt;"",'3A'!G26,"")</f>
        <v/>
      </c>
      <c r="H626" s="92">
        <f>IF('3A'!B26&lt;&gt;"",'3A'!H26,"")</f>
        <v/>
      </c>
      <c r="I626" s="92">
        <f>IF('3A'!B26&lt;&gt;"",'3A'!I26,"")</f>
        <v/>
      </c>
      <c r="J626" s="82">
        <f>IF('3A'!B26&lt;&gt;"",'3A'!J26,"")</f>
        <v/>
      </c>
    </row>
    <row r="627" ht="15.75" customHeight="1" s="52">
      <c r="A627" s="97">
        <f>IF('3A'!B27&lt;&gt;"","3A","")</f>
        <v/>
      </c>
      <c r="B627" s="78">
        <f>IF('3A'!B27&lt;&gt;"",'3A'!B27,"")</f>
        <v/>
      </c>
      <c r="C627" s="78">
        <f>IF('3A'!B27&lt;&gt;"",'3A'!C27,"")</f>
        <v/>
      </c>
      <c r="D627" s="78">
        <f>IF('3A'!B27&lt;&gt;"",'3A'!D27,"")</f>
        <v/>
      </c>
      <c r="E627" s="78">
        <f>IF('3A'!B27&lt;&gt;"",'3A'!E27,"")</f>
        <v/>
      </c>
      <c r="F627" s="78">
        <f>IF('3A'!B27&lt;&gt;"",'3A'!F27,"")</f>
        <v/>
      </c>
      <c r="G627" s="78">
        <f>IF('3A'!B27&lt;&gt;"",'3A'!G27,"")</f>
        <v/>
      </c>
      <c r="H627" s="97">
        <f>IF('3A'!B27&lt;&gt;"",'3A'!H27,"")</f>
        <v/>
      </c>
      <c r="I627" s="97">
        <f>IF('3A'!B27&lt;&gt;"",'3A'!I27,"")</f>
        <v/>
      </c>
      <c r="J627" s="78">
        <f>IF('3A'!B27&lt;&gt;"",'3A'!J27,"")</f>
        <v/>
      </c>
    </row>
    <row r="628" ht="15.75" customHeight="1" s="52">
      <c r="A628" s="92">
        <f>IF('3A'!B28&lt;&gt;"","3A","")</f>
        <v/>
      </c>
      <c r="B628" s="82">
        <f>IF('3A'!B28&lt;&gt;"",'3A'!B28,"")</f>
        <v/>
      </c>
      <c r="C628" s="82">
        <f>IF('3A'!B28&lt;&gt;"",'3A'!C28,"")</f>
        <v/>
      </c>
      <c r="D628" s="82">
        <f>IF('3A'!B28&lt;&gt;"",'3A'!D28,"")</f>
        <v/>
      </c>
      <c r="E628" s="82">
        <f>IF('3A'!B28&lt;&gt;"",'3A'!E28,"")</f>
        <v/>
      </c>
      <c r="F628" s="82">
        <f>IF('3A'!B28&lt;&gt;"",'3A'!F28,"")</f>
        <v/>
      </c>
      <c r="G628" s="82">
        <f>IF('3A'!B28&lt;&gt;"",'3A'!G28,"")</f>
        <v/>
      </c>
      <c r="H628" s="92">
        <f>IF('3A'!B28&lt;&gt;"",'3A'!H28,"")</f>
        <v/>
      </c>
      <c r="I628" s="92">
        <f>IF('3A'!B28&lt;&gt;"",'3A'!I28,"")</f>
        <v/>
      </c>
      <c r="J628" s="82">
        <f>IF('3A'!B28&lt;&gt;"",'3A'!J28,"")</f>
        <v/>
      </c>
    </row>
    <row r="629" ht="15.75" customHeight="1" s="52">
      <c r="A629" s="97">
        <f>IF('3A'!B29&lt;&gt;"","3A","")</f>
        <v/>
      </c>
      <c r="B629" s="78">
        <f>IF('3A'!B29&lt;&gt;"",'3A'!B29,"")</f>
        <v/>
      </c>
      <c r="C629" s="78">
        <f>IF('3A'!B29&lt;&gt;"",'3A'!C29,"")</f>
        <v/>
      </c>
      <c r="D629" s="78">
        <f>IF('3A'!B29&lt;&gt;"",'3A'!D29,"")</f>
        <v/>
      </c>
      <c r="E629" s="78">
        <f>IF('3A'!B29&lt;&gt;"",'3A'!E29,"")</f>
        <v/>
      </c>
      <c r="F629" s="78">
        <f>IF('3A'!B29&lt;&gt;"",'3A'!F29,"")</f>
        <v/>
      </c>
      <c r="G629" s="78">
        <f>IF('3A'!B29&lt;&gt;"",'3A'!G29,"")</f>
        <v/>
      </c>
      <c r="H629" s="97">
        <f>IF('3A'!B29&lt;&gt;"",'3A'!H29,"")</f>
        <v/>
      </c>
      <c r="I629" s="97">
        <f>IF('3A'!B29&lt;&gt;"",'3A'!I29,"")</f>
        <v/>
      </c>
      <c r="J629" s="78">
        <f>IF('3A'!B29&lt;&gt;"",'3A'!J29,"")</f>
        <v/>
      </c>
    </row>
    <row r="630" ht="15.75" customHeight="1" s="52">
      <c r="A630" s="92">
        <f>IF('3A'!B30&lt;&gt;"","3A","")</f>
        <v/>
      </c>
      <c r="B630" s="82">
        <f>IF('3A'!B30&lt;&gt;"",'3A'!B30,"")</f>
        <v/>
      </c>
      <c r="C630" s="82">
        <f>IF('3A'!B30&lt;&gt;"",'3A'!C30,"")</f>
        <v/>
      </c>
      <c r="D630" s="82">
        <f>IF('3A'!B30&lt;&gt;"",'3A'!D30,"")</f>
        <v/>
      </c>
      <c r="E630" s="82">
        <f>IF('3A'!B30&lt;&gt;"",'3A'!E30,"")</f>
        <v/>
      </c>
      <c r="F630" s="82">
        <f>IF('3A'!B30&lt;&gt;"",'3A'!F30,"")</f>
        <v/>
      </c>
      <c r="G630" s="82">
        <f>IF('3A'!B30&lt;&gt;"",'3A'!G30,"")</f>
        <v/>
      </c>
      <c r="H630" s="92">
        <f>IF('3A'!B30&lt;&gt;"",'3A'!H30,"")</f>
        <v/>
      </c>
      <c r="I630" s="92">
        <f>IF('3A'!B30&lt;&gt;"",'3A'!I30,"")</f>
        <v/>
      </c>
      <c r="J630" s="82">
        <f>IF('3A'!B30&lt;&gt;"",'3A'!J30,"")</f>
        <v/>
      </c>
    </row>
    <row r="631" ht="15.75" customHeight="1" s="52">
      <c r="A631" s="97">
        <f>IF('3A'!B31&lt;&gt;"","3A","")</f>
        <v/>
      </c>
      <c r="B631" s="78">
        <f>IF('3A'!B31&lt;&gt;"",'3A'!B31,"")</f>
        <v/>
      </c>
      <c r="C631" s="78">
        <f>IF('3A'!B31&lt;&gt;"",'3A'!C31,"")</f>
        <v/>
      </c>
      <c r="D631" s="78">
        <f>IF('3A'!B31&lt;&gt;"",'3A'!D31,"")</f>
        <v/>
      </c>
      <c r="E631" s="78">
        <f>IF('3A'!B31&lt;&gt;"",'3A'!E31,"")</f>
        <v/>
      </c>
      <c r="F631" s="78">
        <f>IF('3A'!B31&lt;&gt;"",'3A'!F31,"")</f>
        <v/>
      </c>
      <c r="G631" s="78">
        <f>IF('3A'!B31&lt;&gt;"",'3A'!G31,"")</f>
        <v/>
      </c>
      <c r="H631" s="97">
        <f>IF('3A'!B31&lt;&gt;"",'3A'!H31,"")</f>
        <v/>
      </c>
      <c r="I631" s="97">
        <f>IF('3A'!B31&lt;&gt;"",'3A'!I31,"")</f>
        <v/>
      </c>
      <c r="J631" s="78">
        <f>IF('3A'!B31&lt;&gt;"",'3A'!J31,"")</f>
        <v/>
      </c>
    </row>
    <row r="632" ht="15.75" customHeight="1" s="52">
      <c r="A632" s="92">
        <f>IF('3A'!B32&lt;&gt;"","3A","")</f>
        <v/>
      </c>
      <c r="B632" s="82">
        <f>IF('3A'!B32&lt;&gt;"",'3A'!B32,"")</f>
        <v/>
      </c>
      <c r="C632" s="82">
        <f>IF('3A'!B32&lt;&gt;"",'3A'!C32,"")</f>
        <v/>
      </c>
      <c r="D632" s="82">
        <f>IF('3A'!B32&lt;&gt;"",'3A'!D32,"")</f>
        <v/>
      </c>
      <c r="E632" s="82">
        <f>IF('3A'!B32&lt;&gt;"",'3A'!E32,"")</f>
        <v/>
      </c>
      <c r="F632" s="82">
        <f>IF('3A'!B32&lt;&gt;"",'3A'!F32,"")</f>
        <v/>
      </c>
      <c r="G632" s="82">
        <f>IF('3A'!B32&lt;&gt;"",'3A'!G32,"")</f>
        <v/>
      </c>
      <c r="H632" s="92">
        <f>IF('3A'!B32&lt;&gt;"",'3A'!H32,"")</f>
        <v/>
      </c>
      <c r="I632" s="92">
        <f>IF('3A'!B32&lt;&gt;"",'3A'!I32,"")</f>
        <v/>
      </c>
      <c r="J632" s="82">
        <f>IF('3A'!B32&lt;&gt;"",'3A'!J32,"")</f>
        <v/>
      </c>
    </row>
    <row r="633" ht="15.75" customHeight="1" s="52">
      <c r="A633" s="97">
        <f>IF('3A'!B33&lt;&gt;"","3A","")</f>
        <v/>
      </c>
      <c r="B633" s="78">
        <f>IF('3A'!B33&lt;&gt;"",'3A'!B33,"")</f>
        <v/>
      </c>
      <c r="C633" s="78">
        <f>IF('3A'!B33&lt;&gt;"",'3A'!C33,"")</f>
        <v/>
      </c>
      <c r="D633" s="78">
        <f>IF('3A'!B33&lt;&gt;"",'3A'!D33,"")</f>
        <v/>
      </c>
      <c r="E633" s="78">
        <f>IF('3A'!B33&lt;&gt;"",'3A'!E33,"")</f>
        <v/>
      </c>
      <c r="F633" s="78">
        <f>IF('3A'!B33&lt;&gt;"",'3A'!F33,"")</f>
        <v/>
      </c>
      <c r="G633" s="78">
        <f>IF('3A'!B33&lt;&gt;"",'3A'!G33,"")</f>
        <v/>
      </c>
      <c r="H633" s="97">
        <f>IF('3A'!B33&lt;&gt;"",'3A'!H33,"")</f>
        <v/>
      </c>
      <c r="I633" s="97">
        <f>IF('3A'!B33&lt;&gt;"",'3A'!I33,"")</f>
        <v/>
      </c>
      <c r="J633" s="78">
        <f>IF('3A'!B33&lt;&gt;"",'3A'!J33,"")</f>
        <v/>
      </c>
    </row>
    <row r="634" ht="15.75" customHeight="1" s="52">
      <c r="A634" s="92">
        <f>IF('3A'!B34&lt;&gt;"","3A","")</f>
        <v/>
      </c>
      <c r="B634" s="82">
        <f>IF('3A'!B34&lt;&gt;"",'3A'!B34,"")</f>
        <v/>
      </c>
      <c r="C634" s="82">
        <f>IF('3A'!B34&lt;&gt;"",'3A'!C34,"")</f>
        <v/>
      </c>
      <c r="D634" s="82">
        <f>IF('3A'!B34&lt;&gt;"",'3A'!D34,"")</f>
        <v/>
      </c>
      <c r="E634" s="82">
        <f>IF('3A'!B34&lt;&gt;"",'3A'!E34,"")</f>
        <v/>
      </c>
      <c r="F634" s="82">
        <f>IF('3A'!B34&lt;&gt;"",'3A'!F34,"")</f>
        <v/>
      </c>
      <c r="G634" s="82">
        <f>IF('3A'!B34&lt;&gt;"",'3A'!G34,"")</f>
        <v/>
      </c>
      <c r="H634" s="92">
        <f>IF('3A'!B34&lt;&gt;"",'3A'!H34,"")</f>
        <v/>
      </c>
      <c r="I634" s="92">
        <f>IF('3A'!B34&lt;&gt;"",'3A'!I34,"")</f>
        <v/>
      </c>
      <c r="J634" s="82">
        <f>IF('3A'!B34&lt;&gt;"",'3A'!J34,"")</f>
        <v/>
      </c>
    </row>
    <row r="635" ht="15.75" customHeight="1" s="52">
      <c r="A635" s="97">
        <f>IF('3A'!B35&lt;&gt;"","3A","")</f>
        <v/>
      </c>
      <c r="B635" s="78">
        <f>IF('3A'!B35&lt;&gt;"",'3A'!B35,"")</f>
        <v/>
      </c>
      <c r="C635" s="78">
        <f>IF('3A'!B35&lt;&gt;"",'3A'!C35,"")</f>
        <v/>
      </c>
      <c r="D635" s="78">
        <f>IF('3A'!B35&lt;&gt;"",'3A'!D35,"")</f>
        <v/>
      </c>
      <c r="E635" s="78">
        <f>IF('3A'!B35&lt;&gt;"",'3A'!E35,"")</f>
        <v/>
      </c>
      <c r="F635" s="78">
        <f>IF('3A'!B35&lt;&gt;"",'3A'!F35,"")</f>
        <v/>
      </c>
      <c r="G635" s="78">
        <f>IF('3A'!B35&lt;&gt;"",'3A'!G35,"")</f>
        <v/>
      </c>
      <c r="H635" s="97">
        <f>IF('3A'!B35&lt;&gt;"",'3A'!H35,"")</f>
        <v/>
      </c>
      <c r="I635" s="97">
        <f>IF('3A'!B35&lt;&gt;"",'3A'!I35,"")</f>
        <v/>
      </c>
      <c r="J635" s="78">
        <f>IF('3A'!B35&lt;&gt;"",'3A'!J35,"")</f>
        <v/>
      </c>
    </row>
    <row r="636" ht="15.75" customHeight="1" s="52">
      <c r="A636" s="92">
        <f>IF('3A'!B36&lt;&gt;"","3A","")</f>
        <v/>
      </c>
      <c r="B636" s="82">
        <f>IF('3A'!B36&lt;&gt;"",'3A'!B36,"")</f>
        <v/>
      </c>
      <c r="C636" s="82">
        <f>IF('3A'!B36&lt;&gt;"",'3A'!C36,"")</f>
        <v/>
      </c>
      <c r="D636" s="82">
        <f>IF('3A'!B36&lt;&gt;"",'3A'!D36,"")</f>
        <v/>
      </c>
      <c r="E636" s="82">
        <f>IF('3A'!B36&lt;&gt;"",'3A'!E36,"")</f>
        <v/>
      </c>
      <c r="F636" s="82">
        <f>IF('3A'!B36&lt;&gt;"",'3A'!F36,"")</f>
        <v/>
      </c>
      <c r="G636" s="82">
        <f>IF('3A'!B36&lt;&gt;"",'3A'!G36,"")</f>
        <v/>
      </c>
      <c r="H636" s="92">
        <f>IF('3A'!B36&lt;&gt;"",'3A'!H36,"")</f>
        <v/>
      </c>
      <c r="I636" s="92">
        <f>IF('3A'!B36&lt;&gt;"",'3A'!I36,"")</f>
        <v/>
      </c>
      <c r="J636" s="82">
        <f>IF('3A'!B36&lt;&gt;"",'3A'!J36,"")</f>
        <v/>
      </c>
    </row>
    <row r="637" ht="15.75" customHeight="1" s="52">
      <c r="A637" s="97">
        <f>IF('3A'!B37&lt;&gt;"","3A","")</f>
        <v/>
      </c>
      <c r="B637" s="78">
        <f>IF('3A'!B37&lt;&gt;"",'3A'!B37,"")</f>
        <v/>
      </c>
      <c r="C637" s="78">
        <f>IF('3A'!B37&lt;&gt;"",'3A'!C37,"")</f>
        <v/>
      </c>
      <c r="D637" s="78">
        <f>IF('3A'!B37&lt;&gt;"",'3A'!D37,"")</f>
        <v/>
      </c>
      <c r="E637" s="78">
        <f>IF('3A'!B37&lt;&gt;"",'3A'!E37,"")</f>
        <v/>
      </c>
      <c r="F637" s="78">
        <f>IF('3A'!B37&lt;&gt;"",'3A'!F37,"")</f>
        <v/>
      </c>
      <c r="G637" s="78">
        <f>IF('3A'!B37&lt;&gt;"",'3A'!G37,"")</f>
        <v/>
      </c>
      <c r="H637" s="97">
        <f>IF('3A'!B37&lt;&gt;"",'3A'!H37,"")</f>
        <v/>
      </c>
      <c r="I637" s="97">
        <f>IF('3A'!B37&lt;&gt;"",'3A'!I37,"")</f>
        <v/>
      </c>
      <c r="J637" s="78">
        <f>IF('3A'!B37&lt;&gt;"",'3A'!J37,"")</f>
        <v/>
      </c>
    </row>
    <row r="638" ht="15.75" customHeight="1" s="52">
      <c r="A638" s="92">
        <f>IF('3A'!B38&lt;&gt;"","3A","")</f>
        <v/>
      </c>
      <c r="B638" s="82">
        <f>IF('3A'!B38&lt;&gt;"",'3A'!B38,"")</f>
        <v/>
      </c>
      <c r="C638" s="82">
        <f>IF('3A'!B38&lt;&gt;"",'3A'!C38,"")</f>
        <v/>
      </c>
      <c r="D638" s="82">
        <f>IF('3A'!B38&lt;&gt;"",'3A'!D38,"")</f>
        <v/>
      </c>
      <c r="E638" s="82">
        <f>IF('3A'!B38&lt;&gt;"",'3A'!E38,"")</f>
        <v/>
      </c>
      <c r="F638" s="82">
        <f>IF('3A'!B38&lt;&gt;"",'3A'!F38,"")</f>
        <v/>
      </c>
      <c r="G638" s="82">
        <f>IF('3A'!B38&lt;&gt;"",'3A'!G38,"")</f>
        <v/>
      </c>
      <c r="H638" s="92">
        <f>IF('3A'!B38&lt;&gt;"",'3A'!H38,"")</f>
        <v/>
      </c>
      <c r="I638" s="92">
        <f>IF('3A'!B38&lt;&gt;"",'3A'!I38,"")</f>
        <v/>
      </c>
      <c r="J638" s="82">
        <f>IF('3A'!B38&lt;&gt;"",'3A'!J38,"")</f>
        <v/>
      </c>
    </row>
    <row r="639" ht="15.75" customHeight="1" s="52">
      <c r="A639" s="97">
        <f>IF('3A'!B39&lt;&gt;"","3A","")</f>
        <v/>
      </c>
      <c r="B639" s="78">
        <f>IF('3A'!B39&lt;&gt;"",'3A'!B39,"")</f>
        <v/>
      </c>
      <c r="C639" s="78">
        <f>IF('3A'!B39&lt;&gt;"",'3A'!C39,"")</f>
        <v/>
      </c>
      <c r="D639" s="78">
        <f>IF('3A'!B39&lt;&gt;"",'3A'!D39,"")</f>
        <v/>
      </c>
      <c r="E639" s="78">
        <f>IF('3A'!B39&lt;&gt;"",'3A'!E39,"")</f>
        <v/>
      </c>
      <c r="F639" s="78">
        <f>IF('3A'!B39&lt;&gt;"",'3A'!F39,"")</f>
        <v/>
      </c>
      <c r="G639" s="78">
        <f>IF('3A'!B39&lt;&gt;"",'3A'!G39,"")</f>
        <v/>
      </c>
      <c r="H639" s="97">
        <f>IF('3A'!B39&lt;&gt;"",'3A'!H39,"")</f>
        <v/>
      </c>
      <c r="I639" s="97">
        <f>IF('3A'!B39&lt;&gt;"",'3A'!I39,"")</f>
        <v/>
      </c>
      <c r="J639" s="78">
        <f>IF('3A'!B39&lt;&gt;"",'3A'!J39,"")</f>
        <v/>
      </c>
    </row>
    <row r="640" ht="15.75" customHeight="1" s="52">
      <c r="A640" s="92">
        <f>IF('3A'!B40&lt;&gt;"","3A","")</f>
        <v/>
      </c>
      <c r="B640" s="82">
        <f>IF('3A'!B40&lt;&gt;"",'3A'!B40,"")</f>
        <v/>
      </c>
      <c r="C640" s="82">
        <f>IF('3A'!B40&lt;&gt;"",'3A'!C40,"")</f>
        <v/>
      </c>
      <c r="D640" s="82">
        <f>IF('3A'!B40&lt;&gt;"",'3A'!D40,"")</f>
        <v/>
      </c>
      <c r="E640" s="82">
        <f>IF('3A'!B40&lt;&gt;"",'3A'!E40,"")</f>
        <v/>
      </c>
      <c r="F640" s="82">
        <f>IF('3A'!B40&lt;&gt;"",'3A'!F40,"")</f>
        <v/>
      </c>
      <c r="G640" s="82">
        <f>IF('3A'!B40&lt;&gt;"",'3A'!G40,"")</f>
        <v/>
      </c>
      <c r="H640" s="92">
        <f>IF('3A'!B40&lt;&gt;"",'3A'!H40,"")</f>
        <v/>
      </c>
      <c r="I640" s="92">
        <f>IF('3A'!B40&lt;&gt;"",'3A'!I40,"")</f>
        <v/>
      </c>
      <c r="J640" s="82">
        <f>IF('3A'!B40&lt;&gt;"",'3A'!J40,"")</f>
        <v/>
      </c>
    </row>
    <row r="641" ht="15.75" customHeight="1" s="52">
      <c r="A641" s="97">
        <f>IF('3A'!B41&lt;&gt;"","3A","")</f>
        <v/>
      </c>
      <c r="B641" s="78">
        <f>IF('3A'!B41&lt;&gt;"",'3A'!B41,"")</f>
        <v/>
      </c>
      <c r="C641" s="78">
        <f>IF('3A'!B41&lt;&gt;"",'3A'!C41,"")</f>
        <v/>
      </c>
      <c r="D641" s="78">
        <f>IF('3A'!B41&lt;&gt;"",'3A'!D41,"")</f>
        <v/>
      </c>
      <c r="E641" s="78">
        <f>IF('3A'!B41&lt;&gt;"",'3A'!E41,"")</f>
        <v/>
      </c>
      <c r="F641" s="78">
        <f>IF('3A'!B41&lt;&gt;"",'3A'!F41,"")</f>
        <v/>
      </c>
      <c r="G641" s="78">
        <f>IF('3A'!B41&lt;&gt;"",'3A'!G41,"")</f>
        <v/>
      </c>
      <c r="H641" s="97">
        <f>IF('3A'!B41&lt;&gt;"",'3A'!H41,"")</f>
        <v/>
      </c>
      <c r="I641" s="97">
        <f>IF('3A'!B41&lt;&gt;"",'3A'!I41,"")</f>
        <v/>
      </c>
      <c r="J641" s="78">
        <f>IF('3A'!B41&lt;&gt;"",'3A'!J41,"")</f>
        <v/>
      </c>
    </row>
    <row r="642" ht="15.75" customHeight="1" s="52">
      <c r="A642" s="92">
        <f>IF('3A'!B42&lt;&gt;"","3A","")</f>
        <v/>
      </c>
      <c r="B642" s="82">
        <f>IF('3A'!B42&lt;&gt;"",'3A'!B42,"")</f>
        <v/>
      </c>
      <c r="C642" s="82">
        <f>IF('3A'!B42&lt;&gt;"",'3A'!C42,"")</f>
        <v/>
      </c>
      <c r="D642" s="82">
        <f>IF('3A'!B42&lt;&gt;"",'3A'!D42,"")</f>
        <v/>
      </c>
      <c r="E642" s="82">
        <f>IF('3A'!B42&lt;&gt;"",'3A'!E42,"")</f>
        <v/>
      </c>
      <c r="F642" s="82">
        <f>IF('3A'!B42&lt;&gt;"",'3A'!F42,"")</f>
        <v/>
      </c>
      <c r="G642" s="82">
        <f>IF('3A'!B42&lt;&gt;"",'3A'!G42,"")</f>
        <v/>
      </c>
      <c r="H642" s="92">
        <f>IF('3A'!B42&lt;&gt;"",'3A'!H42,"")</f>
        <v/>
      </c>
      <c r="I642" s="92">
        <f>IF('3A'!B42&lt;&gt;"",'3A'!I42,"")</f>
        <v/>
      </c>
      <c r="J642" s="82">
        <f>IF('3A'!B42&lt;&gt;"",'3A'!J42,"")</f>
        <v/>
      </c>
    </row>
    <row r="643" ht="15.75" customHeight="1" s="52">
      <c r="A643" s="97">
        <f>IF('3A'!B43&lt;&gt;"","3A","")</f>
        <v/>
      </c>
      <c r="B643" s="78">
        <f>IF('3A'!B43&lt;&gt;"",'3A'!B43,"")</f>
        <v/>
      </c>
      <c r="C643" s="78">
        <f>IF('3A'!B43&lt;&gt;"",'3A'!C43,"")</f>
        <v/>
      </c>
      <c r="D643" s="78">
        <f>IF('3A'!B43&lt;&gt;"",'3A'!D43,"")</f>
        <v/>
      </c>
      <c r="E643" s="78">
        <f>IF('3A'!B43&lt;&gt;"",'3A'!E43,"")</f>
        <v/>
      </c>
      <c r="F643" s="78">
        <f>IF('3A'!B43&lt;&gt;"",'3A'!F43,"")</f>
        <v/>
      </c>
      <c r="G643" s="78">
        <f>IF('3A'!B43&lt;&gt;"",'3A'!G43,"")</f>
        <v/>
      </c>
      <c r="H643" s="97">
        <f>IF('3A'!B43&lt;&gt;"",'3A'!H43,"")</f>
        <v/>
      </c>
      <c r="I643" s="97">
        <f>IF('3A'!B43&lt;&gt;"",'3A'!I43,"")</f>
        <v/>
      </c>
      <c r="J643" s="78">
        <f>IF('3A'!B43&lt;&gt;"",'3A'!J43,"")</f>
        <v/>
      </c>
    </row>
    <row r="644" ht="15.75" customHeight="1" s="52">
      <c r="A644" s="92">
        <f>IF('3A'!B44&lt;&gt;"","3A","")</f>
        <v/>
      </c>
      <c r="B644" s="82">
        <f>IF('3A'!B44&lt;&gt;"",'3A'!B44,"")</f>
        <v/>
      </c>
      <c r="C644" s="82">
        <f>IF('3A'!B44&lt;&gt;"",'3A'!C44,"")</f>
        <v/>
      </c>
      <c r="D644" s="82">
        <f>IF('3A'!B44&lt;&gt;"",'3A'!D44,"")</f>
        <v/>
      </c>
      <c r="E644" s="82">
        <f>IF('3A'!B44&lt;&gt;"",'3A'!E44,"")</f>
        <v/>
      </c>
      <c r="F644" s="82">
        <f>IF('3A'!B44&lt;&gt;"",'3A'!F44,"")</f>
        <v/>
      </c>
      <c r="G644" s="82">
        <f>IF('3A'!B44&lt;&gt;"",'3A'!G44,"")</f>
        <v/>
      </c>
      <c r="H644" s="92">
        <f>IF('3A'!B44&lt;&gt;"",'3A'!H44,"")</f>
        <v/>
      </c>
      <c r="I644" s="92">
        <f>IF('3A'!B44&lt;&gt;"",'3A'!I44,"")</f>
        <v/>
      </c>
      <c r="J644" s="82">
        <f>IF('3A'!B44&lt;&gt;"",'3A'!J44,"")</f>
        <v/>
      </c>
    </row>
    <row r="645" ht="15.75" customHeight="1" s="52">
      <c r="A645" s="97">
        <f>IF('3A'!B45&lt;&gt;"","3A","")</f>
        <v/>
      </c>
      <c r="B645" s="78">
        <f>IF('3A'!B45&lt;&gt;"",'3A'!B45,"")</f>
        <v/>
      </c>
      <c r="C645" s="78">
        <f>IF('3A'!B45&lt;&gt;"",'3A'!C45,"")</f>
        <v/>
      </c>
      <c r="D645" s="78">
        <f>IF('3A'!B45&lt;&gt;"",'3A'!D45,"")</f>
        <v/>
      </c>
      <c r="E645" s="78">
        <f>IF('3A'!B45&lt;&gt;"",'3A'!E45,"")</f>
        <v/>
      </c>
      <c r="F645" s="78">
        <f>IF('3A'!B45&lt;&gt;"",'3A'!F45,"")</f>
        <v/>
      </c>
      <c r="G645" s="78">
        <f>IF('3A'!B45&lt;&gt;"",'3A'!G45,"")</f>
        <v/>
      </c>
      <c r="H645" s="97">
        <f>IF('3A'!B45&lt;&gt;"",'3A'!H45,"")</f>
        <v/>
      </c>
      <c r="I645" s="97">
        <f>IF('3A'!B45&lt;&gt;"",'3A'!I45,"")</f>
        <v/>
      </c>
      <c r="J645" s="78">
        <f>IF('3A'!B45&lt;&gt;"",'3A'!J45,"")</f>
        <v/>
      </c>
    </row>
    <row r="646" ht="15.75" customHeight="1" s="52">
      <c r="A646" s="92">
        <f>IF('3A'!B46&lt;&gt;"","3A","")</f>
        <v/>
      </c>
      <c r="B646" s="82">
        <f>IF('3A'!B46&lt;&gt;"",'3A'!B46,"")</f>
        <v/>
      </c>
      <c r="C646" s="82">
        <f>IF('3A'!B46&lt;&gt;"",'3A'!C46,"")</f>
        <v/>
      </c>
      <c r="D646" s="82">
        <f>IF('3A'!B46&lt;&gt;"",'3A'!D46,"")</f>
        <v/>
      </c>
      <c r="E646" s="82">
        <f>IF('3A'!B46&lt;&gt;"",'3A'!E46,"")</f>
        <v/>
      </c>
      <c r="F646" s="82">
        <f>IF('3A'!B46&lt;&gt;"",'3A'!F46,"")</f>
        <v/>
      </c>
      <c r="G646" s="82">
        <f>IF('3A'!B46&lt;&gt;"",'3A'!G46,"")</f>
        <v/>
      </c>
      <c r="H646" s="92">
        <f>IF('3A'!B46&lt;&gt;"",'3A'!H46,"")</f>
        <v/>
      </c>
      <c r="I646" s="92">
        <f>IF('3A'!B46&lt;&gt;"",'3A'!I46,"")</f>
        <v/>
      </c>
      <c r="J646" s="82">
        <f>IF('3A'!B46&lt;&gt;"",'3A'!J46,"")</f>
        <v/>
      </c>
    </row>
    <row r="647" ht="15.75" customHeight="1" s="52">
      <c r="A647" s="97">
        <f>IF('3A'!B47&lt;&gt;"","3A","")</f>
        <v/>
      </c>
      <c r="B647" s="78">
        <f>IF('3A'!B47&lt;&gt;"",'3A'!B47,"")</f>
        <v/>
      </c>
      <c r="C647" s="78">
        <f>IF('3A'!B47&lt;&gt;"",'3A'!C47,"")</f>
        <v/>
      </c>
      <c r="D647" s="78">
        <f>IF('3A'!B47&lt;&gt;"",'3A'!D47,"")</f>
        <v/>
      </c>
      <c r="E647" s="78">
        <f>IF('3A'!B47&lt;&gt;"",'3A'!E47,"")</f>
        <v/>
      </c>
      <c r="F647" s="78">
        <f>IF('3A'!B47&lt;&gt;"",'3A'!F47,"")</f>
        <v/>
      </c>
      <c r="G647" s="78">
        <f>IF('3A'!B47&lt;&gt;"",'3A'!G47,"")</f>
        <v/>
      </c>
      <c r="H647" s="97">
        <f>IF('3A'!B47&lt;&gt;"",'3A'!H47,"")</f>
        <v/>
      </c>
      <c r="I647" s="97">
        <f>IF('3A'!B47&lt;&gt;"",'3A'!I47,"")</f>
        <v/>
      </c>
      <c r="J647" s="78">
        <f>IF('3A'!B47&lt;&gt;"",'3A'!J47,"")</f>
        <v/>
      </c>
    </row>
    <row r="648" ht="15.75" customHeight="1" s="52">
      <c r="A648" s="92">
        <f>IF('3A'!B48&lt;&gt;"","3A","")</f>
        <v/>
      </c>
      <c r="B648" s="82">
        <f>IF('3A'!B48&lt;&gt;"",'3A'!B48,"")</f>
        <v/>
      </c>
      <c r="C648" s="82">
        <f>IF('3A'!B48&lt;&gt;"",'3A'!C48,"")</f>
        <v/>
      </c>
      <c r="D648" s="82">
        <f>IF('3A'!B48&lt;&gt;"",'3A'!D48,"")</f>
        <v/>
      </c>
      <c r="E648" s="82">
        <f>IF('3A'!B48&lt;&gt;"",'3A'!E48,"")</f>
        <v/>
      </c>
      <c r="F648" s="82">
        <f>IF('3A'!B48&lt;&gt;"",'3A'!F48,"")</f>
        <v/>
      </c>
      <c r="G648" s="82">
        <f>IF('3A'!B48&lt;&gt;"",'3A'!G48,"")</f>
        <v/>
      </c>
      <c r="H648" s="92">
        <f>IF('3A'!B48&lt;&gt;"",'3A'!H48,"")</f>
        <v/>
      </c>
      <c r="I648" s="92">
        <f>IF('3A'!B48&lt;&gt;"",'3A'!I48,"")</f>
        <v/>
      </c>
      <c r="J648" s="82">
        <f>IF('3A'!B48&lt;&gt;"",'3A'!J48,"")</f>
        <v/>
      </c>
    </row>
    <row r="649" ht="15.75" customHeight="1" s="52">
      <c r="A649" s="97">
        <f>IF('3A'!B49&lt;&gt;"","3A","")</f>
        <v/>
      </c>
      <c r="B649" s="78">
        <f>IF('3A'!B49&lt;&gt;"",'3A'!B49,"")</f>
        <v/>
      </c>
      <c r="C649" s="78">
        <f>IF('3A'!B49&lt;&gt;"",'3A'!C49,"")</f>
        <v/>
      </c>
      <c r="D649" s="78">
        <f>IF('3A'!B49&lt;&gt;"",'3A'!D49,"")</f>
        <v/>
      </c>
      <c r="E649" s="78">
        <f>IF('3A'!B49&lt;&gt;"",'3A'!E49,"")</f>
        <v/>
      </c>
      <c r="F649" s="78">
        <f>IF('3A'!B49&lt;&gt;"",'3A'!F49,"")</f>
        <v/>
      </c>
      <c r="G649" s="78">
        <f>IF('3A'!B49&lt;&gt;"",'3A'!G49,"")</f>
        <v/>
      </c>
      <c r="H649" s="97">
        <f>IF('3A'!B49&lt;&gt;"",'3A'!H49,"")</f>
        <v/>
      </c>
      <c r="I649" s="97">
        <f>IF('3A'!B49&lt;&gt;"",'3A'!I49,"")</f>
        <v/>
      </c>
      <c r="J649" s="78">
        <f>IF('3A'!B49&lt;&gt;"",'3A'!J49,"")</f>
        <v/>
      </c>
    </row>
    <row r="650" ht="15.75" customHeight="1" s="52">
      <c r="A650" s="92">
        <f>IF('3A'!B50&lt;&gt;"","3A","")</f>
        <v/>
      </c>
      <c r="B650" s="82">
        <f>IF('3A'!B50&lt;&gt;"",'3A'!B50,"")</f>
        <v/>
      </c>
      <c r="C650" s="82">
        <f>IF('3A'!B50&lt;&gt;"",'3A'!C50,"")</f>
        <v/>
      </c>
      <c r="D650" s="82">
        <f>IF('3A'!B50&lt;&gt;"",'3A'!D50,"")</f>
        <v/>
      </c>
      <c r="E650" s="82">
        <f>IF('3A'!B50&lt;&gt;"",'3A'!E50,"")</f>
        <v/>
      </c>
      <c r="F650" s="82">
        <f>IF('3A'!B50&lt;&gt;"",'3A'!F50,"")</f>
        <v/>
      </c>
      <c r="G650" s="82">
        <f>IF('3A'!B50&lt;&gt;"",'3A'!G50,"")</f>
        <v/>
      </c>
      <c r="H650" s="92">
        <f>IF('3A'!B50&lt;&gt;"",'3A'!H50,"")</f>
        <v/>
      </c>
      <c r="I650" s="92">
        <f>IF('3A'!B50&lt;&gt;"",'3A'!I50,"")</f>
        <v/>
      </c>
      <c r="J650" s="82">
        <f>IF('3A'!B50&lt;&gt;"",'3A'!J50,"")</f>
        <v/>
      </c>
    </row>
    <row r="651" ht="15.75" customHeight="1" s="52">
      <c r="A651" s="97">
        <f>IF('3A'!B51&lt;&gt;"","3A","")</f>
        <v/>
      </c>
      <c r="B651" s="78">
        <f>IF('3A'!B51&lt;&gt;"",'3A'!B51,"")</f>
        <v/>
      </c>
      <c r="C651" s="78">
        <f>IF('3A'!B51&lt;&gt;"",'3A'!C51,"")</f>
        <v/>
      </c>
      <c r="D651" s="78">
        <f>IF('3A'!B51&lt;&gt;"",'3A'!D51,"")</f>
        <v/>
      </c>
      <c r="E651" s="78">
        <f>IF('3A'!B51&lt;&gt;"",'3A'!E51,"")</f>
        <v/>
      </c>
      <c r="F651" s="78">
        <f>IF('3A'!B51&lt;&gt;"",'3A'!F51,"")</f>
        <v/>
      </c>
      <c r="G651" s="78">
        <f>IF('3A'!B51&lt;&gt;"",'3A'!G51,"")</f>
        <v/>
      </c>
      <c r="H651" s="97">
        <f>IF('3A'!B51&lt;&gt;"",'3A'!H51,"")</f>
        <v/>
      </c>
      <c r="I651" s="97">
        <f>IF('3A'!B51&lt;&gt;"",'3A'!I51,"")</f>
        <v/>
      </c>
      <c r="J651" s="78">
        <f>IF('3A'!B51&lt;&gt;"",'3A'!J51,"")</f>
        <v/>
      </c>
    </row>
    <row r="652" ht="15.75" customHeight="1" s="52">
      <c r="A652" s="92">
        <f>IF('3A'!B52&lt;&gt;"","3A","")</f>
        <v/>
      </c>
      <c r="B652" s="82">
        <f>IF('3A'!B52&lt;&gt;"",'3A'!B52,"")</f>
        <v/>
      </c>
      <c r="C652" s="82">
        <f>IF('3A'!B52&lt;&gt;"",'3A'!C52,"")</f>
        <v/>
      </c>
      <c r="D652" s="82">
        <f>IF('3A'!B52&lt;&gt;"",'3A'!D52,"")</f>
        <v/>
      </c>
      <c r="E652" s="82">
        <f>IF('3A'!B52&lt;&gt;"",'3A'!E52,"")</f>
        <v/>
      </c>
      <c r="F652" s="82">
        <f>IF('3A'!B52&lt;&gt;"",'3A'!F52,"")</f>
        <v/>
      </c>
      <c r="G652" s="82">
        <f>IF('3A'!B52&lt;&gt;"",'3A'!G52,"")</f>
        <v/>
      </c>
      <c r="H652" s="92">
        <f>IF('3A'!B52&lt;&gt;"",'3A'!H52,"")</f>
        <v/>
      </c>
      <c r="I652" s="92">
        <f>IF('3A'!B52&lt;&gt;"",'3A'!I52,"")</f>
        <v/>
      </c>
      <c r="J652" s="82">
        <f>IF('3A'!B52&lt;&gt;"",'3A'!J52,"")</f>
        <v/>
      </c>
    </row>
    <row r="653" ht="15.75" customHeight="1" s="52">
      <c r="A653" s="97">
        <f>IF('3A'!B53&lt;&gt;"","3A","")</f>
        <v/>
      </c>
      <c r="B653" s="78">
        <f>IF('3A'!B53&lt;&gt;"",'3A'!B53,"")</f>
        <v/>
      </c>
      <c r="C653" s="78">
        <f>IF('3A'!B53&lt;&gt;"",'3A'!C53,"")</f>
        <v/>
      </c>
      <c r="D653" s="78">
        <f>IF('3A'!B53&lt;&gt;"",'3A'!D53,"")</f>
        <v/>
      </c>
      <c r="E653" s="78">
        <f>IF('3A'!B53&lt;&gt;"",'3A'!E53,"")</f>
        <v/>
      </c>
      <c r="F653" s="78">
        <f>IF('3A'!B53&lt;&gt;"",'3A'!F53,"")</f>
        <v/>
      </c>
      <c r="G653" s="78">
        <f>IF('3A'!B53&lt;&gt;"",'3A'!G53,"")</f>
        <v/>
      </c>
      <c r="H653" s="97">
        <f>IF('3A'!B53&lt;&gt;"",'3A'!H53,"")</f>
        <v/>
      </c>
      <c r="I653" s="97">
        <f>IF('3A'!B53&lt;&gt;"",'3A'!I53,"")</f>
        <v/>
      </c>
      <c r="J653" s="78">
        <f>IF('3A'!B53&lt;&gt;"",'3A'!J53,"")</f>
        <v/>
      </c>
    </row>
    <row r="654" ht="15.75" customHeight="1" s="52">
      <c r="A654" s="92">
        <f>IF('3A'!B54&lt;&gt;"","3A","")</f>
        <v/>
      </c>
      <c r="B654" s="82">
        <f>IF('3A'!B54&lt;&gt;"",'3A'!B54,"")</f>
        <v/>
      </c>
      <c r="C654" s="82">
        <f>IF('3A'!B54&lt;&gt;"",'3A'!C54,"")</f>
        <v/>
      </c>
      <c r="D654" s="82">
        <f>IF('3A'!B54&lt;&gt;"",'3A'!D54,"")</f>
        <v/>
      </c>
      <c r="E654" s="82">
        <f>IF('3A'!B54&lt;&gt;"",'3A'!E54,"")</f>
        <v/>
      </c>
      <c r="F654" s="82">
        <f>IF('3A'!B54&lt;&gt;"",'3A'!F54,"")</f>
        <v/>
      </c>
      <c r="G654" s="82">
        <f>IF('3A'!B54&lt;&gt;"",'3A'!G54,"")</f>
        <v/>
      </c>
      <c r="H654" s="92">
        <f>IF('3A'!B54&lt;&gt;"",'3A'!H54,"")</f>
        <v/>
      </c>
      <c r="I654" s="92">
        <f>IF('3A'!B54&lt;&gt;"",'3A'!I54,"")</f>
        <v/>
      </c>
      <c r="J654" s="82">
        <f>IF('3A'!B54&lt;&gt;"",'3A'!J54,"")</f>
        <v/>
      </c>
    </row>
    <row r="655" ht="15.75" customHeight="1" s="52">
      <c r="A655" s="97">
        <f>IF('3B'!B5&lt;&gt;"","3B","")</f>
        <v/>
      </c>
      <c r="B655" s="78">
        <f>IF('3B'!B5&lt;&gt;"",'3B'!B5,"")</f>
        <v/>
      </c>
      <c r="C655" s="78">
        <f>IF('3B'!B5&lt;&gt;"",'3B'!C5,"")</f>
        <v/>
      </c>
      <c r="D655" s="78">
        <f>IF('3B'!B5&lt;&gt;"",'3B'!D5,"")</f>
        <v/>
      </c>
      <c r="E655" s="78">
        <f>IF('3B'!B5&lt;&gt;"",'3B'!E5,"")</f>
        <v/>
      </c>
      <c r="F655" s="78">
        <f>IF('3B'!B5&lt;&gt;"",'3B'!F5,"")</f>
        <v/>
      </c>
      <c r="G655" s="78">
        <f>IF('3B'!B5&lt;&gt;"",'3B'!G5,"")</f>
        <v/>
      </c>
      <c r="H655" s="97">
        <f>IF('3B'!B5&lt;&gt;"",'3B'!H5,"")</f>
        <v/>
      </c>
      <c r="I655" s="97">
        <f>IF('3B'!B5&lt;&gt;"",'3B'!I5,"")</f>
        <v/>
      </c>
      <c r="J655" s="78">
        <f>IF('3B'!B5&lt;&gt;"",'3B'!J5,"")</f>
        <v/>
      </c>
    </row>
    <row r="656" ht="15.75" customHeight="1" s="52">
      <c r="A656" s="92">
        <f>IF('3B'!B6&lt;&gt;"","3B","")</f>
        <v/>
      </c>
      <c r="B656" s="82">
        <f>IF('3B'!B6&lt;&gt;"",'3B'!B6,"")</f>
        <v/>
      </c>
      <c r="C656" s="82">
        <f>IF('3B'!B6&lt;&gt;"",'3B'!C6,"")</f>
        <v/>
      </c>
      <c r="D656" s="82">
        <f>IF('3B'!B6&lt;&gt;"",'3B'!D6,"")</f>
        <v/>
      </c>
      <c r="E656" s="82">
        <f>IF('3B'!B6&lt;&gt;"",'3B'!E6,"")</f>
        <v/>
      </c>
      <c r="F656" s="82">
        <f>IF('3B'!B6&lt;&gt;"",'3B'!F6,"")</f>
        <v/>
      </c>
      <c r="G656" s="82">
        <f>IF('3B'!B6&lt;&gt;"",'3B'!G6,"")</f>
        <v/>
      </c>
      <c r="H656" s="92">
        <f>IF('3B'!B6&lt;&gt;"",'3B'!H6,"")</f>
        <v/>
      </c>
      <c r="I656" s="92">
        <f>IF('3B'!B6&lt;&gt;"",'3B'!I6,"")</f>
        <v/>
      </c>
      <c r="J656" s="82">
        <f>IF('3B'!B6&lt;&gt;"",'3B'!J6,"")</f>
        <v/>
      </c>
    </row>
    <row r="657" ht="15.75" customHeight="1" s="52">
      <c r="A657" s="97">
        <f>IF('3B'!B7&lt;&gt;"","3B","")</f>
        <v/>
      </c>
      <c r="B657" s="78">
        <f>IF('3B'!B7&lt;&gt;"",'3B'!B7,"")</f>
        <v/>
      </c>
      <c r="C657" s="78">
        <f>IF('3B'!B7&lt;&gt;"",'3B'!C7,"")</f>
        <v/>
      </c>
      <c r="D657" s="78">
        <f>IF('3B'!B7&lt;&gt;"",'3B'!D7,"")</f>
        <v/>
      </c>
      <c r="E657" s="78">
        <f>IF('3B'!B7&lt;&gt;"",'3B'!E7,"")</f>
        <v/>
      </c>
      <c r="F657" s="78">
        <f>IF('3B'!B7&lt;&gt;"",'3B'!F7,"")</f>
        <v/>
      </c>
      <c r="G657" s="78">
        <f>IF('3B'!B7&lt;&gt;"",'3B'!G7,"")</f>
        <v/>
      </c>
      <c r="H657" s="97">
        <f>IF('3B'!B7&lt;&gt;"",'3B'!H7,"")</f>
        <v/>
      </c>
      <c r="I657" s="97">
        <f>IF('3B'!B7&lt;&gt;"",'3B'!I7,"")</f>
        <v/>
      </c>
      <c r="J657" s="78">
        <f>IF('3B'!B7&lt;&gt;"",'3B'!J7,"")</f>
        <v/>
      </c>
    </row>
    <row r="658" ht="15.75" customHeight="1" s="52">
      <c r="A658" s="92">
        <f>IF('3B'!B8&lt;&gt;"","3B","")</f>
        <v/>
      </c>
      <c r="B658" s="82">
        <f>IF('3B'!B8&lt;&gt;"",'3B'!B8,"")</f>
        <v/>
      </c>
      <c r="C658" s="82">
        <f>IF('3B'!B8&lt;&gt;"",'3B'!C8,"")</f>
        <v/>
      </c>
      <c r="D658" s="82">
        <f>IF('3B'!B8&lt;&gt;"",'3B'!D8,"")</f>
        <v/>
      </c>
      <c r="E658" s="82">
        <f>IF('3B'!B8&lt;&gt;"",'3B'!E8,"")</f>
        <v/>
      </c>
      <c r="F658" s="82">
        <f>IF('3B'!B8&lt;&gt;"",'3B'!F8,"")</f>
        <v/>
      </c>
      <c r="G658" s="82">
        <f>IF('3B'!B8&lt;&gt;"",'3B'!G8,"")</f>
        <v/>
      </c>
      <c r="H658" s="92">
        <f>IF('3B'!B8&lt;&gt;"",'3B'!H8,"")</f>
        <v/>
      </c>
      <c r="I658" s="92">
        <f>IF('3B'!B8&lt;&gt;"",'3B'!I8,"")</f>
        <v/>
      </c>
      <c r="J658" s="82">
        <f>IF('3B'!B8&lt;&gt;"",'3B'!J8,"")</f>
        <v/>
      </c>
    </row>
    <row r="659" ht="15.75" customHeight="1" s="52">
      <c r="A659" s="97">
        <f>IF('3B'!B9&lt;&gt;"","3B","")</f>
        <v/>
      </c>
      <c r="B659" s="78">
        <f>IF('3B'!B9&lt;&gt;"",'3B'!B9,"")</f>
        <v/>
      </c>
      <c r="C659" s="78">
        <f>IF('3B'!B9&lt;&gt;"",'3B'!C9,"")</f>
        <v/>
      </c>
      <c r="D659" s="78">
        <f>IF('3B'!B9&lt;&gt;"",'3B'!D9,"")</f>
        <v/>
      </c>
      <c r="E659" s="78">
        <f>IF('3B'!B9&lt;&gt;"",'3B'!E9,"")</f>
        <v/>
      </c>
      <c r="F659" s="78">
        <f>IF('3B'!B9&lt;&gt;"",'3B'!F9,"")</f>
        <v/>
      </c>
      <c r="G659" s="78">
        <f>IF('3B'!B9&lt;&gt;"",'3B'!G9,"")</f>
        <v/>
      </c>
      <c r="H659" s="97">
        <f>IF('3B'!B9&lt;&gt;"",'3B'!H9,"")</f>
        <v/>
      </c>
      <c r="I659" s="97">
        <f>IF('3B'!B9&lt;&gt;"",'3B'!I9,"")</f>
        <v/>
      </c>
      <c r="J659" s="78">
        <f>IF('3B'!B9&lt;&gt;"",'3B'!J9,"")</f>
        <v/>
      </c>
    </row>
    <row r="660" ht="15.75" customHeight="1" s="52">
      <c r="A660" s="92">
        <f>IF('3B'!B10&lt;&gt;"","3B","")</f>
        <v/>
      </c>
      <c r="B660" s="82">
        <f>IF('3B'!B10&lt;&gt;"",'3B'!B10,"")</f>
        <v/>
      </c>
      <c r="C660" s="82">
        <f>IF('3B'!B10&lt;&gt;"",'3B'!C10,"")</f>
        <v/>
      </c>
      <c r="D660" s="82">
        <f>IF('3B'!B10&lt;&gt;"",'3B'!D10,"")</f>
        <v/>
      </c>
      <c r="E660" s="82">
        <f>IF('3B'!B10&lt;&gt;"",'3B'!E10,"")</f>
        <v/>
      </c>
      <c r="F660" s="82">
        <f>IF('3B'!B10&lt;&gt;"",'3B'!F10,"")</f>
        <v/>
      </c>
      <c r="G660" s="82">
        <f>IF('3B'!B10&lt;&gt;"",'3B'!G10,"")</f>
        <v/>
      </c>
      <c r="H660" s="92">
        <f>IF('3B'!B10&lt;&gt;"",'3B'!H10,"")</f>
        <v/>
      </c>
      <c r="I660" s="92">
        <f>IF('3B'!B10&lt;&gt;"",'3B'!I10,"")</f>
        <v/>
      </c>
      <c r="J660" s="82">
        <f>IF('3B'!B10&lt;&gt;"",'3B'!J10,"")</f>
        <v/>
      </c>
    </row>
    <row r="661" ht="15.75" customHeight="1" s="52">
      <c r="A661" s="97">
        <f>IF('3B'!B11&lt;&gt;"","3B","")</f>
        <v/>
      </c>
      <c r="B661" s="78">
        <f>IF('3B'!B11&lt;&gt;"",'3B'!B11,"")</f>
        <v/>
      </c>
      <c r="C661" s="78">
        <f>IF('3B'!B11&lt;&gt;"",'3B'!C11,"")</f>
        <v/>
      </c>
      <c r="D661" s="78">
        <f>IF('3B'!B11&lt;&gt;"",'3B'!D11,"")</f>
        <v/>
      </c>
      <c r="E661" s="78">
        <f>IF('3B'!B11&lt;&gt;"",'3B'!E11,"")</f>
        <v/>
      </c>
      <c r="F661" s="78">
        <f>IF('3B'!B11&lt;&gt;"",'3B'!F11,"")</f>
        <v/>
      </c>
      <c r="G661" s="78">
        <f>IF('3B'!B11&lt;&gt;"",'3B'!G11,"")</f>
        <v/>
      </c>
      <c r="H661" s="97">
        <f>IF('3B'!B11&lt;&gt;"",'3B'!H11,"")</f>
        <v/>
      </c>
      <c r="I661" s="97">
        <f>IF('3B'!B11&lt;&gt;"",'3B'!I11,"")</f>
        <v/>
      </c>
      <c r="J661" s="78">
        <f>IF('3B'!B11&lt;&gt;"",'3B'!J11,"")</f>
        <v/>
      </c>
    </row>
    <row r="662" ht="15.75" customHeight="1" s="52">
      <c r="A662" s="92">
        <f>IF('3B'!B12&lt;&gt;"","3B","")</f>
        <v/>
      </c>
      <c r="B662" s="82">
        <f>IF('3B'!B12&lt;&gt;"",'3B'!B12,"")</f>
        <v/>
      </c>
      <c r="C662" s="82">
        <f>IF('3B'!B12&lt;&gt;"",'3B'!C12,"")</f>
        <v/>
      </c>
      <c r="D662" s="82">
        <f>IF('3B'!B12&lt;&gt;"",'3B'!D12,"")</f>
        <v/>
      </c>
      <c r="E662" s="82">
        <f>IF('3B'!B12&lt;&gt;"",'3B'!E12,"")</f>
        <v/>
      </c>
      <c r="F662" s="82">
        <f>IF('3B'!B12&lt;&gt;"",'3B'!F12,"")</f>
        <v/>
      </c>
      <c r="G662" s="82">
        <f>IF('3B'!B12&lt;&gt;"",'3B'!G12,"")</f>
        <v/>
      </c>
      <c r="H662" s="92">
        <f>IF('3B'!B12&lt;&gt;"",'3B'!H12,"")</f>
        <v/>
      </c>
      <c r="I662" s="92">
        <f>IF('3B'!B12&lt;&gt;"",'3B'!I12,"")</f>
        <v/>
      </c>
      <c r="J662" s="82">
        <f>IF('3B'!B12&lt;&gt;"",'3B'!J12,"")</f>
        <v/>
      </c>
    </row>
    <row r="663" ht="15.75" customHeight="1" s="52">
      <c r="A663" s="97">
        <f>IF('3B'!B13&lt;&gt;"","3B","")</f>
        <v/>
      </c>
      <c r="B663" s="78">
        <f>IF('3B'!B13&lt;&gt;"",'3B'!B13,"")</f>
        <v/>
      </c>
      <c r="C663" s="78">
        <f>IF('3B'!B13&lt;&gt;"",'3B'!C13,"")</f>
        <v/>
      </c>
      <c r="D663" s="78">
        <f>IF('3B'!B13&lt;&gt;"",'3B'!D13,"")</f>
        <v/>
      </c>
      <c r="E663" s="78">
        <f>IF('3B'!B13&lt;&gt;"",'3B'!E13,"")</f>
        <v/>
      </c>
      <c r="F663" s="78">
        <f>IF('3B'!B13&lt;&gt;"",'3B'!F13,"")</f>
        <v/>
      </c>
      <c r="G663" s="78">
        <f>IF('3B'!B13&lt;&gt;"",'3B'!G13,"")</f>
        <v/>
      </c>
      <c r="H663" s="97">
        <f>IF('3B'!B13&lt;&gt;"",'3B'!H13,"")</f>
        <v/>
      </c>
      <c r="I663" s="97">
        <f>IF('3B'!B13&lt;&gt;"",'3B'!I13,"")</f>
        <v/>
      </c>
      <c r="J663" s="78">
        <f>IF('3B'!B13&lt;&gt;"",'3B'!J13,"")</f>
        <v/>
      </c>
    </row>
    <row r="664" ht="15.75" customHeight="1" s="52">
      <c r="A664" s="92">
        <f>IF('3B'!B14&lt;&gt;"","3B","")</f>
        <v/>
      </c>
      <c r="B664" s="82">
        <f>IF('3B'!B14&lt;&gt;"",'3B'!B14,"")</f>
        <v/>
      </c>
      <c r="C664" s="82">
        <f>IF('3B'!B14&lt;&gt;"",'3B'!C14,"")</f>
        <v/>
      </c>
      <c r="D664" s="82">
        <f>IF('3B'!B14&lt;&gt;"",'3B'!D14,"")</f>
        <v/>
      </c>
      <c r="E664" s="82">
        <f>IF('3B'!B14&lt;&gt;"",'3B'!E14,"")</f>
        <v/>
      </c>
      <c r="F664" s="82">
        <f>IF('3B'!B14&lt;&gt;"",'3B'!F14,"")</f>
        <v/>
      </c>
      <c r="G664" s="82">
        <f>IF('3B'!B14&lt;&gt;"",'3B'!G14,"")</f>
        <v/>
      </c>
      <c r="H664" s="92">
        <f>IF('3B'!B14&lt;&gt;"",'3B'!H14,"")</f>
        <v/>
      </c>
      <c r="I664" s="92">
        <f>IF('3B'!B14&lt;&gt;"",'3B'!I14,"")</f>
        <v/>
      </c>
      <c r="J664" s="82">
        <f>IF('3B'!B14&lt;&gt;"",'3B'!J14,"")</f>
        <v/>
      </c>
    </row>
    <row r="665" ht="15.75" customHeight="1" s="52">
      <c r="A665" s="97">
        <f>IF('3B'!B15&lt;&gt;"","3B","")</f>
        <v/>
      </c>
      <c r="B665" s="78">
        <f>IF('3B'!B15&lt;&gt;"",'3B'!B15,"")</f>
        <v/>
      </c>
      <c r="C665" s="78">
        <f>IF('3B'!B15&lt;&gt;"",'3B'!C15,"")</f>
        <v/>
      </c>
      <c r="D665" s="78">
        <f>IF('3B'!B15&lt;&gt;"",'3B'!D15,"")</f>
        <v/>
      </c>
      <c r="E665" s="78">
        <f>IF('3B'!B15&lt;&gt;"",'3B'!E15,"")</f>
        <v/>
      </c>
      <c r="F665" s="78">
        <f>IF('3B'!B15&lt;&gt;"",'3B'!F15,"")</f>
        <v/>
      </c>
      <c r="G665" s="78">
        <f>IF('3B'!B15&lt;&gt;"",'3B'!G15,"")</f>
        <v/>
      </c>
      <c r="H665" s="97">
        <f>IF('3B'!B15&lt;&gt;"",'3B'!H15,"")</f>
        <v/>
      </c>
      <c r="I665" s="97">
        <f>IF('3B'!B15&lt;&gt;"",'3B'!I15,"")</f>
        <v/>
      </c>
      <c r="J665" s="78">
        <f>IF('3B'!B15&lt;&gt;"",'3B'!J15,"")</f>
        <v/>
      </c>
    </row>
    <row r="666" ht="15.75" customHeight="1" s="52">
      <c r="A666" s="92">
        <f>IF('3B'!B16&lt;&gt;"","3B","")</f>
        <v/>
      </c>
      <c r="B666" s="82">
        <f>IF('3B'!B16&lt;&gt;"",'3B'!B16,"")</f>
        <v/>
      </c>
      <c r="C666" s="82">
        <f>IF('3B'!B16&lt;&gt;"",'3B'!C16,"")</f>
        <v/>
      </c>
      <c r="D666" s="82">
        <f>IF('3B'!B16&lt;&gt;"",'3B'!D16,"")</f>
        <v/>
      </c>
      <c r="E666" s="82">
        <f>IF('3B'!B16&lt;&gt;"",'3B'!E16,"")</f>
        <v/>
      </c>
      <c r="F666" s="82">
        <f>IF('3B'!B16&lt;&gt;"",'3B'!F16,"")</f>
        <v/>
      </c>
      <c r="G666" s="82">
        <f>IF('3B'!B16&lt;&gt;"",'3B'!G16,"")</f>
        <v/>
      </c>
      <c r="H666" s="92">
        <f>IF('3B'!B16&lt;&gt;"",'3B'!H16,"")</f>
        <v/>
      </c>
      <c r="I666" s="92">
        <f>IF('3B'!B16&lt;&gt;"",'3B'!I16,"")</f>
        <v/>
      </c>
      <c r="J666" s="82">
        <f>IF('3B'!B16&lt;&gt;"",'3B'!J16,"")</f>
        <v/>
      </c>
    </row>
    <row r="667" ht="15.75" customHeight="1" s="52">
      <c r="A667" s="97">
        <f>IF('3B'!B17&lt;&gt;"","3B","")</f>
        <v/>
      </c>
      <c r="B667" s="78">
        <f>IF('3B'!B17&lt;&gt;"",'3B'!B17,"")</f>
        <v/>
      </c>
      <c r="C667" s="78">
        <f>IF('3B'!B17&lt;&gt;"",'3B'!C17,"")</f>
        <v/>
      </c>
      <c r="D667" s="78">
        <f>IF('3B'!B17&lt;&gt;"",'3B'!D17,"")</f>
        <v/>
      </c>
      <c r="E667" s="78">
        <f>IF('3B'!B17&lt;&gt;"",'3B'!E17,"")</f>
        <v/>
      </c>
      <c r="F667" s="78">
        <f>IF('3B'!B17&lt;&gt;"",'3B'!F17,"")</f>
        <v/>
      </c>
      <c r="G667" s="78">
        <f>IF('3B'!B17&lt;&gt;"",'3B'!G17,"")</f>
        <v/>
      </c>
      <c r="H667" s="97">
        <f>IF('3B'!B17&lt;&gt;"",'3B'!H17,"")</f>
        <v/>
      </c>
      <c r="I667" s="97">
        <f>IF('3B'!B17&lt;&gt;"",'3B'!I17,"")</f>
        <v/>
      </c>
      <c r="J667" s="78">
        <f>IF('3B'!B17&lt;&gt;"",'3B'!J17,"")</f>
        <v/>
      </c>
    </row>
    <row r="668" ht="15.75" customHeight="1" s="52">
      <c r="A668" s="92">
        <f>IF('3B'!B18&lt;&gt;"","3B","")</f>
        <v/>
      </c>
      <c r="B668" s="82">
        <f>IF('3B'!B18&lt;&gt;"",'3B'!B18,"")</f>
        <v/>
      </c>
      <c r="C668" s="82">
        <f>IF('3B'!B18&lt;&gt;"",'3B'!C18,"")</f>
        <v/>
      </c>
      <c r="D668" s="82">
        <f>IF('3B'!B18&lt;&gt;"",'3B'!D18,"")</f>
        <v/>
      </c>
      <c r="E668" s="82">
        <f>IF('3B'!B18&lt;&gt;"",'3B'!E18,"")</f>
        <v/>
      </c>
      <c r="F668" s="82">
        <f>IF('3B'!B18&lt;&gt;"",'3B'!F18,"")</f>
        <v/>
      </c>
      <c r="G668" s="82">
        <f>IF('3B'!B18&lt;&gt;"",'3B'!G18,"")</f>
        <v/>
      </c>
      <c r="H668" s="92">
        <f>IF('3B'!B18&lt;&gt;"",'3B'!H18,"")</f>
        <v/>
      </c>
      <c r="I668" s="92">
        <f>IF('3B'!B18&lt;&gt;"",'3B'!I18,"")</f>
        <v/>
      </c>
      <c r="J668" s="82">
        <f>IF('3B'!B18&lt;&gt;"",'3B'!J18,"")</f>
        <v/>
      </c>
    </row>
    <row r="669" ht="15.75" customHeight="1" s="52">
      <c r="A669" s="97">
        <f>IF('3B'!B19&lt;&gt;"","3B","")</f>
        <v/>
      </c>
      <c r="B669" s="78">
        <f>IF('3B'!B19&lt;&gt;"",'3B'!B19,"")</f>
        <v/>
      </c>
      <c r="C669" s="78">
        <f>IF('3B'!B19&lt;&gt;"",'3B'!C19,"")</f>
        <v/>
      </c>
      <c r="D669" s="78">
        <f>IF('3B'!B19&lt;&gt;"",'3B'!D19,"")</f>
        <v/>
      </c>
      <c r="E669" s="78">
        <f>IF('3B'!B19&lt;&gt;"",'3B'!E19,"")</f>
        <v/>
      </c>
      <c r="F669" s="78">
        <f>IF('3B'!B19&lt;&gt;"",'3B'!F19,"")</f>
        <v/>
      </c>
      <c r="G669" s="78">
        <f>IF('3B'!B19&lt;&gt;"",'3B'!G19,"")</f>
        <v/>
      </c>
      <c r="H669" s="97">
        <f>IF('3B'!B19&lt;&gt;"",'3B'!H19,"")</f>
        <v/>
      </c>
      <c r="I669" s="97">
        <f>IF('3B'!B19&lt;&gt;"",'3B'!I19,"")</f>
        <v/>
      </c>
      <c r="J669" s="78">
        <f>IF('3B'!B19&lt;&gt;"",'3B'!J19,"")</f>
        <v/>
      </c>
    </row>
    <row r="670" ht="15.75" customHeight="1" s="52">
      <c r="A670" s="92">
        <f>IF('3B'!B20&lt;&gt;"","3B","")</f>
        <v/>
      </c>
      <c r="B670" s="82">
        <f>IF('3B'!B20&lt;&gt;"",'3B'!B20,"")</f>
        <v/>
      </c>
      <c r="C670" s="82">
        <f>IF('3B'!B20&lt;&gt;"",'3B'!C20,"")</f>
        <v/>
      </c>
      <c r="D670" s="82">
        <f>IF('3B'!B20&lt;&gt;"",'3B'!D20,"")</f>
        <v/>
      </c>
      <c r="E670" s="82">
        <f>IF('3B'!B20&lt;&gt;"",'3B'!E20,"")</f>
        <v/>
      </c>
      <c r="F670" s="82">
        <f>IF('3B'!B20&lt;&gt;"",'3B'!F20,"")</f>
        <v/>
      </c>
      <c r="G670" s="82">
        <f>IF('3B'!B20&lt;&gt;"",'3B'!G20,"")</f>
        <v/>
      </c>
      <c r="H670" s="92">
        <f>IF('3B'!B20&lt;&gt;"",'3B'!H20,"")</f>
        <v/>
      </c>
      <c r="I670" s="92">
        <f>IF('3B'!B20&lt;&gt;"",'3B'!I20,"")</f>
        <v/>
      </c>
      <c r="J670" s="82">
        <f>IF('3B'!B20&lt;&gt;"",'3B'!J20,"")</f>
        <v/>
      </c>
    </row>
    <row r="671" ht="15.75" customHeight="1" s="52">
      <c r="A671" s="97">
        <f>IF('3B'!B21&lt;&gt;"","3B","")</f>
        <v/>
      </c>
      <c r="B671" s="78">
        <f>IF('3B'!B21&lt;&gt;"",'3B'!B21,"")</f>
        <v/>
      </c>
      <c r="C671" s="78">
        <f>IF('3B'!B21&lt;&gt;"",'3B'!C21,"")</f>
        <v/>
      </c>
      <c r="D671" s="78">
        <f>IF('3B'!B21&lt;&gt;"",'3B'!D21,"")</f>
        <v/>
      </c>
      <c r="E671" s="78">
        <f>IF('3B'!B21&lt;&gt;"",'3B'!E21,"")</f>
        <v/>
      </c>
      <c r="F671" s="78">
        <f>IF('3B'!B21&lt;&gt;"",'3B'!F21,"")</f>
        <v/>
      </c>
      <c r="G671" s="78">
        <f>IF('3B'!B21&lt;&gt;"",'3B'!G21,"")</f>
        <v/>
      </c>
      <c r="H671" s="97">
        <f>IF('3B'!B21&lt;&gt;"",'3B'!H21,"")</f>
        <v/>
      </c>
      <c r="I671" s="97">
        <f>IF('3B'!B21&lt;&gt;"",'3B'!I21,"")</f>
        <v/>
      </c>
      <c r="J671" s="78">
        <f>IF('3B'!B21&lt;&gt;"",'3B'!J21,"")</f>
        <v/>
      </c>
    </row>
    <row r="672" ht="15.75" customHeight="1" s="52">
      <c r="A672" s="92">
        <f>IF('3B'!B22&lt;&gt;"","3B","")</f>
        <v/>
      </c>
      <c r="B672" s="82">
        <f>IF('3B'!B22&lt;&gt;"",'3B'!B22,"")</f>
        <v/>
      </c>
      <c r="C672" s="82">
        <f>IF('3B'!B22&lt;&gt;"",'3B'!C22,"")</f>
        <v/>
      </c>
      <c r="D672" s="82">
        <f>IF('3B'!B22&lt;&gt;"",'3B'!D22,"")</f>
        <v/>
      </c>
      <c r="E672" s="82">
        <f>IF('3B'!B22&lt;&gt;"",'3B'!E22,"")</f>
        <v/>
      </c>
      <c r="F672" s="82">
        <f>IF('3B'!B22&lt;&gt;"",'3B'!F22,"")</f>
        <v/>
      </c>
      <c r="G672" s="82">
        <f>IF('3B'!B22&lt;&gt;"",'3B'!G22,"")</f>
        <v/>
      </c>
      <c r="H672" s="92">
        <f>IF('3B'!B22&lt;&gt;"",'3B'!H22,"")</f>
        <v/>
      </c>
      <c r="I672" s="92">
        <f>IF('3B'!B22&lt;&gt;"",'3B'!I22,"")</f>
        <v/>
      </c>
      <c r="J672" s="82">
        <f>IF('3B'!B22&lt;&gt;"",'3B'!J22,"")</f>
        <v/>
      </c>
    </row>
    <row r="673" ht="15.75" customHeight="1" s="52">
      <c r="A673" s="97">
        <f>IF('3B'!B23&lt;&gt;"","3B","")</f>
        <v/>
      </c>
      <c r="B673" s="78">
        <f>IF('3B'!B23&lt;&gt;"",'3B'!B23,"")</f>
        <v/>
      </c>
      <c r="C673" s="78">
        <f>IF('3B'!B23&lt;&gt;"",'3B'!C23,"")</f>
        <v/>
      </c>
      <c r="D673" s="78">
        <f>IF('3B'!B23&lt;&gt;"",'3B'!D23,"")</f>
        <v/>
      </c>
      <c r="E673" s="78">
        <f>IF('3B'!B23&lt;&gt;"",'3B'!E23,"")</f>
        <v/>
      </c>
      <c r="F673" s="78">
        <f>IF('3B'!B23&lt;&gt;"",'3B'!F23,"")</f>
        <v/>
      </c>
      <c r="G673" s="78">
        <f>IF('3B'!B23&lt;&gt;"",'3B'!G23,"")</f>
        <v/>
      </c>
      <c r="H673" s="97">
        <f>IF('3B'!B23&lt;&gt;"",'3B'!H23,"")</f>
        <v/>
      </c>
      <c r="I673" s="97">
        <f>IF('3B'!B23&lt;&gt;"",'3B'!I23,"")</f>
        <v/>
      </c>
      <c r="J673" s="78">
        <f>IF('3B'!B23&lt;&gt;"",'3B'!J23,"")</f>
        <v/>
      </c>
    </row>
    <row r="674" ht="15.75" customHeight="1" s="52">
      <c r="A674" s="92">
        <f>IF('3B'!B24&lt;&gt;"","3B","")</f>
        <v/>
      </c>
      <c r="B674" s="82">
        <f>IF('3B'!B24&lt;&gt;"",'3B'!B24,"")</f>
        <v/>
      </c>
      <c r="C674" s="82">
        <f>IF('3B'!B24&lt;&gt;"",'3B'!C24,"")</f>
        <v/>
      </c>
      <c r="D674" s="82">
        <f>IF('3B'!B24&lt;&gt;"",'3B'!D24,"")</f>
        <v/>
      </c>
      <c r="E674" s="82">
        <f>IF('3B'!B24&lt;&gt;"",'3B'!E24,"")</f>
        <v/>
      </c>
      <c r="F674" s="82">
        <f>IF('3B'!B24&lt;&gt;"",'3B'!F24,"")</f>
        <v/>
      </c>
      <c r="G674" s="82">
        <f>IF('3B'!B24&lt;&gt;"",'3B'!G24,"")</f>
        <v/>
      </c>
      <c r="H674" s="92">
        <f>IF('3B'!B24&lt;&gt;"",'3B'!H24,"")</f>
        <v/>
      </c>
      <c r="I674" s="92">
        <f>IF('3B'!B24&lt;&gt;"",'3B'!I24,"")</f>
        <v/>
      </c>
      <c r="J674" s="82">
        <f>IF('3B'!B24&lt;&gt;"",'3B'!J24,"")</f>
        <v/>
      </c>
    </row>
    <row r="675" ht="15.75" customHeight="1" s="52">
      <c r="A675" s="97">
        <f>IF('3B'!B25&lt;&gt;"","3B","")</f>
        <v/>
      </c>
      <c r="B675" s="78">
        <f>IF('3B'!B25&lt;&gt;"",'3B'!B25,"")</f>
        <v/>
      </c>
      <c r="C675" s="78">
        <f>IF('3B'!B25&lt;&gt;"",'3B'!C25,"")</f>
        <v/>
      </c>
      <c r="D675" s="78">
        <f>IF('3B'!B25&lt;&gt;"",'3B'!D25,"")</f>
        <v/>
      </c>
      <c r="E675" s="78">
        <f>IF('3B'!B25&lt;&gt;"",'3B'!E25,"")</f>
        <v/>
      </c>
      <c r="F675" s="78">
        <f>IF('3B'!B25&lt;&gt;"",'3B'!F25,"")</f>
        <v/>
      </c>
      <c r="G675" s="78">
        <f>IF('3B'!B25&lt;&gt;"",'3B'!G25,"")</f>
        <v/>
      </c>
      <c r="H675" s="97">
        <f>IF('3B'!B25&lt;&gt;"",'3B'!H25,"")</f>
        <v/>
      </c>
      <c r="I675" s="97">
        <f>IF('3B'!B25&lt;&gt;"",'3B'!I25,"")</f>
        <v/>
      </c>
      <c r="J675" s="78">
        <f>IF('3B'!B25&lt;&gt;"",'3B'!J25,"")</f>
        <v/>
      </c>
    </row>
    <row r="676" ht="15.75" customHeight="1" s="52">
      <c r="A676" s="92">
        <f>IF('3B'!B26&lt;&gt;"","3B","")</f>
        <v/>
      </c>
      <c r="B676" s="82">
        <f>IF('3B'!B26&lt;&gt;"",'3B'!B26,"")</f>
        <v/>
      </c>
      <c r="C676" s="82">
        <f>IF('3B'!B26&lt;&gt;"",'3B'!C26,"")</f>
        <v/>
      </c>
      <c r="D676" s="82">
        <f>IF('3B'!B26&lt;&gt;"",'3B'!D26,"")</f>
        <v/>
      </c>
      <c r="E676" s="82">
        <f>IF('3B'!B26&lt;&gt;"",'3B'!E26,"")</f>
        <v/>
      </c>
      <c r="F676" s="82">
        <f>IF('3B'!B26&lt;&gt;"",'3B'!F26,"")</f>
        <v/>
      </c>
      <c r="G676" s="82">
        <f>IF('3B'!B26&lt;&gt;"",'3B'!G26,"")</f>
        <v/>
      </c>
      <c r="H676" s="92">
        <f>IF('3B'!B26&lt;&gt;"",'3B'!H26,"")</f>
        <v/>
      </c>
      <c r="I676" s="92">
        <f>IF('3B'!B26&lt;&gt;"",'3B'!I26,"")</f>
        <v/>
      </c>
      <c r="J676" s="82">
        <f>IF('3B'!B26&lt;&gt;"",'3B'!J26,"")</f>
        <v/>
      </c>
    </row>
    <row r="677" ht="15.75" customHeight="1" s="52">
      <c r="A677" s="97">
        <f>IF('3B'!B27&lt;&gt;"","3B","")</f>
        <v/>
      </c>
      <c r="B677" s="78">
        <f>IF('3B'!B27&lt;&gt;"",'3B'!B27,"")</f>
        <v/>
      </c>
      <c r="C677" s="78">
        <f>IF('3B'!B27&lt;&gt;"",'3B'!C27,"")</f>
        <v/>
      </c>
      <c r="D677" s="78">
        <f>IF('3B'!B27&lt;&gt;"",'3B'!D27,"")</f>
        <v/>
      </c>
      <c r="E677" s="78">
        <f>IF('3B'!B27&lt;&gt;"",'3B'!E27,"")</f>
        <v/>
      </c>
      <c r="F677" s="78">
        <f>IF('3B'!B27&lt;&gt;"",'3B'!F27,"")</f>
        <v/>
      </c>
      <c r="G677" s="78">
        <f>IF('3B'!B27&lt;&gt;"",'3B'!G27,"")</f>
        <v/>
      </c>
      <c r="H677" s="97">
        <f>IF('3B'!B27&lt;&gt;"",'3B'!H27,"")</f>
        <v/>
      </c>
      <c r="I677" s="97">
        <f>IF('3B'!B27&lt;&gt;"",'3B'!I27,"")</f>
        <v/>
      </c>
      <c r="J677" s="78">
        <f>IF('3B'!B27&lt;&gt;"",'3B'!J27,"")</f>
        <v/>
      </c>
    </row>
    <row r="678" ht="15.75" customHeight="1" s="52">
      <c r="A678" s="92">
        <f>IF('3B'!B28&lt;&gt;"","3B","")</f>
        <v/>
      </c>
      <c r="B678" s="82">
        <f>IF('3B'!B28&lt;&gt;"",'3B'!B28,"")</f>
        <v/>
      </c>
      <c r="C678" s="82">
        <f>IF('3B'!B28&lt;&gt;"",'3B'!C28,"")</f>
        <v/>
      </c>
      <c r="D678" s="82">
        <f>IF('3B'!B28&lt;&gt;"",'3B'!D28,"")</f>
        <v/>
      </c>
      <c r="E678" s="82">
        <f>IF('3B'!B28&lt;&gt;"",'3B'!E28,"")</f>
        <v/>
      </c>
      <c r="F678" s="82">
        <f>IF('3B'!B28&lt;&gt;"",'3B'!F28,"")</f>
        <v/>
      </c>
      <c r="G678" s="82">
        <f>IF('3B'!B28&lt;&gt;"",'3B'!G28,"")</f>
        <v/>
      </c>
      <c r="H678" s="92">
        <f>IF('3B'!B28&lt;&gt;"",'3B'!H28,"")</f>
        <v/>
      </c>
      <c r="I678" s="92">
        <f>IF('3B'!B28&lt;&gt;"",'3B'!I28,"")</f>
        <v/>
      </c>
      <c r="J678" s="82">
        <f>IF('3B'!B28&lt;&gt;"",'3B'!J28,"")</f>
        <v/>
      </c>
    </row>
    <row r="679" ht="15.75" customHeight="1" s="52">
      <c r="A679" s="97">
        <f>IF('3B'!B29&lt;&gt;"","3B","")</f>
        <v/>
      </c>
      <c r="B679" s="78">
        <f>IF('3B'!B29&lt;&gt;"",'3B'!B29,"")</f>
        <v/>
      </c>
      <c r="C679" s="78">
        <f>IF('3B'!B29&lt;&gt;"",'3B'!C29,"")</f>
        <v/>
      </c>
      <c r="D679" s="78">
        <f>IF('3B'!B29&lt;&gt;"",'3B'!D29,"")</f>
        <v/>
      </c>
      <c r="E679" s="78">
        <f>IF('3B'!B29&lt;&gt;"",'3B'!E29,"")</f>
        <v/>
      </c>
      <c r="F679" s="78">
        <f>IF('3B'!B29&lt;&gt;"",'3B'!F29,"")</f>
        <v/>
      </c>
      <c r="G679" s="78">
        <f>IF('3B'!B29&lt;&gt;"",'3B'!G29,"")</f>
        <v/>
      </c>
      <c r="H679" s="97">
        <f>IF('3B'!B29&lt;&gt;"",'3B'!H29,"")</f>
        <v/>
      </c>
      <c r="I679" s="97">
        <f>IF('3B'!B29&lt;&gt;"",'3B'!I29,"")</f>
        <v/>
      </c>
      <c r="J679" s="78">
        <f>IF('3B'!B29&lt;&gt;"",'3B'!J29,"")</f>
        <v/>
      </c>
    </row>
    <row r="680" ht="15.75" customHeight="1" s="52">
      <c r="A680" s="92">
        <f>IF('3B'!B30&lt;&gt;"","3B","")</f>
        <v/>
      </c>
      <c r="B680" s="82">
        <f>IF('3B'!B30&lt;&gt;"",'3B'!B30,"")</f>
        <v/>
      </c>
      <c r="C680" s="82">
        <f>IF('3B'!B30&lt;&gt;"",'3B'!C30,"")</f>
        <v/>
      </c>
      <c r="D680" s="82">
        <f>IF('3B'!B30&lt;&gt;"",'3B'!D30,"")</f>
        <v/>
      </c>
      <c r="E680" s="82">
        <f>IF('3B'!B30&lt;&gt;"",'3B'!E30,"")</f>
        <v/>
      </c>
      <c r="F680" s="82">
        <f>IF('3B'!B30&lt;&gt;"",'3B'!F30,"")</f>
        <v/>
      </c>
      <c r="G680" s="82">
        <f>IF('3B'!B30&lt;&gt;"",'3B'!G30,"")</f>
        <v/>
      </c>
      <c r="H680" s="92">
        <f>IF('3B'!B30&lt;&gt;"",'3B'!H30,"")</f>
        <v/>
      </c>
      <c r="I680" s="92">
        <f>IF('3B'!B30&lt;&gt;"",'3B'!I30,"")</f>
        <v/>
      </c>
      <c r="J680" s="82">
        <f>IF('3B'!B30&lt;&gt;"",'3B'!J30,"")</f>
        <v/>
      </c>
    </row>
    <row r="681" ht="15.75" customHeight="1" s="52">
      <c r="A681" s="97">
        <f>IF('3B'!B31&lt;&gt;"","3B","")</f>
        <v/>
      </c>
      <c r="B681" s="78">
        <f>IF('3B'!B31&lt;&gt;"",'3B'!B31,"")</f>
        <v/>
      </c>
      <c r="C681" s="78">
        <f>IF('3B'!B31&lt;&gt;"",'3B'!C31,"")</f>
        <v/>
      </c>
      <c r="D681" s="78">
        <f>IF('3B'!B31&lt;&gt;"",'3B'!D31,"")</f>
        <v/>
      </c>
      <c r="E681" s="78">
        <f>IF('3B'!B31&lt;&gt;"",'3B'!E31,"")</f>
        <v/>
      </c>
      <c r="F681" s="78">
        <f>IF('3B'!B31&lt;&gt;"",'3B'!F31,"")</f>
        <v/>
      </c>
      <c r="G681" s="78">
        <f>IF('3B'!B31&lt;&gt;"",'3B'!G31,"")</f>
        <v/>
      </c>
      <c r="H681" s="97">
        <f>IF('3B'!B31&lt;&gt;"",'3B'!H31,"")</f>
        <v/>
      </c>
      <c r="I681" s="97">
        <f>IF('3B'!B31&lt;&gt;"",'3B'!I31,"")</f>
        <v/>
      </c>
      <c r="J681" s="78">
        <f>IF('3B'!B31&lt;&gt;"",'3B'!J31,"")</f>
        <v/>
      </c>
    </row>
    <row r="682" ht="15.75" customHeight="1" s="52">
      <c r="A682" s="92">
        <f>IF('3B'!B32&lt;&gt;"","3B","")</f>
        <v/>
      </c>
      <c r="B682" s="82">
        <f>IF('3B'!B32&lt;&gt;"",'3B'!B32,"")</f>
        <v/>
      </c>
      <c r="C682" s="82">
        <f>IF('3B'!B32&lt;&gt;"",'3B'!C32,"")</f>
        <v/>
      </c>
      <c r="D682" s="82">
        <f>IF('3B'!B32&lt;&gt;"",'3B'!D32,"")</f>
        <v/>
      </c>
      <c r="E682" s="82">
        <f>IF('3B'!B32&lt;&gt;"",'3B'!E32,"")</f>
        <v/>
      </c>
      <c r="F682" s="82">
        <f>IF('3B'!B32&lt;&gt;"",'3B'!F32,"")</f>
        <v/>
      </c>
      <c r="G682" s="82">
        <f>IF('3B'!B32&lt;&gt;"",'3B'!G32,"")</f>
        <v/>
      </c>
      <c r="H682" s="92">
        <f>IF('3B'!B32&lt;&gt;"",'3B'!H32,"")</f>
        <v/>
      </c>
      <c r="I682" s="92">
        <f>IF('3B'!B32&lt;&gt;"",'3B'!I32,"")</f>
        <v/>
      </c>
      <c r="J682" s="82">
        <f>IF('3B'!B32&lt;&gt;"",'3B'!J32,"")</f>
        <v/>
      </c>
    </row>
    <row r="683" ht="15.75" customHeight="1" s="52">
      <c r="A683" s="97">
        <f>IF('3B'!B33&lt;&gt;"","3B","")</f>
        <v/>
      </c>
      <c r="B683" s="78">
        <f>IF('3B'!B33&lt;&gt;"",'3B'!B33,"")</f>
        <v/>
      </c>
      <c r="C683" s="78">
        <f>IF('3B'!B33&lt;&gt;"",'3B'!C33,"")</f>
        <v/>
      </c>
      <c r="D683" s="78">
        <f>IF('3B'!B33&lt;&gt;"",'3B'!D33,"")</f>
        <v/>
      </c>
      <c r="E683" s="78">
        <f>IF('3B'!B33&lt;&gt;"",'3B'!E33,"")</f>
        <v/>
      </c>
      <c r="F683" s="78">
        <f>IF('3B'!B33&lt;&gt;"",'3B'!F33,"")</f>
        <v/>
      </c>
      <c r="G683" s="78">
        <f>IF('3B'!B33&lt;&gt;"",'3B'!G33,"")</f>
        <v/>
      </c>
      <c r="H683" s="97">
        <f>IF('3B'!B33&lt;&gt;"",'3B'!H33,"")</f>
        <v/>
      </c>
      <c r="I683" s="97">
        <f>IF('3B'!B33&lt;&gt;"",'3B'!I33,"")</f>
        <v/>
      </c>
      <c r="J683" s="78">
        <f>IF('3B'!B33&lt;&gt;"",'3B'!J33,"")</f>
        <v/>
      </c>
    </row>
    <row r="684" ht="15.75" customHeight="1" s="52">
      <c r="A684" s="92">
        <f>IF('3B'!B34&lt;&gt;"","3B","")</f>
        <v/>
      </c>
      <c r="B684" s="82">
        <f>IF('3B'!B34&lt;&gt;"",'3B'!B34,"")</f>
        <v/>
      </c>
      <c r="C684" s="82">
        <f>IF('3B'!B34&lt;&gt;"",'3B'!C34,"")</f>
        <v/>
      </c>
      <c r="D684" s="82">
        <f>IF('3B'!B34&lt;&gt;"",'3B'!D34,"")</f>
        <v/>
      </c>
      <c r="E684" s="82">
        <f>IF('3B'!B34&lt;&gt;"",'3B'!E34,"")</f>
        <v/>
      </c>
      <c r="F684" s="82">
        <f>IF('3B'!B34&lt;&gt;"",'3B'!F34,"")</f>
        <v/>
      </c>
      <c r="G684" s="82">
        <f>IF('3B'!B34&lt;&gt;"",'3B'!G34,"")</f>
        <v/>
      </c>
      <c r="H684" s="92">
        <f>IF('3B'!B34&lt;&gt;"",'3B'!H34,"")</f>
        <v/>
      </c>
      <c r="I684" s="92">
        <f>IF('3B'!B34&lt;&gt;"",'3B'!I34,"")</f>
        <v/>
      </c>
      <c r="J684" s="82">
        <f>IF('3B'!B34&lt;&gt;"",'3B'!J34,"")</f>
        <v/>
      </c>
    </row>
    <row r="685" ht="15.75" customHeight="1" s="52">
      <c r="A685" s="97">
        <f>IF('3B'!B35&lt;&gt;"","3B","")</f>
        <v/>
      </c>
      <c r="B685" s="78">
        <f>IF('3B'!B35&lt;&gt;"",'3B'!B35,"")</f>
        <v/>
      </c>
      <c r="C685" s="78">
        <f>IF('3B'!B35&lt;&gt;"",'3B'!C35,"")</f>
        <v/>
      </c>
      <c r="D685" s="78">
        <f>IF('3B'!B35&lt;&gt;"",'3B'!D35,"")</f>
        <v/>
      </c>
      <c r="E685" s="78">
        <f>IF('3B'!B35&lt;&gt;"",'3B'!E35,"")</f>
        <v/>
      </c>
      <c r="F685" s="78">
        <f>IF('3B'!B35&lt;&gt;"",'3B'!F35,"")</f>
        <v/>
      </c>
      <c r="G685" s="78">
        <f>IF('3B'!B35&lt;&gt;"",'3B'!G35,"")</f>
        <v/>
      </c>
      <c r="H685" s="97">
        <f>IF('3B'!B35&lt;&gt;"",'3B'!H35,"")</f>
        <v/>
      </c>
      <c r="I685" s="97">
        <f>IF('3B'!B35&lt;&gt;"",'3B'!I35,"")</f>
        <v/>
      </c>
      <c r="J685" s="78">
        <f>IF('3B'!B35&lt;&gt;"",'3B'!J35,"")</f>
        <v/>
      </c>
    </row>
    <row r="686" ht="15.75" customHeight="1" s="52">
      <c r="A686" s="92">
        <f>IF('3B'!B36&lt;&gt;"","3B","")</f>
        <v/>
      </c>
      <c r="B686" s="82">
        <f>IF('3B'!B36&lt;&gt;"",'3B'!B36,"")</f>
        <v/>
      </c>
      <c r="C686" s="82">
        <f>IF('3B'!B36&lt;&gt;"",'3B'!C36,"")</f>
        <v/>
      </c>
      <c r="D686" s="82">
        <f>IF('3B'!B36&lt;&gt;"",'3B'!D36,"")</f>
        <v/>
      </c>
      <c r="E686" s="82">
        <f>IF('3B'!B36&lt;&gt;"",'3B'!E36,"")</f>
        <v/>
      </c>
      <c r="F686" s="82">
        <f>IF('3B'!B36&lt;&gt;"",'3B'!F36,"")</f>
        <v/>
      </c>
      <c r="G686" s="82">
        <f>IF('3B'!B36&lt;&gt;"",'3B'!G36,"")</f>
        <v/>
      </c>
      <c r="H686" s="92">
        <f>IF('3B'!B36&lt;&gt;"",'3B'!H36,"")</f>
        <v/>
      </c>
      <c r="I686" s="92">
        <f>IF('3B'!B36&lt;&gt;"",'3B'!I36,"")</f>
        <v/>
      </c>
      <c r="J686" s="82">
        <f>IF('3B'!B36&lt;&gt;"",'3B'!J36,"")</f>
        <v/>
      </c>
    </row>
    <row r="687" ht="15.75" customHeight="1" s="52">
      <c r="A687" s="97">
        <f>IF('3B'!B37&lt;&gt;"","3B","")</f>
        <v/>
      </c>
      <c r="B687" s="78">
        <f>IF('3B'!B37&lt;&gt;"",'3B'!B37,"")</f>
        <v/>
      </c>
      <c r="C687" s="78">
        <f>IF('3B'!B37&lt;&gt;"",'3B'!C37,"")</f>
        <v/>
      </c>
      <c r="D687" s="78">
        <f>IF('3B'!B37&lt;&gt;"",'3B'!D37,"")</f>
        <v/>
      </c>
      <c r="E687" s="78">
        <f>IF('3B'!B37&lt;&gt;"",'3B'!E37,"")</f>
        <v/>
      </c>
      <c r="F687" s="78">
        <f>IF('3B'!B37&lt;&gt;"",'3B'!F37,"")</f>
        <v/>
      </c>
      <c r="G687" s="78">
        <f>IF('3B'!B37&lt;&gt;"",'3B'!G37,"")</f>
        <v/>
      </c>
      <c r="H687" s="97">
        <f>IF('3B'!B37&lt;&gt;"",'3B'!H37,"")</f>
        <v/>
      </c>
      <c r="I687" s="97">
        <f>IF('3B'!B37&lt;&gt;"",'3B'!I37,"")</f>
        <v/>
      </c>
      <c r="J687" s="78">
        <f>IF('3B'!B37&lt;&gt;"",'3B'!J37,"")</f>
        <v/>
      </c>
    </row>
    <row r="688" ht="15.75" customHeight="1" s="52">
      <c r="A688" s="92">
        <f>IF('3B'!B38&lt;&gt;"","3B","")</f>
        <v/>
      </c>
      <c r="B688" s="82">
        <f>IF('3B'!B38&lt;&gt;"",'3B'!B38,"")</f>
        <v/>
      </c>
      <c r="C688" s="82">
        <f>IF('3B'!B38&lt;&gt;"",'3B'!C38,"")</f>
        <v/>
      </c>
      <c r="D688" s="82">
        <f>IF('3B'!B38&lt;&gt;"",'3B'!D38,"")</f>
        <v/>
      </c>
      <c r="E688" s="82">
        <f>IF('3B'!B38&lt;&gt;"",'3B'!E38,"")</f>
        <v/>
      </c>
      <c r="F688" s="82">
        <f>IF('3B'!B38&lt;&gt;"",'3B'!F38,"")</f>
        <v/>
      </c>
      <c r="G688" s="82">
        <f>IF('3B'!B38&lt;&gt;"",'3B'!G38,"")</f>
        <v/>
      </c>
      <c r="H688" s="92">
        <f>IF('3B'!B38&lt;&gt;"",'3B'!H38,"")</f>
        <v/>
      </c>
      <c r="I688" s="92">
        <f>IF('3B'!B38&lt;&gt;"",'3B'!I38,"")</f>
        <v/>
      </c>
      <c r="J688" s="82">
        <f>IF('3B'!B38&lt;&gt;"",'3B'!J38,"")</f>
        <v/>
      </c>
    </row>
    <row r="689" ht="15.75" customHeight="1" s="52">
      <c r="A689" s="97">
        <f>IF('3B'!B39&lt;&gt;"","3B","")</f>
        <v/>
      </c>
      <c r="B689" s="78">
        <f>IF('3B'!B39&lt;&gt;"",'3B'!B39,"")</f>
        <v/>
      </c>
      <c r="C689" s="78">
        <f>IF('3B'!B39&lt;&gt;"",'3B'!C39,"")</f>
        <v/>
      </c>
      <c r="D689" s="78">
        <f>IF('3B'!B39&lt;&gt;"",'3B'!D39,"")</f>
        <v/>
      </c>
      <c r="E689" s="78">
        <f>IF('3B'!B39&lt;&gt;"",'3B'!E39,"")</f>
        <v/>
      </c>
      <c r="F689" s="78">
        <f>IF('3B'!B39&lt;&gt;"",'3B'!F39,"")</f>
        <v/>
      </c>
      <c r="G689" s="78">
        <f>IF('3B'!B39&lt;&gt;"",'3B'!G39,"")</f>
        <v/>
      </c>
      <c r="H689" s="97">
        <f>IF('3B'!B39&lt;&gt;"",'3B'!H39,"")</f>
        <v/>
      </c>
      <c r="I689" s="97">
        <f>IF('3B'!B39&lt;&gt;"",'3B'!I39,"")</f>
        <v/>
      </c>
      <c r="J689" s="78">
        <f>IF('3B'!B39&lt;&gt;"",'3B'!J39,"")</f>
        <v/>
      </c>
    </row>
    <row r="690" ht="15.75" customHeight="1" s="52">
      <c r="A690" s="92">
        <f>IF('3B'!B40&lt;&gt;"","3B","")</f>
        <v/>
      </c>
      <c r="B690" s="82">
        <f>IF('3B'!B40&lt;&gt;"",'3B'!B40,"")</f>
        <v/>
      </c>
      <c r="C690" s="82">
        <f>IF('3B'!B40&lt;&gt;"",'3B'!C40,"")</f>
        <v/>
      </c>
      <c r="D690" s="82">
        <f>IF('3B'!B40&lt;&gt;"",'3B'!D40,"")</f>
        <v/>
      </c>
      <c r="E690" s="82">
        <f>IF('3B'!B40&lt;&gt;"",'3B'!E40,"")</f>
        <v/>
      </c>
      <c r="F690" s="82">
        <f>IF('3B'!B40&lt;&gt;"",'3B'!F40,"")</f>
        <v/>
      </c>
      <c r="G690" s="82">
        <f>IF('3B'!B40&lt;&gt;"",'3B'!G40,"")</f>
        <v/>
      </c>
      <c r="H690" s="92">
        <f>IF('3B'!B40&lt;&gt;"",'3B'!H40,"")</f>
        <v/>
      </c>
      <c r="I690" s="92">
        <f>IF('3B'!B40&lt;&gt;"",'3B'!I40,"")</f>
        <v/>
      </c>
      <c r="J690" s="82">
        <f>IF('3B'!B40&lt;&gt;"",'3B'!J40,"")</f>
        <v/>
      </c>
    </row>
    <row r="691" ht="15.75" customHeight="1" s="52">
      <c r="A691" s="97">
        <f>IF('3B'!B41&lt;&gt;"","3B","")</f>
        <v/>
      </c>
      <c r="B691" s="78">
        <f>IF('3B'!B41&lt;&gt;"",'3B'!B41,"")</f>
        <v/>
      </c>
      <c r="C691" s="78">
        <f>IF('3B'!B41&lt;&gt;"",'3B'!C41,"")</f>
        <v/>
      </c>
      <c r="D691" s="78">
        <f>IF('3B'!B41&lt;&gt;"",'3B'!D41,"")</f>
        <v/>
      </c>
      <c r="E691" s="78">
        <f>IF('3B'!B41&lt;&gt;"",'3B'!E41,"")</f>
        <v/>
      </c>
      <c r="F691" s="78">
        <f>IF('3B'!B41&lt;&gt;"",'3B'!F41,"")</f>
        <v/>
      </c>
      <c r="G691" s="78">
        <f>IF('3B'!B41&lt;&gt;"",'3B'!G41,"")</f>
        <v/>
      </c>
      <c r="H691" s="97">
        <f>IF('3B'!B41&lt;&gt;"",'3B'!H41,"")</f>
        <v/>
      </c>
      <c r="I691" s="97">
        <f>IF('3B'!B41&lt;&gt;"",'3B'!I41,"")</f>
        <v/>
      </c>
      <c r="J691" s="78">
        <f>IF('3B'!B41&lt;&gt;"",'3B'!J41,"")</f>
        <v/>
      </c>
    </row>
    <row r="692" ht="15.75" customHeight="1" s="52">
      <c r="A692" s="92">
        <f>IF('3B'!B42&lt;&gt;"","3B","")</f>
        <v/>
      </c>
      <c r="B692" s="82">
        <f>IF('3B'!B42&lt;&gt;"",'3B'!B42,"")</f>
        <v/>
      </c>
      <c r="C692" s="82">
        <f>IF('3B'!B42&lt;&gt;"",'3B'!C42,"")</f>
        <v/>
      </c>
      <c r="D692" s="82">
        <f>IF('3B'!B42&lt;&gt;"",'3B'!D42,"")</f>
        <v/>
      </c>
      <c r="E692" s="82">
        <f>IF('3B'!B42&lt;&gt;"",'3B'!E42,"")</f>
        <v/>
      </c>
      <c r="F692" s="82">
        <f>IF('3B'!B42&lt;&gt;"",'3B'!F42,"")</f>
        <v/>
      </c>
      <c r="G692" s="82">
        <f>IF('3B'!B42&lt;&gt;"",'3B'!G42,"")</f>
        <v/>
      </c>
      <c r="H692" s="92">
        <f>IF('3B'!B42&lt;&gt;"",'3B'!H42,"")</f>
        <v/>
      </c>
      <c r="I692" s="92">
        <f>IF('3B'!B42&lt;&gt;"",'3B'!I42,"")</f>
        <v/>
      </c>
      <c r="J692" s="82">
        <f>IF('3B'!B42&lt;&gt;"",'3B'!J42,"")</f>
        <v/>
      </c>
    </row>
    <row r="693" ht="15.75" customHeight="1" s="52">
      <c r="A693" s="97">
        <f>IF('3B'!B43&lt;&gt;"","3B","")</f>
        <v/>
      </c>
      <c r="B693" s="78">
        <f>IF('3B'!B43&lt;&gt;"",'3B'!B43,"")</f>
        <v/>
      </c>
      <c r="C693" s="78">
        <f>IF('3B'!B43&lt;&gt;"",'3B'!C43,"")</f>
        <v/>
      </c>
      <c r="D693" s="78">
        <f>IF('3B'!B43&lt;&gt;"",'3B'!D43,"")</f>
        <v/>
      </c>
      <c r="E693" s="78">
        <f>IF('3B'!B43&lt;&gt;"",'3B'!E43,"")</f>
        <v/>
      </c>
      <c r="F693" s="78">
        <f>IF('3B'!B43&lt;&gt;"",'3B'!F43,"")</f>
        <v/>
      </c>
      <c r="G693" s="78">
        <f>IF('3B'!B43&lt;&gt;"",'3B'!G43,"")</f>
        <v/>
      </c>
      <c r="H693" s="97">
        <f>IF('3B'!B43&lt;&gt;"",'3B'!H43,"")</f>
        <v/>
      </c>
      <c r="I693" s="97">
        <f>IF('3B'!B43&lt;&gt;"",'3B'!I43,"")</f>
        <v/>
      </c>
      <c r="J693" s="78">
        <f>IF('3B'!B43&lt;&gt;"",'3B'!J43,"")</f>
        <v/>
      </c>
    </row>
    <row r="694" ht="15.75" customHeight="1" s="52">
      <c r="A694" s="92">
        <f>IF('3B'!B44&lt;&gt;"","3B","")</f>
        <v/>
      </c>
      <c r="B694" s="82">
        <f>IF('3B'!B44&lt;&gt;"",'3B'!B44,"")</f>
        <v/>
      </c>
      <c r="C694" s="82">
        <f>IF('3B'!B44&lt;&gt;"",'3B'!C44,"")</f>
        <v/>
      </c>
      <c r="D694" s="82">
        <f>IF('3B'!B44&lt;&gt;"",'3B'!D44,"")</f>
        <v/>
      </c>
      <c r="E694" s="82">
        <f>IF('3B'!B44&lt;&gt;"",'3B'!E44,"")</f>
        <v/>
      </c>
      <c r="F694" s="82">
        <f>IF('3B'!B44&lt;&gt;"",'3B'!F44,"")</f>
        <v/>
      </c>
      <c r="G694" s="82">
        <f>IF('3B'!B44&lt;&gt;"",'3B'!G44,"")</f>
        <v/>
      </c>
      <c r="H694" s="92">
        <f>IF('3B'!B44&lt;&gt;"",'3B'!H44,"")</f>
        <v/>
      </c>
      <c r="I694" s="92">
        <f>IF('3B'!B44&lt;&gt;"",'3B'!I44,"")</f>
        <v/>
      </c>
      <c r="J694" s="82">
        <f>IF('3B'!B44&lt;&gt;"",'3B'!J44,"")</f>
        <v/>
      </c>
    </row>
    <row r="695" ht="15.75" customHeight="1" s="52">
      <c r="A695" s="97">
        <f>IF('3B'!B45&lt;&gt;"","3B","")</f>
        <v/>
      </c>
      <c r="B695" s="78">
        <f>IF('3B'!B45&lt;&gt;"",'3B'!B45,"")</f>
        <v/>
      </c>
      <c r="C695" s="78">
        <f>IF('3B'!B45&lt;&gt;"",'3B'!C45,"")</f>
        <v/>
      </c>
      <c r="D695" s="78">
        <f>IF('3B'!B45&lt;&gt;"",'3B'!D45,"")</f>
        <v/>
      </c>
      <c r="E695" s="78">
        <f>IF('3B'!B45&lt;&gt;"",'3B'!E45,"")</f>
        <v/>
      </c>
      <c r="F695" s="78">
        <f>IF('3B'!B45&lt;&gt;"",'3B'!F45,"")</f>
        <v/>
      </c>
      <c r="G695" s="78">
        <f>IF('3B'!B45&lt;&gt;"",'3B'!G45,"")</f>
        <v/>
      </c>
      <c r="H695" s="97">
        <f>IF('3B'!B45&lt;&gt;"",'3B'!H45,"")</f>
        <v/>
      </c>
      <c r="I695" s="97">
        <f>IF('3B'!B45&lt;&gt;"",'3B'!I45,"")</f>
        <v/>
      </c>
      <c r="J695" s="78">
        <f>IF('3B'!B45&lt;&gt;"",'3B'!J45,"")</f>
        <v/>
      </c>
    </row>
    <row r="696" ht="15.75" customHeight="1" s="52">
      <c r="A696" s="92">
        <f>IF('3B'!B46&lt;&gt;"","3B","")</f>
        <v/>
      </c>
      <c r="B696" s="82">
        <f>IF('3B'!B46&lt;&gt;"",'3B'!B46,"")</f>
        <v/>
      </c>
      <c r="C696" s="82">
        <f>IF('3B'!B46&lt;&gt;"",'3B'!C46,"")</f>
        <v/>
      </c>
      <c r="D696" s="82">
        <f>IF('3B'!B46&lt;&gt;"",'3B'!D46,"")</f>
        <v/>
      </c>
      <c r="E696" s="82">
        <f>IF('3B'!B46&lt;&gt;"",'3B'!E46,"")</f>
        <v/>
      </c>
      <c r="F696" s="82">
        <f>IF('3B'!B46&lt;&gt;"",'3B'!F46,"")</f>
        <v/>
      </c>
      <c r="G696" s="82">
        <f>IF('3B'!B46&lt;&gt;"",'3B'!G46,"")</f>
        <v/>
      </c>
      <c r="H696" s="92">
        <f>IF('3B'!B46&lt;&gt;"",'3B'!H46,"")</f>
        <v/>
      </c>
      <c r="I696" s="92">
        <f>IF('3B'!B46&lt;&gt;"",'3B'!I46,"")</f>
        <v/>
      </c>
      <c r="J696" s="82">
        <f>IF('3B'!B46&lt;&gt;"",'3B'!J46,"")</f>
        <v/>
      </c>
    </row>
    <row r="697" ht="15.75" customHeight="1" s="52">
      <c r="A697" s="97">
        <f>IF('3B'!B47&lt;&gt;"","3B","")</f>
        <v/>
      </c>
      <c r="B697" s="78">
        <f>IF('3B'!B47&lt;&gt;"",'3B'!B47,"")</f>
        <v/>
      </c>
      <c r="C697" s="78">
        <f>IF('3B'!B47&lt;&gt;"",'3B'!C47,"")</f>
        <v/>
      </c>
      <c r="D697" s="78">
        <f>IF('3B'!B47&lt;&gt;"",'3B'!D47,"")</f>
        <v/>
      </c>
      <c r="E697" s="78">
        <f>IF('3B'!B47&lt;&gt;"",'3B'!E47,"")</f>
        <v/>
      </c>
      <c r="F697" s="78">
        <f>IF('3B'!B47&lt;&gt;"",'3B'!F47,"")</f>
        <v/>
      </c>
      <c r="G697" s="78">
        <f>IF('3B'!B47&lt;&gt;"",'3B'!G47,"")</f>
        <v/>
      </c>
      <c r="H697" s="97">
        <f>IF('3B'!B47&lt;&gt;"",'3B'!H47,"")</f>
        <v/>
      </c>
      <c r="I697" s="97">
        <f>IF('3B'!B47&lt;&gt;"",'3B'!I47,"")</f>
        <v/>
      </c>
      <c r="J697" s="78">
        <f>IF('3B'!B47&lt;&gt;"",'3B'!J47,"")</f>
        <v/>
      </c>
    </row>
    <row r="698" ht="15.75" customHeight="1" s="52">
      <c r="A698" s="92">
        <f>IF('3B'!B48&lt;&gt;"","3B","")</f>
        <v/>
      </c>
      <c r="B698" s="82">
        <f>IF('3B'!B48&lt;&gt;"",'3B'!B48,"")</f>
        <v/>
      </c>
      <c r="C698" s="82">
        <f>IF('3B'!B48&lt;&gt;"",'3B'!C48,"")</f>
        <v/>
      </c>
      <c r="D698" s="82">
        <f>IF('3B'!B48&lt;&gt;"",'3B'!D48,"")</f>
        <v/>
      </c>
      <c r="E698" s="82">
        <f>IF('3B'!B48&lt;&gt;"",'3B'!E48,"")</f>
        <v/>
      </c>
      <c r="F698" s="82">
        <f>IF('3B'!B48&lt;&gt;"",'3B'!F48,"")</f>
        <v/>
      </c>
      <c r="G698" s="82">
        <f>IF('3B'!B48&lt;&gt;"",'3B'!G48,"")</f>
        <v/>
      </c>
      <c r="H698" s="92">
        <f>IF('3B'!B48&lt;&gt;"",'3B'!H48,"")</f>
        <v/>
      </c>
      <c r="I698" s="92">
        <f>IF('3B'!B48&lt;&gt;"",'3B'!I48,"")</f>
        <v/>
      </c>
      <c r="J698" s="82">
        <f>IF('3B'!B48&lt;&gt;"",'3B'!J48,"")</f>
        <v/>
      </c>
    </row>
    <row r="699" ht="15.75" customHeight="1" s="52">
      <c r="A699" s="97">
        <f>IF('3B'!B49&lt;&gt;"","3B","")</f>
        <v/>
      </c>
      <c r="B699" s="78">
        <f>IF('3B'!B49&lt;&gt;"",'3B'!B49,"")</f>
        <v/>
      </c>
      <c r="C699" s="78">
        <f>IF('3B'!B49&lt;&gt;"",'3B'!C49,"")</f>
        <v/>
      </c>
      <c r="D699" s="78">
        <f>IF('3B'!B49&lt;&gt;"",'3B'!D49,"")</f>
        <v/>
      </c>
      <c r="E699" s="78">
        <f>IF('3B'!B49&lt;&gt;"",'3B'!E49,"")</f>
        <v/>
      </c>
      <c r="F699" s="78">
        <f>IF('3B'!B49&lt;&gt;"",'3B'!F49,"")</f>
        <v/>
      </c>
      <c r="G699" s="78">
        <f>IF('3B'!B49&lt;&gt;"",'3B'!G49,"")</f>
        <v/>
      </c>
      <c r="H699" s="97">
        <f>IF('3B'!B49&lt;&gt;"",'3B'!H49,"")</f>
        <v/>
      </c>
      <c r="I699" s="97">
        <f>IF('3B'!B49&lt;&gt;"",'3B'!I49,"")</f>
        <v/>
      </c>
      <c r="J699" s="78">
        <f>IF('3B'!B49&lt;&gt;"",'3B'!J49,"")</f>
        <v/>
      </c>
    </row>
    <row r="700" ht="15.75" customHeight="1" s="52">
      <c r="A700" s="92">
        <f>IF('3B'!B50&lt;&gt;"","3B","")</f>
        <v/>
      </c>
      <c r="B700" s="82">
        <f>IF('3B'!B50&lt;&gt;"",'3B'!B50,"")</f>
        <v/>
      </c>
      <c r="C700" s="82">
        <f>IF('3B'!B50&lt;&gt;"",'3B'!C50,"")</f>
        <v/>
      </c>
      <c r="D700" s="82">
        <f>IF('3B'!B50&lt;&gt;"",'3B'!D50,"")</f>
        <v/>
      </c>
      <c r="E700" s="82">
        <f>IF('3B'!B50&lt;&gt;"",'3B'!E50,"")</f>
        <v/>
      </c>
      <c r="F700" s="82">
        <f>IF('3B'!B50&lt;&gt;"",'3B'!F50,"")</f>
        <v/>
      </c>
      <c r="G700" s="82">
        <f>IF('3B'!B50&lt;&gt;"",'3B'!G50,"")</f>
        <v/>
      </c>
      <c r="H700" s="92">
        <f>IF('3B'!B50&lt;&gt;"",'3B'!H50,"")</f>
        <v/>
      </c>
      <c r="I700" s="92">
        <f>IF('3B'!B50&lt;&gt;"",'3B'!I50,"")</f>
        <v/>
      </c>
      <c r="J700" s="82">
        <f>IF('3B'!B50&lt;&gt;"",'3B'!J50,"")</f>
        <v/>
      </c>
    </row>
    <row r="701" ht="15.75" customHeight="1" s="52">
      <c r="A701" s="97">
        <f>IF('3B'!B51&lt;&gt;"","3B","")</f>
        <v/>
      </c>
      <c r="B701" s="78">
        <f>IF('3B'!B51&lt;&gt;"",'3B'!B51,"")</f>
        <v/>
      </c>
      <c r="C701" s="78">
        <f>IF('3B'!B51&lt;&gt;"",'3B'!C51,"")</f>
        <v/>
      </c>
      <c r="D701" s="78">
        <f>IF('3B'!B51&lt;&gt;"",'3B'!D51,"")</f>
        <v/>
      </c>
      <c r="E701" s="78">
        <f>IF('3B'!B51&lt;&gt;"",'3B'!E51,"")</f>
        <v/>
      </c>
      <c r="F701" s="78">
        <f>IF('3B'!B51&lt;&gt;"",'3B'!F51,"")</f>
        <v/>
      </c>
      <c r="G701" s="78">
        <f>IF('3B'!B51&lt;&gt;"",'3B'!G51,"")</f>
        <v/>
      </c>
      <c r="H701" s="97">
        <f>IF('3B'!B51&lt;&gt;"",'3B'!H51,"")</f>
        <v/>
      </c>
      <c r="I701" s="97">
        <f>IF('3B'!B51&lt;&gt;"",'3B'!I51,"")</f>
        <v/>
      </c>
      <c r="J701" s="78">
        <f>IF('3B'!B51&lt;&gt;"",'3B'!J51,"")</f>
        <v/>
      </c>
    </row>
    <row r="702" ht="15.75" customHeight="1" s="52">
      <c r="A702" s="92">
        <f>IF('3B'!B52&lt;&gt;"","3B","")</f>
        <v/>
      </c>
      <c r="B702" s="82">
        <f>IF('3B'!B52&lt;&gt;"",'3B'!B52,"")</f>
        <v/>
      </c>
      <c r="C702" s="82">
        <f>IF('3B'!B52&lt;&gt;"",'3B'!C52,"")</f>
        <v/>
      </c>
      <c r="D702" s="82">
        <f>IF('3B'!B52&lt;&gt;"",'3B'!D52,"")</f>
        <v/>
      </c>
      <c r="E702" s="82">
        <f>IF('3B'!B52&lt;&gt;"",'3B'!E52,"")</f>
        <v/>
      </c>
      <c r="F702" s="82">
        <f>IF('3B'!B52&lt;&gt;"",'3B'!F52,"")</f>
        <v/>
      </c>
      <c r="G702" s="82">
        <f>IF('3B'!B52&lt;&gt;"",'3B'!G52,"")</f>
        <v/>
      </c>
      <c r="H702" s="92">
        <f>IF('3B'!B52&lt;&gt;"",'3B'!H52,"")</f>
        <v/>
      </c>
      <c r="I702" s="92">
        <f>IF('3B'!B52&lt;&gt;"",'3B'!I52,"")</f>
        <v/>
      </c>
      <c r="J702" s="82">
        <f>IF('3B'!B52&lt;&gt;"",'3B'!J52,"")</f>
        <v/>
      </c>
    </row>
    <row r="703" ht="15.75" customHeight="1" s="52">
      <c r="A703" s="97">
        <f>IF('3B'!B53&lt;&gt;"","3B","")</f>
        <v/>
      </c>
      <c r="B703" s="78">
        <f>IF('3B'!B53&lt;&gt;"",'3B'!B53,"")</f>
        <v/>
      </c>
      <c r="C703" s="78">
        <f>IF('3B'!B53&lt;&gt;"",'3B'!C53,"")</f>
        <v/>
      </c>
      <c r="D703" s="78">
        <f>IF('3B'!B53&lt;&gt;"",'3B'!D53,"")</f>
        <v/>
      </c>
      <c r="E703" s="78">
        <f>IF('3B'!B53&lt;&gt;"",'3B'!E53,"")</f>
        <v/>
      </c>
      <c r="F703" s="78">
        <f>IF('3B'!B53&lt;&gt;"",'3B'!F53,"")</f>
        <v/>
      </c>
      <c r="G703" s="78">
        <f>IF('3B'!B53&lt;&gt;"",'3B'!G53,"")</f>
        <v/>
      </c>
      <c r="H703" s="97">
        <f>IF('3B'!B53&lt;&gt;"",'3B'!H53,"")</f>
        <v/>
      </c>
      <c r="I703" s="97">
        <f>IF('3B'!B53&lt;&gt;"",'3B'!I53,"")</f>
        <v/>
      </c>
      <c r="J703" s="78">
        <f>IF('3B'!B53&lt;&gt;"",'3B'!J53,"")</f>
        <v/>
      </c>
    </row>
    <row r="704" ht="15.75" customHeight="1" s="52">
      <c r="A704" s="92">
        <f>IF('3B'!B54&lt;&gt;"","3B","")</f>
        <v/>
      </c>
      <c r="B704" s="82">
        <f>IF('3B'!B54&lt;&gt;"",'3B'!B54,"")</f>
        <v/>
      </c>
      <c r="C704" s="82">
        <f>IF('3B'!B54&lt;&gt;"",'3B'!C54,"")</f>
        <v/>
      </c>
      <c r="D704" s="82">
        <f>IF('3B'!B54&lt;&gt;"",'3B'!D54,"")</f>
        <v/>
      </c>
      <c r="E704" s="82">
        <f>IF('3B'!B54&lt;&gt;"",'3B'!E54,"")</f>
        <v/>
      </c>
      <c r="F704" s="82">
        <f>IF('3B'!B54&lt;&gt;"",'3B'!F54,"")</f>
        <v/>
      </c>
      <c r="G704" s="82">
        <f>IF('3B'!B54&lt;&gt;"",'3B'!G54,"")</f>
        <v/>
      </c>
      <c r="H704" s="92">
        <f>IF('3B'!B54&lt;&gt;"",'3B'!H54,"")</f>
        <v/>
      </c>
      <c r="I704" s="92">
        <f>IF('3B'!B54&lt;&gt;"",'3B'!I54,"")</f>
        <v/>
      </c>
      <c r="J704" s="82">
        <f>IF('3B'!B54&lt;&gt;"",'3B'!J54,"")</f>
        <v/>
      </c>
    </row>
    <row r="705" ht="15.75" customHeight="1" s="52">
      <c r="A705" s="97">
        <f>IF('3C'!B5&lt;&gt;"","3C","")</f>
        <v/>
      </c>
      <c r="B705" s="78">
        <f>IF('3C'!B5&lt;&gt;"",'3C'!B5,"")</f>
        <v/>
      </c>
      <c r="C705" s="78">
        <f>IF('3C'!B5&lt;&gt;"",'3C'!C5,"")</f>
        <v/>
      </c>
      <c r="D705" s="78">
        <f>IF('3C'!B5&lt;&gt;"",'3C'!D5,"")</f>
        <v/>
      </c>
      <c r="E705" s="78">
        <f>IF('3C'!B5&lt;&gt;"",'3C'!E5,"")</f>
        <v/>
      </c>
      <c r="F705" s="78">
        <f>IF('3C'!B5&lt;&gt;"",'3C'!F5,"")</f>
        <v/>
      </c>
      <c r="G705" s="78">
        <f>IF('3C'!B5&lt;&gt;"",'3C'!G5,"")</f>
        <v/>
      </c>
      <c r="H705" s="97">
        <f>IF('3C'!B5&lt;&gt;"",'3C'!H5,"")</f>
        <v/>
      </c>
      <c r="I705" s="97">
        <f>IF('3C'!B5&lt;&gt;"",'3C'!I5,"")</f>
        <v/>
      </c>
      <c r="J705" s="78">
        <f>IF('3C'!B5&lt;&gt;"",'3C'!J5,"")</f>
        <v/>
      </c>
    </row>
    <row r="706" ht="15.75" customHeight="1" s="52">
      <c r="A706" s="92">
        <f>IF('3C'!B6&lt;&gt;"","3C","")</f>
        <v/>
      </c>
      <c r="B706" s="82">
        <f>IF('3C'!B6&lt;&gt;"",'3C'!B6,"")</f>
        <v/>
      </c>
      <c r="C706" s="82">
        <f>IF('3C'!B6&lt;&gt;"",'3C'!C6,"")</f>
        <v/>
      </c>
      <c r="D706" s="82">
        <f>IF('3C'!B6&lt;&gt;"",'3C'!D6,"")</f>
        <v/>
      </c>
      <c r="E706" s="82">
        <f>IF('3C'!B6&lt;&gt;"",'3C'!E6,"")</f>
        <v/>
      </c>
      <c r="F706" s="82">
        <f>IF('3C'!B6&lt;&gt;"",'3C'!F6,"")</f>
        <v/>
      </c>
      <c r="G706" s="82">
        <f>IF('3C'!B6&lt;&gt;"",'3C'!G6,"")</f>
        <v/>
      </c>
      <c r="H706" s="92">
        <f>IF('3C'!B6&lt;&gt;"",'3C'!H6,"")</f>
        <v/>
      </c>
      <c r="I706" s="92">
        <f>IF('3C'!B6&lt;&gt;"",'3C'!I6,"")</f>
        <v/>
      </c>
      <c r="J706" s="82">
        <f>IF('3C'!B6&lt;&gt;"",'3C'!J6,"")</f>
        <v/>
      </c>
    </row>
    <row r="707" ht="15.75" customHeight="1" s="52">
      <c r="A707" s="97">
        <f>IF('3C'!B7&lt;&gt;"","3C","")</f>
        <v/>
      </c>
      <c r="B707" s="78">
        <f>IF('3C'!B7&lt;&gt;"",'3C'!B7,"")</f>
        <v/>
      </c>
      <c r="C707" s="78">
        <f>IF('3C'!B7&lt;&gt;"",'3C'!C7,"")</f>
        <v/>
      </c>
      <c r="D707" s="78">
        <f>IF('3C'!B7&lt;&gt;"",'3C'!D7,"")</f>
        <v/>
      </c>
      <c r="E707" s="78">
        <f>IF('3C'!B7&lt;&gt;"",'3C'!E7,"")</f>
        <v/>
      </c>
      <c r="F707" s="78">
        <f>IF('3C'!B7&lt;&gt;"",'3C'!F7,"")</f>
        <v/>
      </c>
      <c r="G707" s="78">
        <f>IF('3C'!B7&lt;&gt;"",'3C'!G7,"")</f>
        <v/>
      </c>
      <c r="H707" s="97">
        <f>IF('3C'!B7&lt;&gt;"",'3C'!H7,"")</f>
        <v/>
      </c>
      <c r="I707" s="97">
        <f>IF('3C'!B7&lt;&gt;"",'3C'!I7,"")</f>
        <v/>
      </c>
      <c r="J707" s="78">
        <f>IF('3C'!B7&lt;&gt;"",'3C'!J7,"")</f>
        <v/>
      </c>
    </row>
    <row r="708" ht="15.75" customHeight="1" s="52">
      <c r="A708" s="92">
        <f>IF('3C'!B8&lt;&gt;"","3C","")</f>
        <v/>
      </c>
      <c r="B708" s="82">
        <f>IF('3C'!B8&lt;&gt;"",'3C'!B8,"")</f>
        <v/>
      </c>
      <c r="C708" s="82">
        <f>IF('3C'!B8&lt;&gt;"",'3C'!C8,"")</f>
        <v/>
      </c>
      <c r="D708" s="82">
        <f>IF('3C'!B8&lt;&gt;"",'3C'!D8,"")</f>
        <v/>
      </c>
      <c r="E708" s="82">
        <f>IF('3C'!B8&lt;&gt;"",'3C'!E8,"")</f>
        <v/>
      </c>
      <c r="F708" s="82">
        <f>IF('3C'!B8&lt;&gt;"",'3C'!F8,"")</f>
        <v/>
      </c>
      <c r="G708" s="82">
        <f>IF('3C'!B8&lt;&gt;"",'3C'!G8,"")</f>
        <v/>
      </c>
      <c r="H708" s="92">
        <f>IF('3C'!B8&lt;&gt;"",'3C'!H8,"")</f>
        <v/>
      </c>
      <c r="I708" s="92">
        <f>IF('3C'!B8&lt;&gt;"",'3C'!I8,"")</f>
        <v/>
      </c>
      <c r="J708" s="82">
        <f>IF('3C'!B8&lt;&gt;"",'3C'!J8,"")</f>
        <v/>
      </c>
    </row>
    <row r="709" ht="15.75" customHeight="1" s="52">
      <c r="A709" s="97">
        <f>IF('3C'!B9&lt;&gt;"","3C","")</f>
        <v/>
      </c>
      <c r="B709" s="78">
        <f>IF('3C'!B9&lt;&gt;"",'3C'!B9,"")</f>
        <v/>
      </c>
      <c r="C709" s="78">
        <f>IF('3C'!B9&lt;&gt;"",'3C'!C9,"")</f>
        <v/>
      </c>
      <c r="D709" s="78">
        <f>IF('3C'!B9&lt;&gt;"",'3C'!D9,"")</f>
        <v/>
      </c>
      <c r="E709" s="78">
        <f>IF('3C'!B9&lt;&gt;"",'3C'!E9,"")</f>
        <v/>
      </c>
      <c r="F709" s="78">
        <f>IF('3C'!B9&lt;&gt;"",'3C'!F9,"")</f>
        <v/>
      </c>
      <c r="G709" s="78">
        <f>IF('3C'!B9&lt;&gt;"",'3C'!G9,"")</f>
        <v/>
      </c>
      <c r="H709" s="97">
        <f>IF('3C'!B9&lt;&gt;"",'3C'!H9,"")</f>
        <v/>
      </c>
      <c r="I709" s="97">
        <f>IF('3C'!B9&lt;&gt;"",'3C'!I9,"")</f>
        <v/>
      </c>
      <c r="J709" s="78">
        <f>IF('3C'!B9&lt;&gt;"",'3C'!J9,"")</f>
        <v/>
      </c>
    </row>
    <row r="710" ht="15.75" customHeight="1" s="52">
      <c r="A710" s="92">
        <f>IF('3C'!B10&lt;&gt;"","3C","")</f>
        <v/>
      </c>
      <c r="B710" s="82">
        <f>IF('3C'!B10&lt;&gt;"",'3C'!B10,"")</f>
        <v/>
      </c>
      <c r="C710" s="82">
        <f>IF('3C'!B10&lt;&gt;"",'3C'!C10,"")</f>
        <v/>
      </c>
      <c r="D710" s="82">
        <f>IF('3C'!B10&lt;&gt;"",'3C'!D10,"")</f>
        <v/>
      </c>
      <c r="E710" s="82">
        <f>IF('3C'!B10&lt;&gt;"",'3C'!E10,"")</f>
        <v/>
      </c>
      <c r="F710" s="82">
        <f>IF('3C'!B10&lt;&gt;"",'3C'!F10,"")</f>
        <v/>
      </c>
      <c r="G710" s="82">
        <f>IF('3C'!B10&lt;&gt;"",'3C'!G10,"")</f>
        <v/>
      </c>
      <c r="H710" s="92">
        <f>IF('3C'!B10&lt;&gt;"",'3C'!H10,"")</f>
        <v/>
      </c>
      <c r="I710" s="92">
        <f>IF('3C'!B10&lt;&gt;"",'3C'!I10,"")</f>
        <v/>
      </c>
      <c r="J710" s="82">
        <f>IF('3C'!B10&lt;&gt;"",'3C'!J10,"")</f>
        <v/>
      </c>
    </row>
    <row r="711" ht="15.75" customHeight="1" s="52">
      <c r="A711" s="97">
        <f>IF('3C'!B11&lt;&gt;"","3C","")</f>
        <v/>
      </c>
      <c r="B711" s="78">
        <f>IF('3C'!B11&lt;&gt;"",'3C'!B11,"")</f>
        <v/>
      </c>
      <c r="C711" s="78">
        <f>IF('3C'!B11&lt;&gt;"",'3C'!C11,"")</f>
        <v/>
      </c>
      <c r="D711" s="78">
        <f>IF('3C'!B11&lt;&gt;"",'3C'!D11,"")</f>
        <v/>
      </c>
      <c r="E711" s="78">
        <f>IF('3C'!B11&lt;&gt;"",'3C'!E11,"")</f>
        <v/>
      </c>
      <c r="F711" s="78">
        <f>IF('3C'!B11&lt;&gt;"",'3C'!F11,"")</f>
        <v/>
      </c>
      <c r="G711" s="78">
        <f>IF('3C'!B11&lt;&gt;"",'3C'!G11,"")</f>
        <v/>
      </c>
      <c r="H711" s="97">
        <f>IF('3C'!B11&lt;&gt;"",'3C'!H11,"")</f>
        <v/>
      </c>
      <c r="I711" s="97">
        <f>IF('3C'!B11&lt;&gt;"",'3C'!I11,"")</f>
        <v/>
      </c>
      <c r="J711" s="78">
        <f>IF('3C'!B11&lt;&gt;"",'3C'!J11,"")</f>
        <v/>
      </c>
    </row>
    <row r="712" ht="15.75" customHeight="1" s="52">
      <c r="A712" s="92">
        <f>IF('3C'!B12&lt;&gt;"","3C","")</f>
        <v/>
      </c>
      <c r="B712" s="82">
        <f>IF('3C'!B12&lt;&gt;"",'3C'!B12,"")</f>
        <v/>
      </c>
      <c r="C712" s="82">
        <f>IF('3C'!B12&lt;&gt;"",'3C'!C12,"")</f>
        <v/>
      </c>
      <c r="D712" s="82">
        <f>IF('3C'!B12&lt;&gt;"",'3C'!D12,"")</f>
        <v/>
      </c>
      <c r="E712" s="82">
        <f>IF('3C'!B12&lt;&gt;"",'3C'!E12,"")</f>
        <v/>
      </c>
      <c r="F712" s="82">
        <f>IF('3C'!B12&lt;&gt;"",'3C'!F12,"")</f>
        <v/>
      </c>
      <c r="G712" s="82">
        <f>IF('3C'!B12&lt;&gt;"",'3C'!G12,"")</f>
        <v/>
      </c>
      <c r="H712" s="92">
        <f>IF('3C'!B12&lt;&gt;"",'3C'!H12,"")</f>
        <v/>
      </c>
      <c r="I712" s="92">
        <f>IF('3C'!B12&lt;&gt;"",'3C'!I12,"")</f>
        <v/>
      </c>
      <c r="J712" s="82">
        <f>IF('3C'!B12&lt;&gt;"",'3C'!J12,"")</f>
        <v/>
      </c>
    </row>
    <row r="713" ht="15.75" customHeight="1" s="52">
      <c r="A713" s="97">
        <f>IF('3C'!B13&lt;&gt;"","3C","")</f>
        <v/>
      </c>
      <c r="B713" s="78">
        <f>IF('3C'!B13&lt;&gt;"",'3C'!B13,"")</f>
        <v/>
      </c>
      <c r="C713" s="78">
        <f>IF('3C'!B13&lt;&gt;"",'3C'!C13,"")</f>
        <v/>
      </c>
      <c r="D713" s="78">
        <f>IF('3C'!B13&lt;&gt;"",'3C'!D13,"")</f>
        <v/>
      </c>
      <c r="E713" s="78">
        <f>IF('3C'!B13&lt;&gt;"",'3C'!E13,"")</f>
        <v/>
      </c>
      <c r="F713" s="78">
        <f>IF('3C'!B13&lt;&gt;"",'3C'!F13,"")</f>
        <v/>
      </c>
      <c r="G713" s="78">
        <f>IF('3C'!B13&lt;&gt;"",'3C'!G13,"")</f>
        <v/>
      </c>
      <c r="H713" s="97">
        <f>IF('3C'!B13&lt;&gt;"",'3C'!H13,"")</f>
        <v/>
      </c>
      <c r="I713" s="97">
        <f>IF('3C'!B13&lt;&gt;"",'3C'!I13,"")</f>
        <v/>
      </c>
      <c r="J713" s="78">
        <f>IF('3C'!B13&lt;&gt;"",'3C'!J13,"")</f>
        <v/>
      </c>
    </row>
    <row r="714" ht="15.75" customHeight="1" s="52">
      <c r="A714" s="92">
        <f>IF('3C'!B14&lt;&gt;"","3C","")</f>
        <v/>
      </c>
      <c r="B714" s="82">
        <f>IF('3C'!B14&lt;&gt;"",'3C'!B14,"")</f>
        <v/>
      </c>
      <c r="C714" s="82">
        <f>IF('3C'!B14&lt;&gt;"",'3C'!C14,"")</f>
        <v/>
      </c>
      <c r="D714" s="82">
        <f>IF('3C'!B14&lt;&gt;"",'3C'!D14,"")</f>
        <v/>
      </c>
      <c r="E714" s="82">
        <f>IF('3C'!B14&lt;&gt;"",'3C'!E14,"")</f>
        <v/>
      </c>
      <c r="F714" s="82">
        <f>IF('3C'!B14&lt;&gt;"",'3C'!F14,"")</f>
        <v/>
      </c>
      <c r="G714" s="82">
        <f>IF('3C'!B14&lt;&gt;"",'3C'!G14,"")</f>
        <v/>
      </c>
      <c r="H714" s="92">
        <f>IF('3C'!B14&lt;&gt;"",'3C'!H14,"")</f>
        <v/>
      </c>
      <c r="I714" s="92">
        <f>IF('3C'!B14&lt;&gt;"",'3C'!I14,"")</f>
        <v/>
      </c>
      <c r="J714" s="82">
        <f>IF('3C'!B14&lt;&gt;"",'3C'!J14,"")</f>
        <v/>
      </c>
    </row>
    <row r="715" ht="15.75" customHeight="1" s="52">
      <c r="A715" s="97">
        <f>IF('3C'!B15&lt;&gt;"","3C","")</f>
        <v/>
      </c>
      <c r="B715" s="78">
        <f>IF('3C'!B15&lt;&gt;"",'3C'!B15,"")</f>
        <v/>
      </c>
      <c r="C715" s="78">
        <f>IF('3C'!B15&lt;&gt;"",'3C'!C15,"")</f>
        <v/>
      </c>
      <c r="D715" s="78">
        <f>IF('3C'!B15&lt;&gt;"",'3C'!D15,"")</f>
        <v/>
      </c>
      <c r="E715" s="78">
        <f>IF('3C'!B15&lt;&gt;"",'3C'!E15,"")</f>
        <v/>
      </c>
      <c r="F715" s="78">
        <f>IF('3C'!B15&lt;&gt;"",'3C'!F15,"")</f>
        <v/>
      </c>
      <c r="G715" s="78">
        <f>IF('3C'!B15&lt;&gt;"",'3C'!G15,"")</f>
        <v/>
      </c>
      <c r="H715" s="97">
        <f>IF('3C'!B15&lt;&gt;"",'3C'!H15,"")</f>
        <v/>
      </c>
      <c r="I715" s="97">
        <f>IF('3C'!B15&lt;&gt;"",'3C'!I15,"")</f>
        <v/>
      </c>
      <c r="J715" s="78">
        <f>IF('3C'!B15&lt;&gt;"",'3C'!J15,"")</f>
        <v/>
      </c>
    </row>
    <row r="716" ht="15.75" customHeight="1" s="52">
      <c r="A716" s="92">
        <f>IF('3C'!B16&lt;&gt;"","3C","")</f>
        <v/>
      </c>
      <c r="B716" s="82">
        <f>IF('3C'!B16&lt;&gt;"",'3C'!B16,"")</f>
        <v/>
      </c>
      <c r="C716" s="82">
        <f>IF('3C'!B16&lt;&gt;"",'3C'!C16,"")</f>
        <v/>
      </c>
      <c r="D716" s="82">
        <f>IF('3C'!B16&lt;&gt;"",'3C'!D16,"")</f>
        <v/>
      </c>
      <c r="E716" s="82">
        <f>IF('3C'!B16&lt;&gt;"",'3C'!E16,"")</f>
        <v/>
      </c>
      <c r="F716" s="82">
        <f>IF('3C'!B16&lt;&gt;"",'3C'!F16,"")</f>
        <v/>
      </c>
      <c r="G716" s="82">
        <f>IF('3C'!B16&lt;&gt;"",'3C'!G16,"")</f>
        <v/>
      </c>
      <c r="H716" s="92">
        <f>IF('3C'!B16&lt;&gt;"",'3C'!H16,"")</f>
        <v/>
      </c>
      <c r="I716" s="92">
        <f>IF('3C'!B16&lt;&gt;"",'3C'!I16,"")</f>
        <v/>
      </c>
      <c r="J716" s="82">
        <f>IF('3C'!B16&lt;&gt;"",'3C'!J16,"")</f>
        <v/>
      </c>
    </row>
    <row r="717" ht="15.75" customHeight="1" s="52">
      <c r="A717" s="97">
        <f>IF('3C'!B17&lt;&gt;"","3C","")</f>
        <v/>
      </c>
      <c r="B717" s="78">
        <f>IF('3C'!B17&lt;&gt;"",'3C'!B17,"")</f>
        <v/>
      </c>
      <c r="C717" s="78">
        <f>IF('3C'!B17&lt;&gt;"",'3C'!C17,"")</f>
        <v/>
      </c>
      <c r="D717" s="78">
        <f>IF('3C'!B17&lt;&gt;"",'3C'!D17,"")</f>
        <v/>
      </c>
      <c r="E717" s="78">
        <f>IF('3C'!B17&lt;&gt;"",'3C'!E17,"")</f>
        <v/>
      </c>
      <c r="F717" s="78">
        <f>IF('3C'!B17&lt;&gt;"",'3C'!F17,"")</f>
        <v/>
      </c>
      <c r="G717" s="78">
        <f>IF('3C'!B17&lt;&gt;"",'3C'!G17,"")</f>
        <v/>
      </c>
      <c r="H717" s="97">
        <f>IF('3C'!B17&lt;&gt;"",'3C'!H17,"")</f>
        <v/>
      </c>
      <c r="I717" s="97">
        <f>IF('3C'!B17&lt;&gt;"",'3C'!I17,"")</f>
        <v/>
      </c>
      <c r="J717" s="78">
        <f>IF('3C'!B17&lt;&gt;"",'3C'!J17,"")</f>
        <v/>
      </c>
    </row>
    <row r="718" ht="15.75" customHeight="1" s="52">
      <c r="A718" s="92">
        <f>IF('3C'!B18&lt;&gt;"","3C","")</f>
        <v/>
      </c>
      <c r="B718" s="82">
        <f>IF('3C'!B18&lt;&gt;"",'3C'!B18,"")</f>
        <v/>
      </c>
      <c r="C718" s="82">
        <f>IF('3C'!B18&lt;&gt;"",'3C'!C18,"")</f>
        <v/>
      </c>
      <c r="D718" s="82">
        <f>IF('3C'!B18&lt;&gt;"",'3C'!D18,"")</f>
        <v/>
      </c>
      <c r="E718" s="82">
        <f>IF('3C'!B18&lt;&gt;"",'3C'!E18,"")</f>
        <v/>
      </c>
      <c r="F718" s="82">
        <f>IF('3C'!B18&lt;&gt;"",'3C'!F18,"")</f>
        <v/>
      </c>
      <c r="G718" s="82">
        <f>IF('3C'!B18&lt;&gt;"",'3C'!G18,"")</f>
        <v/>
      </c>
      <c r="H718" s="92">
        <f>IF('3C'!B18&lt;&gt;"",'3C'!H18,"")</f>
        <v/>
      </c>
      <c r="I718" s="92">
        <f>IF('3C'!B18&lt;&gt;"",'3C'!I18,"")</f>
        <v/>
      </c>
      <c r="J718" s="82">
        <f>IF('3C'!B18&lt;&gt;"",'3C'!J18,"")</f>
        <v/>
      </c>
    </row>
    <row r="719" ht="15.75" customHeight="1" s="52">
      <c r="A719" s="97">
        <f>IF('3C'!B19&lt;&gt;"","3C","")</f>
        <v/>
      </c>
      <c r="B719" s="78">
        <f>IF('3C'!B19&lt;&gt;"",'3C'!B19,"")</f>
        <v/>
      </c>
      <c r="C719" s="78">
        <f>IF('3C'!B19&lt;&gt;"",'3C'!C19,"")</f>
        <v/>
      </c>
      <c r="D719" s="78">
        <f>IF('3C'!B19&lt;&gt;"",'3C'!D19,"")</f>
        <v/>
      </c>
      <c r="E719" s="78">
        <f>IF('3C'!B19&lt;&gt;"",'3C'!E19,"")</f>
        <v/>
      </c>
      <c r="F719" s="78">
        <f>IF('3C'!B19&lt;&gt;"",'3C'!F19,"")</f>
        <v/>
      </c>
      <c r="G719" s="78">
        <f>IF('3C'!B19&lt;&gt;"",'3C'!G19,"")</f>
        <v/>
      </c>
      <c r="H719" s="97">
        <f>IF('3C'!B19&lt;&gt;"",'3C'!H19,"")</f>
        <v/>
      </c>
      <c r="I719" s="97">
        <f>IF('3C'!B19&lt;&gt;"",'3C'!I19,"")</f>
        <v/>
      </c>
      <c r="J719" s="78">
        <f>IF('3C'!B19&lt;&gt;"",'3C'!J19,"")</f>
        <v/>
      </c>
    </row>
    <row r="720" ht="15.75" customHeight="1" s="52">
      <c r="A720" s="92">
        <f>IF('3C'!B20&lt;&gt;"","3C","")</f>
        <v/>
      </c>
      <c r="B720" s="82">
        <f>IF('3C'!B20&lt;&gt;"",'3C'!B20,"")</f>
        <v/>
      </c>
      <c r="C720" s="82">
        <f>IF('3C'!B20&lt;&gt;"",'3C'!C20,"")</f>
        <v/>
      </c>
      <c r="D720" s="82">
        <f>IF('3C'!B20&lt;&gt;"",'3C'!D20,"")</f>
        <v/>
      </c>
      <c r="E720" s="82">
        <f>IF('3C'!B20&lt;&gt;"",'3C'!E20,"")</f>
        <v/>
      </c>
      <c r="F720" s="82">
        <f>IF('3C'!B20&lt;&gt;"",'3C'!F20,"")</f>
        <v/>
      </c>
      <c r="G720" s="82">
        <f>IF('3C'!B20&lt;&gt;"",'3C'!G20,"")</f>
        <v/>
      </c>
      <c r="H720" s="92">
        <f>IF('3C'!B20&lt;&gt;"",'3C'!H20,"")</f>
        <v/>
      </c>
      <c r="I720" s="92">
        <f>IF('3C'!B20&lt;&gt;"",'3C'!I20,"")</f>
        <v/>
      </c>
      <c r="J720" s="82">
        <f>IF('3C'!B20&lt;&gt;"",'3C'!J20,"")</f>
        <v/>
      </c>
    </row>
    <row r="721" ht="15.75" customHeight="1" s="52">
      <c r="A721" s="97">
        <f>IF('3C'!B21&lt;&gt;"","3C","")</f>
        <v/>
      </c>
      <c r="B721" s="78">
        <f>IF('3C'!B21&lt;&gt;"",'3C'!B21,"")</f>
        <v/>
      </c>
      <c r="C721" s="78">
        <f>IF('3C'!B21&lt;&gt;"",'3C'!C21,"")</f>
        <v/>
      </c>
      <c r="D721" s="78">
        <f>IF('3C'!B21&lt;&gt;"",'3C'!D21,"")</f>
        <v/>
      </c>
      <c r="E721" s="78">
        <f>IF('3C'!B21&lt;&gt;"",'3C'!E21,"")</f>
        <v/>
      </c>
      <c r="F721" s="78">
        <f>IF('3C'!B21&lt;&gt;"",'3C'!F21,"")</f>
        <v/>
      </c>
      <c r="G721" s="78">
        <f>IF('3C'!B21&lt;&gt;"",'3C'!G21,"")</f>
        <v/>
      </c>
      <c r="H721" s="97">
        <f>IF('3C'!B21&lt;&gt;"",'3C'!H21,"")</f>
        <v/>
      </c>
      <c r="I721" s="97">
        <f>IF('3C'!B21&lt;&gt;"",'3C'!I21,"")</f>
        <v/>
      </c>
      <c r="J721" s="78">
        <f>IF('3C'!B21&lt;&gt;"",'3C'!J21,"")</f>
        <v/>
      </c>
    </row>
    <row r="722" ht="15.75" customHeight="1" s="52">
      <c r="A722" s="92">
        <f>IF('3C'!B22&lt;&gt;"","3C","")</f>
        <v/>
      </c>
      <c r="B722" s="82">
        <f>IF('3C'!B22&lt;&gt;"",'3C'!B22,"")</f>
        <v/>
      </c>
      <c r="C722" s="82">
        <f>IF('3C'!B22&lt;&gt;"",'3C'!C22,"")</f>
        <v/>
      </c>
      <c r="D722" s="82">
        <f>IF('3C'!B22&lt;&gt;"",'3C'!D22,"")</f>
        <v/>
      </c>
      <c r="E722" s="82">
        <f>IF('3C'!B22&lt;&gt;"",'3C'!E22,"")</f>
        <v/>
      </c>
      <c r="F722" s="82">
        <f>IF('3C'!B22&lt;&gt;"",'3C'!F22,"")</f>
        <v/>
      </c>
      <c r="G722" s="82">
        <f>IF('3C'!B22&lt;&gt;"",'3C'!G22,"")</f>
        <v/>
      </c>
      <c r="H722" s="92">
        <f>IF('3C'!B22&lt;&gt;"",'3C'!H22,"")</f>
        <v/>
      </c>
      <c r="I722" s="92">
        <f>IF('3C'!B22&lt;&gt;"",'3C'!I22,"")</f>
        <v/>
      </c>
      <c r="J722" s="82">
        <f>IF('3C'!B22&lt;&gt;"",'3C'!J22,"")</f>
        <v/>
      </c>
    </row>
    <row r="723" ht="15.75" customHeight="1" s="52">
      <c r="A723" s="97">
        <f>IF('3C'!B23&lt;&gt;"","3C","")</f>
        <v/>
      </c>
      <c r="B723" s="78">
        <f>IF('3C'!B23&lt;&gt;"",'3C'!B23,"")</f>
        <v/>
      </c>
      <c r="C723" s="78">
        <f>IF('3C'!B23&lt;&gt;"",'3C'!C23,"")</f>
        <v/>
      </c>
      <c r="D723" s="78">
        <f>IF('3C'!B23&lt;&gt;"",'3C'!D23,"")</f>
        <v/>
      </c>
      <c r="E723" s="78">
        <f>IF('3C'!B23&lt;&gt;"",'3C'!E23,"")</f>
        <v/>
      </c>
      <c r="F723" s="78">
        <f>IF('3C'!B23&lt;&gt;"",'3C'!F23,"")</f>
        <v/>
      </c>
      <c r="G723" s="78">
        <f>IF('3C'!B23&lt;&gt;"",'3C'!G23,"")</f>
        <v/>
      </c>
      <c r="H723" s="97">
        <f>IF('3C'!B23&lt;&gt;"",'3C'!H23,"")</f>
        <v/>
      </c>
      <c r="I723" s="97">
        <f>IF('3C'!B23&lt;&gt;"",'3C'!I23,"")</f>
        <v/>
      </c>
      <c r="J723" s="78">
        <f>IF('3C'!B23&lt;&gt;"",'3C'!J23,"")</f>
        <v/>
      </c>
    </row>
    <row r="724" ht="15.75" customHeight="1" s="52">
      <c r="A724" s="92">
        <f>IF('3C'!B24&lt;&gt;"","3C","")</f>
        <v/>
      </c>
      <c r="B724" s="82">
        <f>IF('3C'!B24&lt;&gt;"",'3C'!B24,"")</f>
        <v/>
      </c>
      <c r="C724" s="82">
        <f>IF('3C'!B24&lt;&gt;"",'3C'!C24,"")</f>
        <v/>
      </c>
      <c r="D724" s="82">
        <f>IF('3C'!B24&lt;&gt;"",'3C'!D24,"")</f>
        <v/>
      </c>
      <c r="E724" s="82">
        <f>IF('3C'!B24&lt;&gt;"",'3C'!E24,"")</f>
        <v/>
      </c>
      <c r="F724" s="82">
        <f>IF('3C'!B24&lt;&gt;"",'3C'!F24,"")</f>
        <v/>
      </c>
      <c r="G724" s="82">
        <f>IF('3C'!B24&lt;&gt;"",'3C'!G24,"")</f>
        <v/>
      </c>
      <c r="H724" s="92">
        <f>IF('3C'!B24&lt;&gt;"",'3C'!H24,"")</f>
        <v/>
      </c>
      <c r="I724" s="92">
        <f>IF('3C'!B24&lt;&gt;"",'3C'!I24,"")</f>
        <v/>
      </c>
      <c r="J724" s="82">
        <f>IF('3C'!B24&lt;&gt;"",'3C'!J24,"")</f>
        <v/>
      </c>
    </row>
    <row r="725" ht="15.75" customHeight="1" s="52">
      <c r="A725" s="97">
        <f>IF('3C'!B25&lt;&gt;"","3C","")</f>
        <v/>
      </c>
      <c r="B725" s="78">
        <f>IF('3C'!B25&lt;&gt;"",'3C'!B25,"")</f>
        <v/>
      </c>
      <c r="C725" s="78">
        <f>IF('3C'!B25&lt;&gt;"",'3C'!C25,"")</f>
        <v/>
      </c>
      <c r="D725" s="78">
        <f>IF('3C'!B25&lt;&gt;"",'3C'!D25,"")</f>
        <v/>
      </c>
      <c r="E725" s="78">
        <f>IF('3C'!B25&lt;&gt;"",'3C'!E25,"")</f>
        <v/>
      </c>
      <c r="F725" s="78">
        <f>IF('3C'!B25&lt;&gt;"",'3C'!F25,"")</f>
        <v/>
      </c>
      <c r="G725" s="78">
        <f>IF('3C'!B25&lt;&gt;"",'3C'!G25,"")</f>
        <v/>
      </c>
      <c r="H725" s="97">
        <f>IF('3C'!B25&lt;&gt;"",'3C'!H25,"")</f>
        <v/>
      </c>
      <c r="I725" s="97">
        <f>IF('3C'!B25&lt;&gt;"",'3C'!I25,"")</f>
        <v/>
      </c>
      <c r="J725" s="78">
        <f>IF('3C'!B25&lt;&gt;"",'3C'!J25,"")</f>
        <v/>
      </c>
    </row>
    <row r="726" ht="15.75" customHeight="1" s="52">
      <c r="A726" s="92">
        <f>IF('3C'!B26&lt;&gt;"","3C","")</f>
        <v/>
      </c>
      <c r="B726" s="82">
        <f>IF('3C'!B26&lt;&gt;"",'3C'!B26,"")</f>
        <v/>
      </c>
      <c r="C726" s="82">
        <f>IF('3C'!B26&lt;&gt;"",'3C'!C26,"")</f>
        <v/>
      </c>
      <c r="D726" s="82">
        <f>IF('3C'!B26&lt;&gt;"",'3C'!D26,"")</f>
        <v/>
      </c>
      <c r="E726" s="82">
        <f>IF('3C'!B26&lt;&gt;"",'3C'!E26,"")</f>
        <v/>
      </c>
      <c r="F726" s="82">
        <f>IF('3C'!B26&lt;&gt;"",'3C'!F26,"")</f>
        <v/>
      </c>
      <c r="G726" s="82">
        <f>IF('3C'!B26&lt;&gt;"",'3C'!G26,"")</f>
        <v/>
      </c>
      <c r="H726" s="92">
        <f>IF('3C'!B26&lt;&gt;"",'3C'!H26,"")</f>
        <v/>
      </c>
      <c r="I726" s="92">
        <f>IF('3C'!B26&lt;&gt;"",'3C'!I26,"")</f>
        <v/>
      </c>
      <c r="J726" s="82">
        <f>IF('3C'!B26&lt;&gt;"",'3C'!J26,"")</f>
        <v/>
      </c>
    </row>
    <row r="727" ht="15.75" customHeight="1" s="52">
      <c r="A727" s="97">
        <f>IF('3C'!B27&lt;&gt;"","3C","")</f>
        <v/>
      </c>
      <c r="B727" s="78">
        <f>IF('3C'!B27&lt;&gt;"",'3C'!B27,"")</f>
        <v/>
      </c>
      <c r="C727" s="78">
        <f>IF('3C'!B27&lt;&gt;"",'3C'!C27,"")</f>
        <v/>
      </c>
      <c r="D727" s="78">
        <f>IF('3C'!B27&lt;&gt;"",'3C'!D27,"")</f>
        <v/>
      </c>
      <c r="E727" s="78">
        <f>IF('3C'!B27&lt;&gt;"",'3C'!E27,"")</f>
        <v/>
      </c>
      <c r="F727" s="78">
        <f>IF('3C'!B27&lt;&gt;"",'3C'!F27,"")</f>
        <v/>
      </c>
      <c r="G727" s="78">
        <f>IF('3C'!B27&lt;&gt;"",'3C'!G27,"")</f>
        <v/>
      </c>
      <c r="H727" s="97">
        <f>IF('3C'!B27&lt;&gt;"",'3C'!H27,"")</f>
        <v/>
      </c>
      <c r="I727" s="97">
        <f>IF('3C'!B27&lt;&gt;"",'3C'!I27,"")</f>
        <v/>
      </c>
      <c r="J727" s="78">
        <f>IF('3C'!B27&lt;&gt;"",'3C'!J27,"")</f>
        <v/>
      </c>
    </row>
    <row r="728" ht="15.75" customHeight="1" s="52">
      <c r="A728" s="92">
        <f>IF('3C'!B28&lt;&gt;"","3C","")</f>
        <v/>
      </c>
      <c r="B728" s="82">
        <f>IF('3C'!B28&lt;&gt;"",'3C'!B28,"")</f>
        <v/>
      </c>
      <c r="C728" s="82">
        <f>IF('3C'!B28&lt;&gt;"",'3C'!C28,"")</f>
        <v/>
      </c>
      <c r="D728" s="82">
        <f>IF('3C'!B28&lt;&gt;"",'3C'!D28,"")</f>
        <v/>
      </c>
      <c r="E728" s="82">
        <f>IF('3C'!B28&lt;&gt;"",'3C'!E28,"")</f>
        <v/>
      </c>
      <c r="F728" s="82">
        <f>IF('3C'!B28&lt;&gt;"",'3C'!F28,"")</f>
        <v/>
      </c>
      <c r="G728" s="82">
        <f>IF('3C'!B28&lt;&gt;"",'3C'!G28,"")</f>
        <v/>
      </c>
      <c r="H728" s="92">
        <f>IF('3C'!B28&lt;&gt;"",'3C'!H28,"")</f>
        <v/>
      </c>
      <c r="I728" s="92">
        <f>IF('3C'!B28&lt;&gt;"",'3C'!I28,"")</f>
        <v/>
      </c>
      <c r="J728" s="82">
        <f>IF('3C'!B28&lt;&gt;"",'3C'!J28,"")</f>
        <v/>
      </c>
    </row>
    <row r="729" ht="15.75" customHeight="1" s="52">
      <c r="A729" s="97">
        <f>IF('3C'!B29&lt;&gt;"","3C","")</f>
        <v/>
      </c>
      <c r="B729" s="78">
        <f>IF('3C'!B29&lt;&gt;"",'3C'!B29,"")</f>
        <v/>
      </c>
      <c r="C729" s="78">
        <f>IF('3C'!B29&lt;&gt;"",'3C'!C29,"")</f>
        <v/>
      </c>
      <c r="D729" s="78">
        <f>IF('3C'!B29&lt;&gt;"",'3C'!D29,"")</f>
        <v/>
      </c>
      <c r="E729" s="78">
        <f>IF('3C'!B29&lt;&gt;"",'3C'!E29,"")</f>
        <v/>
      </c>
      <c r="F729" s="78">
        <f>IF('3C'!B29&lt;&gt;"",'3C'!F29,"")</f>
        <v/>
      </c>
      <c r="G729" s="78">
        <f>IF('3C'!B29&lt;&gt;"",'3C'!G29,"")</f>
        <v/>
      </c>
      <c r="H729" s="97">
        <f>IF('3C'!B29&lt;&gt;"",'3C'!H29,"")</f>
        <v/>
      </c>
      <c r="I729" s="97">
        <f>IF('3C'!B29&lt;&gt;"",'3C'!I29,"")</f>
        <v/>
      </c>
      <c r="J729" s="78">
        <f>IF('3C'!B29&lt;&gt;"",'3C'!J29,"")</f>
        <v/>
      </c>
    </row>
    <row r="730" ht="15.75" customHeight="1" s="52">
      <c r="A730" s="92">
        <f>IF('3C'!B30&lt;&gt;"","3C","")</f>
        <v/>
      </c>
      <c r="B730" s="82">
        <f>IF('3C'!B30&lt;&gt;"",'3C'!B30,"")</f>
        <v/>
      </c>
      <c r="C730" s="82">
        <f>IF('3C'!B30&lt;&gt;"",'3C'!C30,"")</f>
        <v/>
      </c>
      <c r="D730" s="82">
        <f>IF('3C'!B30&lt;&gt;"",'3C'!D30,"")</f>
        <v/>
      </c>
      <c r="E730" s="82">
        <f>IF('3C'!B30&lt;&gt;"",'3C'!E30,"")</f>
        <v/>
      </c>
      <c r="F730" s="82">
        <f>IF('3C'!B30&lt;&gt;"",'3C'!F30,"")</f>
        <v/>
      </c>
      <c r="G730" s="82">
        <f>IF('3C'!B30&lt;&gt;"",'3C'!G30,"")</f>
        <v/>
      </c>
      <c r="H730" s="92">
        <f>IF('3C'!B30&lt;&gt;"",'3C'!H30,"")</f>
        <v/>
      </c>
      <c r="I730" s="92">
        <f>IF('3C'!B30&lt;&gt;"",'3C'!I30,"")</f>
        <v/>
      </c>
      <c r="J730" s="82">
        <f>IF('3C'!B30&lt;&gt;"",'3C'!J30,"")</f>
        <v/>
      </c>
    </row>
    <row r="731" ht="15.75" customHeight="1" s="52">
      <c r="A731" s="97">
        <f>IF('3C'!B31&lt;&gt;"","3C","")</f>
        <v/>
      </c>
      <c r="B731" s="78">
        <f>IF('3C'!B31&lt;&gt;"",'3C'!B31,"")</f>
        <v/>
      </c>
      <c r="C731" s="78">
        <f>IF('3C'!B31&lt;&gt;"",'3C'!C31,"")</f>
        <v/>
      </c>
      <c r="D731" s="78">
        <f>IF('3C'!B31&lt;&gt;"",'3C'!D31,"")</f>
        <v/>
      </c>
      <c r="E731" s="78">
        <f>IF('3C'!B31&lt;&gt;"",'3C'!E31,"")</f>
        <v/>
      </c>
      <c r="F731" s="78">
        <f>IF('3C'!B31&lt;&gt;"",'3C'!F31,"")</f>
        <v/>
      </c>
      <c r="G731" s="78">
        <f>IF('3C'!B31&lt;&gt;"",'3C'!G31,"")</f>
        <v/>
      </c>
      <c r="H731" s="97">
        <f>IF('3C'!B31&lt;&gt;"",'3C'!H31,"")</f>
        <v/>
      </c>
      <c r="I731" s="97">
        <f>IF('3C'!B31&lt;&gt;"",'3C'!I31,"")</f>
        <v/>
      </c>
      <c r="J731" s="78">
        <f>IF('3C'!B31&lt;&gt;"",'3C'!J31,"")</f>
        <v/>
      </c>
    </row>
    <row r="732" ht="15.75" customHeight="1" s="52">
      <c r="A732" s="92">
        <f>IF('3C'!B32&lt;&gt;"","3C","")</f>
        <v/>
      </c>
      <c r="B732" s="82">
        <f>IF('3C'!B32&lt;&gt;"",'3C'!B32,"")</f>
        <v/>
      </c>
      <c r="C732" s="82">
        <f>IF('3C'!B32&lt;&gt;"",'3C'!C32,"")</f>
        <v/>
      </c>
      <c r="D732" s="82">
        <f>IF('3C'!B32&lt;&gt;"",'3C'!D32,"")</f>
        <v/>
      </c>
      <c r="E732" s="82">
        <f>IF('3C'!B32&lt;&gt;"",'3C'!E32,"")</f>
        <v/>
      </c>
      <c r="F732" s="82">
        <f>IF('3C'!B32&lt;&gt;"",'3C'!F32,"")</f>
        <v/>
      </c>
      <c r="G732" s="82">
        <f>IF('3C'!B32&lt;&gt;"",'3C'!G32,"")</f>
        <v/>
      </c>
      <c r="H732" s="92">
        <f>IF('3C'!B32&lt;&gt;"",'3C'!H32,"")</f>
        <v/>
      </c>
      <c r="I732" s="92">
        <f>IF('3C'!B32&lt;&gt;"",'3C'!I32,"")</f>
        <v/>
      </c>
      <c r="J732" s="82">
        <f>IF('3C'!B32&lt;&gt;"",'3C'!J32,"")</f>
        <v/>
      </c>
    </row>
    <row r="733" ht="15.75" customHeight="1" s="52">
      <c r="A733" s="97">
        <f>IF('3C'!B33&lt;&gt;"","3C","")</f>
        <v/>
      </c>
      <c r="B733" s="78">
        <f>IF('3C'!B33&lt;&gt;"",'3C'!B33,"")</f>
        <v/>
      </c>
      <c r="C733" s="78">
        <f>IF('3C'!B33&lt;&gt;"",'3C'!C33,"")</f>
        <v/>
      </c>
      <c r="D733" s="78">
        <f>IF('3C'!B33&lt;&gt;"",'3C'!D33,"")</f>
        <v/>
      </c>
      <c r="E733" s="78">
        <f>IF('3C'!B33&lt;&gt;"",'3C'!E33,"")</f>
        <v/>
      </c>
      <c r="F733" s="78">
        <f>IF('3C'!B33&lt;&gt;"",'3C'!F33,"")</f>
        <v/>
      </c>
      <c r="G733" s="78">
        <f>IF('3C'!B33&lt;&gt;"",'3C'!G33,"")</f>
        <v/>
      </c>
      <c r="H733" s="97">
        <f>IF('3C'!B33&lt;&gt;"",'3C'!H33,"")</f>
        <v/>
      </c>
      <c r="I733" s="97">
        <f>IF('3C'!B33&lt;&gt;"",'3C'!I33,"")</f>
        <v/>
      </c>
      <c r="J733" s="78">
        <f>IF('3C'!B33&lt;&gt;"",'3C'!J33,"")</f>
        <v/>
      </c>
    </row>
    <row r="734" ht="15.75" customHeight="1" s="52">
      <c r="A734" s="92">
        <f>IF('3C'!B34&lt;&gt;"","3C","")</f>
        <v/>
      </c>
      <c r="B734" s="82">
        <f>IF('3C'!B34&lt;&gt;"",'3C'!B34,"")</f>
        <v/>
      </c>
      <c r="C734" s="82">
        <f>IF('3C'!B34&lt;&gt;"",'3C'!C34,"")</f>
        <v/>
      </c>
      <c r="D734" s="82">
        <f>IF('3C'!B34&lt;&gt;"",'3C'!D34,"")</f>
        <v/>
      </c>
      <c r="E734" s="82">
        <f>IF('3C'!B34&lt;&gt;"",'3C'!E34,"")</f>
        <v/>
      </c>
      <c r="F734" s="82">
        <f>IF('3C'!B34&lt;&gt;"",'3C'!F34,"")</f>
        <v/>
      </c>
      <c r="G734" s="82">
        <f>IF('3C'!B34&lt;&gt;"",'3C'!G34,"")</f>
        <v/>
      </c>
      <c r="H734" s="92">
        <f>IF('3C'!B34&lt;&gt;"",'3C'!H34,"")</f>
        <v/>
      </c>
      <c r="I734" s="92">
        <f>IF('3C'!B34&lt;&gt;"",'3C'!I34,"")</f>
        <v/>
      </c>
      <c r="J734" s="82">
        <f>IF('3C'!B34&lt;&gt;"",'3C'!J34,"")</f>
        <v/>
      </c>
    </row>
    <row r="735" ht="15.75" customHeight="1" s="52">
      <c r="A735" s="97">
        <f>IF('3C'!B35&lt;&gt;"","3C","")</f>
        <v/>
      </c>
      <c r="B735" s="78">
        <f>IF('3C'!B35&lt;&gt;"",'3C'!B35,"")</f>
        <v/>
      </c>
      <c r="C735" s="78">
        <f>IF('3C'!B35&lt;&gt;"",'3C'!C35,"")</f>
        <v/>
      </c>
      <c r="D735" s="78">
        <f>IF('3C'!B35&lt;&gt;"",'3C'!D35,"")</f>
        <v/>
      </c>
      <c r="E735" s="78">
        <f>IF('3C'!B35&lt;&gt;"",'3C'!E35,"")</f>
        <v/>
      </c>
      <c r="F735" s="78">
        <f>IF('3C'!B35&lt;&gt;"",'3C'!F35,"")</f>
        <v/>
      </c>
      <c r="G735" s="78">
        <f>IF('3C'!B35&lt;&gt;"",'3C'!G35,"")</f>
        <v/>
      </c>
      <c r="H735" s="97">
        <f>IF('3C'!B35&lt;&gt;"",'3C'!H35,"")</f>
        <v/>
      </c>
      <c r="I735" s="97">
        <f>IF('3C'!B35&lt;&gt;"",'3C'!I35,"")</f>
        <v/>
      </c>
      <c r="J735" s="78">
        <f>IF('3C'!B35&lt;&gt;"",'3C'!J35,"")</f>
        <v/>
      </c>
    </row>
    <row r="736" ht="15.75" customHeight="1" s="52">
      <c r="A736" s="92">
        <f>IF('3C'!B36&lt;&gt;"","3C","")</f>
        <v/>
      </c>
      <c r="B736" s="82">
        <f>IF('3C'!B36&lt;&gt;"",'3C'!B36,"")</f>
        <v/>
      </c>
      <c r="C736" s="82">
        <f>IF('3C'!B36&lt;&gt;"",'3C'!C36,"")</f>
        <v/>
      </c>
      <c r="D736" s="82">
        <f>IF('3C'!B36&lt;&gt;"",'3C'!D36,"")</f>
        <v/>
      </c>
      <c r="E736" s="82">
        <f>IF('3C'!B36&lt;&gt;"",'3C'!E36,"")</f>
        <v/>
      </c>
      <c r="F736" s="82">
        <f>IF('3C'!B36&lt;&gt;"",'3C'!F36,"")</f>
        <v/>
      </c>
      <c r="G736" s="82">
        <f>IF('3C'!B36&lt;&gt;"",'3C'!G36,"")</f>
        <v/>
      </c>
      <c r="H736" s="92">
        <f>IF('3C'!B36&lt;&gt;"",'3C'!H36,"")</f>
        <v/>
      </c>
      <c r="I736" s="92">
        <f>IF('3C'!B36&lt;&gt;"",'3C'!I36,"")</f>
        <v/>
      </c>
      <c r="J736" s="82">
        <f>IF('3C'!B36&lt;&gt;"",'3C'!J36,"")</f>
        <v/>
      </c>
    </row>
    <row r="737" ht="15.75" customHeight="1" s="52">
      <c r="A737" s="97">
        <f>IF('3C'!B37&lt;&gt;"","3C","")</f>
        <v/>
      </c>
      <c r="B737" s="78">
        <f>IF('3C'!B37&lt;&gt;"",'3C'!B37,"")</f>
        <v/>
      </c>
      <c r="C737" s="78">
        <f>IF('3C'!B37&lt;&gt;"",'3C'!C37,"")</f>
        <v/>
      </c>
      <c r="D737" s="78">
        <f>IF('3C'!B37&lt;&gt;"",'3C'!D37,"")</f>
        <v/>
      </c>
      <c r="E737" s="78">
        <f>IF('3C'!B37&lt;&gt;"",'3C'!E37,"")</f>
        <v/>
      </c>
      <c r="F737" s="78">
        <f>IF('3C'!B37&lt;&gt;"",'3C'!F37,"")</f>
        <v/>
      </c>
      <c r="G737" s="78">
        <f>IF('3C'!B37&lt;&gt;"",'3C'!G37,"")</f>
        <v/>
      </c>
      <c r="H737" s="97">
        <f>IF('3C'!B37&lt;&gt;"",'3C'!H37,"")</f>
        <v/>
      </c>
      <c r="I737" s="97">
        <f>IF('3C'!B37&lt;&gt;"",'3C'!I37,"")</f>
        <v/>
      </c>
      <c r="J737" s="78">
        <f>IF('3C'!B37&lt;&gt;"",'3C'!J37,"")</f>
        <v/>
      </c>
    </row>
    <row r="738" ht="15.75" customHeight="1" s="52">
      <c r="A738" s="92">
        <f>IF('3C'!B38&lt;&gt;"","3C","")</f>
        <v/>
      </c>
      <c r="B738" s="82">
        <f>IF('3C'!B38&lt;&gt;"",'3C'!B38,"")</f>
        <v/>
      </c>
      <c r="C738" s="82">
        <f>IF('3C'!B38&lt;&gt;"",'3C'!C38,"")</f>
        <v/>
      </c>
      <c r="D738" s="82">
        <f>IF('3C'!B38&lt;&gt;"",'3C'!D38,"")</f>
        <v/>
      </c>
      <c r="E738" s="82">
        <f>IF('3C'!B38&lt;&gt;"",'3C'!E38,"")</f>
        <v/>
      </c>
      <c r="F738" s="82">
        <f>IF('3C'!B38&lt;&gt;"",'3C'!F38,"")</f>
        <v/>
      </c>
      <c r="G738" s="82">
        <f>IF('3C'!B38&lt;&gt;"",'3C'!G38,"")</f>
        <v/>
      </c>
      <c r="H738" s="92">
        <f>IF('3C'!B38&lt;&gt;"",'3C'!H38,"")</f>
        <v/>
      </c>
      <c r="I738" s="92">
        <f>IF('3C'!B38&lt;&gt;"",'3C'!I38,"")</f>
        <v/>
      </c>
      <c r="J738" s="82">
        <f>IF('3C'!B38&lt;&gt;"",'3C'!J38,"")</f>
        <v/>
      </c>
    </row>
    <row r="739" ht="15.75" customHeight="1" s="52">
      <c r="A739" s="97">
        <f>IF('3C'!B39&lt;&gt;"","3C","")</f>
        <v/>
      </c>
      <c r="B739" s="78">
        <f>IF('3C'!B39&lt;&gt;"",'3C'!B39,"")</f>
        <v/>
      </c>
      <c r="C739" s="78">
        <f>IF('3C'!B39&lt;&gt;"",'3C'!C39,"")</f>
        <v/>
      </c>
      <c r="D739" s="78">
        <f>IF('3C'!B39&lt;&gt;"",'3C'!D39,"")</f>
        <v/>
      </c>
      <c r="E739" s="78">
        <f>IF('3C'!B39&lt;&gt;"",'3C'!E39,"")</f>
        <v/>
      </c>
      <c r="F739" s="78">
        <f>IF('3C'!B39&lt;&gt;"",'3C'!F39,"")</f>
        <v/>
      </c>
      <c r="G739" s="78">
        <f>IF('3C'!B39&lt;&gt;"",'3C'!G39,"")</f>
        <v/>
      </c>
      <c r="H739" s="97">
        <f>IF('3C'!B39&lt;&gt;"",'3C'!H39,"")</f>
        <v/>
      </c>
      <c r="I739" s="97">
        <f>IF('3C'!B39&lt;&gt;"",'3C'!I39,"")</f>
        <v/>
      </c>
      <c r="J739" s="78">
        <f>IF('3C'!B39&lt;&gt;"",'3C'!J39,"")</f>
        <v/>
      </c>
    </row>
    <row r="740" ht="15.75" customHeight="1" s="52">
      <c r="A740" s="92">
        <f>IF('3C'!B40&lt;&gt;"","3C","")</f>
        <v/>
      </c>
      <c r="B740" s="82">
        <f>IF('3C'!B40&lt;&gt;"",'3C'!B40,"")</f>
        <v/>
      </c>
      <c r="C740" s="82">
        <f>IF('3C'!B40&lt;&gt;"",'3C'!C40,"")</f>
        <v/>
      </c>
      <c r="D740" s="82">
        <f>IF('3C'!B40&lt;&gt;"",'3C'!D40,"")</f>
        <v/>
      </c>
      <c r="E740" s="82">
        <f>IF('3C'!B40&lt;&gt;"",'3C'!E40,"")</f>
        <v/>
      </c>
      <c r="F740" s="82">
        <f>IF('3C'!B40&lt;&gt;"",'3C'!F40,"")</f>
        <v/>
      </c>
      <c r="G740" s="82">
        <f>IF('3C'!B40&lt;&gt;"",'3C'!G40,"")</f>
        <v/>
      </c>
      <c r="H740" s="92">
        <f>IF('3C'!B40&lt;&gt;"",'3C'!H40,"")</f>
        <v/>
      </c>
      <c r="I740" s="92">
        <f>IF('3C'!B40&lt;&gt;"",'3C'!I40,"")</f>
        <v/>
      </c>
      <c r="J740" s="82">
        <f>IF('3C'!B40&lt;&gt;"",'3C'!J40,"")</f>
        <v/>
      </c>
    </row>
    <row r="741" ht="15.75" customHeight="1" s="52">
      <c r="A741" s="97">
        <f>IF('3C'!B41&lt;&gt;"","3C","")</f>
        <v/>
      </c>
      <c r="B741" s="78">
        <f>IF('3C'!B41&lt;&gt;"",'3C'!B41,"")</f>
        <v/>
      </c>
      <c r="C741" s="78">
        <f>IF('3C'!B41&lt;&gt;"",'3C'!C41,"")</f>
        <v/>
      </c>
      <c r="D741" s="78">
        <f>IF('3C'!B41&lt;&gt;"",'3C'!D41,"")</f>
        <v/>
      </c>
      <c r="E741" s="78">
        <f>IF('3C'!B41&lt;&gt;"",'3C'!E41,"")</f>
        <v/>
      </c>
      <c r="F741" s="78">
        <f>IF('3C'!B41&lt;&gt;"",'3C'!F41,"")</f>
        <v/>
      </c>
      <c r="G741" s="78">
        <f>IF('3C'!B41&lt;&gt;"",'3C'!G41,"")</f>
        <v/>
      </c>
      <c r="H741" s="97">
        <f>IF('3C'!B41&lt;&gt;"",'3C'!H41,"")</f>
        <v/>
      </c>
      <c r="I741" s="97">
        <f>IF('3C'!B41&lt;&gt;"",'3C'!I41,"")</f>
        <v/>
      </c>
      <c r="J741" s="78">
        <f>IF('3C'!B41&lt;&gt;"",'3C'!J41,"")</f>
        <v/>
      </c>
    </row>
    <row r="742" ht="15.75" customHeight="1" s="52">
      <c r="A742" s="92">
        <f>IF('3C'!B42&lt;&gt;"","3C","")</f>
        <v/>
      </c>
      <c r="B742" s="82">
        <f>IF('3C'!B42&lt;&gt;"",'3C'!B42,"")</f>
        <v/>
      </c>
      <c r="C742" s="82">
        <f>IF('3C'!B42&lt;&gt;"",'3C'!C42,"")</f>
        <v/>
      </c>
      <c r="D742" s="82">
        <f>IF('3C'!B42&lt;&gt;"",'3C'!D42,"")</f>
        <v/>
      </c>
      <c r="E742" s="82">
        <f>IF('3C'!B42&lt;&gt;"",'3C'!E42,"")</f>
        <v/>
      </c>
      <c r="F742" s="82">
        <f>IF('3C'!B42&lt;&gt;"",'3C'!F42,"")</f>
        <v/>
      </c>
      <c r="G742" s="82">
        <f>IF('3C'!B42&lt;&gt;"",'3C'!G42,"")</f>
        <v/>
      </c>
      <c r="H742" s="92">
        <f>IF('3C'!B42&lt;&gt;"",'3C'!H42,"")</f>
        <v/>
      </c>
      <c r="I742" s="92">
        <f>IF('3C'!B42&lt;&gt;"",'3C'!I42,"")</f>
        <v/>
      </c>
      <c r="J742" s="82">
        <f>IF('3C'!B42&lt;&gt;"",'3C'!J42,"")</f>
        <v/>
      </c>
    </row>
    <row r="743" ht="15.75" customHeight="1" s="52">
      <c r="A743" s="97">
        <f>IF('3C'!B43&lt;&gt;"","3C","")</f>
        <v/>
      </c>
      <c r="B743" s="78">
        <f>IF('3C'!B43&lt;&gt;"",'3C'!B43,"")</f>
        <v/>
      </c>
      <c r="C743" s="78">
        <f>IF('3C'!B43&lt;&gt;"",'3C'!C43,"")</f>
        <v/>
      </c>
      <c r="D743" s="78">
        <f>IF('3C'!B43&lt;&gt;"",'3C'!D43,"")</f>
        <v/>
      </c>
      <c r="E743" s="78">
        <f>IF('3C'!B43&lt;&gt;"",'3C'!E43,"")</f>
        <v/>
      </c>
      <c r="F743" s="78">
        <f>IF('3C'!B43&lt;&gt;"",'3C'!F43,"")</f>
        <v/>
      </c>
      <c r="G743" s="78">
        <f>IF('3C'!B43&lt;&gt;"",'3C'!G43,"")</f>
        <v/>
      </c>
      <c r="H743" s="97">
        <f>IF('3C'!B43&lt;&gt;"",'3C'!H43,"")</f>
        <v/>
      </c>
      <c r="I743" s="97">
        <f>IF('3C'!B43&lt;&gt;"",'3C'!I43,"")</f>
        <v/>
      </c>
      <c r="J743" s="78">
        <f>IF('3C'!B43&lt;&gt;"",'3C'!J43,"")</f>
        <v/>
      </c>
    </row>
    <row r="744" ht="15.75" customHeight="1" s="52">
      <c r="A744" s="92">
        <f>IF('3C'!B44&lt;&gt;"","3C","")</f>
        <v/>
      </c>
      <c r="B744" s="82">
        <f>IF('3C'!B44&lt;&gt;"",'3C'!B44,"")</f>
        <v/>
      </c>
      <c r="C744" s="82">
        <f>IF('3C'!B44&lt;&gt;"",'3C'!C44,"")</f>
        <v/>
      </c>
      <c r="D744" s="82">
        <f>IF('3C'!B44&lt;&gt;"",'3C'!D44,"")</f>
        <v/>
      </c>
      <c r="E744" s="82">
        <f>IF('3C'!B44&lt;&gt;"",'3C'!E44,"")</f>
        <v/>
      </c>
      <c r="F744" s="82">
        <f>IF('3C'!B44&lt;&gt;"",'3C'!F44,"")</f>
        <v/>
      </c>
      <c r="G744" s="82">
        <f>IF('3C'!B44&lt;&gt;"",'3C'!G44,"")</f>
        <v/>
      </c>
      <c r="H744" s="92">
        <f>IF('3C'!B44&lt;&gt;"",'3C'!H44,"")</f>
        <v/>
      </c>
      <c r="I744" s="92">
        <f>IF('3C'!B44&lt;&gt;"",'3C'!I44,"")</f>
        <v/>
      </c>
      <c r="J744" s="82">
        <f>IF('3C'!B44&lt;&gt;"",'3C'!J44,"")</f>
        <v/>
      </c>
    </row>
    <row r="745" ht="15.75" customHeight="1" s="52">
      <c r="A745" s="97">
        <f>IF('3C'!B45&lt;&gt;"","3C","")</f>
        <v/>
      </c>
      <c r="B745" s="78">
        <f>IF('3C'!B45&lt;&gt;"",'3C'!B45,"")</f>
        <v/>
      </c>
      <c r="C745" s="78">
        <f>IF('3C'!B45&lt;&gt;"",'3C'!C45,"")</f>
        <v/>
      </c>
      <c r="D745" s="78">
        <f>IF('3C'!B45&lt;&gt;"",'3C'!D45,"")</f>
        <v/>
      </c>
      <c r="E745" s="78">
        <f>IF('3C'!B45&lt;&gt;"",'3C'!E45,"")</f>
        <v/>
      </c>
      <c r="F745" s="78">
        <f>IF('3C'!B45&lt;&gt;"",'3C'!F45,"")</f>
        <v/>
      </c>
      <c r="G745" s="78">
        <f>IF('3C'!B45&lt;&gt;"",'3C'!G45,"")</f>
        <v/>
      </c>
      <c r="H745" s="97">
        <f>IF('3C'!B45&lt;&gt;"",'3C'!H45,"")</f>
        <v/>
      </c>
      <c r="I745" s="97">
        <f>IF('3C'!B45&lt;&gt;"",'3C'!I45,"")</f>
        <v/>
      </c>
      <c r="J745" s="78">
        <f>IF('3C'!B45&lt;&gt;"",'3C'!J45,"")</f>
        <v/>
      </c>
    </row>
    <row r="746" ht="15.75" customHeight="1" s="52">
      <c r="A746" s="92">
        <f>IF('3C'!B46&lt;&gt;"","3C","")</f>
        <v/>
      </c>
      <c r="B746" s="82">
        <f>IF('3C'!B46&lt;&gt;"",'3C'!B46,"")</f>
        <v/>
      </c>
      <c r="C746" s="82">
        <f>IF('3C'!B46&lt;&gt;"",'3C'!C46,"")</f>
        <v/>
      </c>
      <c r="D746" s="82">
        <f>IF('3C'!B46&lt;&gt;"",'3C'!D46,"")</f>
        <v/>
      </c>
      <c r="E746" s="82">
        <f>IF('3C'!B46&lt;&gt;"",'3C'!E46,"")</f>
        <v/>
      </c>
      <c r="F746" s="82">
        <f>IF('3C'!B46&lt;&gt;"",'3C'!F46,"")</f>
        <v/>
      </c>
      <c r="G746" s="82">
        <f>IF('3C'!B46&lt;&gt;"",'3C'!G46,"")</f>
        <v/>
      </c>
      <c r="H746" s="92">
        <f>IF('3C'!B46&lt;&gt;"",'3C'!H46,"")</f>
        <v/>
      </c>
      <c r="I746" s="92">
        <f>IF('3C'!B46&lt;&gt;"",'3C'!I46,"")</f>
        <v/>
      </c>
      <c r="J746" s="82">
        <f>IF('3C'!B46&lt;&gt;"",'3C'!J46,"")</f>
        <v/>
      </c>
    </row>
    <row r="747" ht="15.75" customHeight="1" s="52">
      <c r="A747" s="97">
        <f>IF('3C'!B47&lt;&gt;"","3C","")</f>
        <v/>
      </c>
      <c r="B747" s="78">
        <f>IF('3C'!B47&lt;&gt;"",'3C'!B47,"")</f>
        <v/>
      </c>
      <c r="C747" s="78">
        <f>IF('3C'!B47&lt;&gt;"",'3C'!C47,"")</f>
        <v/>
      </c>
      <c r="D747" s="78">
        <f>IF('3C'!B47&lt;&gt;"",'3C'!D47,"")</f>
        <v/>
      </c>
      <c r="E747" s="78">
        <f>IF('3C'!B47&lt;&gt;"",'3C'!E47,"")</f>
        <v/>
      </c>
      <c r="F747" s="78">
        <f>IF('3C'!B47&lt;&gt;"",'3C'!F47,"")</f>
        <v/>
      </c>
      <c r="G747" s="78">
        <f>IF('3C'!B47&lt;&gt;"",'3C'!G47,"")</f>
        <v/>
      </c>
      <c r="H747" s="97">
        <f>IF('3C'!B47&lt;&gt;"",'3C'!H47,"")</f>
        <v/>
      </c>
      <c r="I747" s="97">
        <f>IF('3C'!B47&lt;&gt;"",'3C'!I47,"")</f>
        <v/>
      </c>
      <c r="J747" s="78">
        <f>IF('3C'!B47&lt;&gt;"",'3C'!J47,"")</f>
        <v/>
      </c>
    </row>
    <row r="748" ht="15.75" customHeight="1" s="52">
      <c r="A748" s="92">
        <f>IF('3C'!B48&lt;&gt;"","3C","")</f>
        <v/>
      </c>
      <c r="B748" s="82">
        <f>IF('3C'!B48&lt;&gt;"",'3C'!B48,"")</f>
        <v/>
      </c>
      <c r="C748" s="82">
        <f>IF('3C'!B48&lt;&gt;"",'3C'!C48,"")</f>
        <v/>
      </c>
      <c r="D748" s="82">
        <f>IF('3C'!B48&lt;&gt;"",'3C'!D48,"")</f>
        <v/>
      </c>
      <c r="E748" s="82">
        <f>IF('3C'!B48&lt;&gt;"",'3C'!E48,"")</f>
        <v/>
      </c>
      <c r="F748" s="82">
        <f>IF('3C'!B48&lt;&gt;"",'3C'!F48,"")</f>
        <v/>
      </c>
      <c r="G748" s="82">
        <f>IF('3C'!B48&lt;&gt;"",'3C'!G48,"")</f>
        <v/>
      </c>
      <c r="H748" s="92">
        <f>IF('3C'!B48&lt;&gt;"",'3C'!H48,"")</f>
        <v/>
      </c>
      <c r="I748" s="92">
        <f>IF('3C'!B48&lt;&gt;"",'3C'!I48,"")</f>
        <v/>
      </c>
      <c r="J748" s="82">
        <f>IF('3C'!B48&lt;&gt;"",'3C'!J48,"")</f>
        <v/>
      </c>
    </row>
    <row r="749" ht="15.75" customHeight="1" s="52">
      <c r="A749" s="97">
        <f>IF('3C'!B49&lt;&gt;"","3C","")</f>
        <v/>
      </c>
      <c r="B749" s="78">
        <f>IF('3C'!B49&lt;&gt;"",'3C'!B49,"")</f>
        <v/>
      </c>
      <c r="C749" s="78">
        <f>IF('3C'!B49&lt;&gt;"",'3C'!C49,"")</f>
        <v/>
      </c>
      <c r="D749" s="78">
        <f>IF('3C'!B49&lt;&gt;"",'3C'!D49,"")</f>
        <v/>
      </c>
      <c r="E749" s="78">
        <f>IF('3C'!B49&lt;&gt;"",'3C'!E49,"")</f>
        <v/>
      </c>
      <c r="F749" s="78">
        <f>IF('3C'!B49&lt;&gt;"",'3C'!F49,"")</f>
        <v/>
      </c>
      <c r="G749" s="78">
        <f>IF('3C'!B49&lt;&gt;"",'3C'!G49,"")</f>
        <v/>
      </c>
      <c r="H749" s="97">
        <f>IF('3C'!B49&lt;&gt;"",'3C'!H49,"")</f>
        <v/>
      </c>
      <c r="I749" s="97">
        <f>IF('3C'!B49&lt;&gt;"",'3C'!I49,"")</f>
        <v/>
      </c>
      <c r="J749" s="78">
        <f>IF('3C'!B49&lt;&gt;"",'3C'!J49,"")</f>
        <v/>
      </c>
    </row>
    <row r="750" ht="15.75" customHeight="1" s="52">
      <c r="A750" s="92">
        <f>IF('3C'!B50&lt;&gt;"","3C","")</f>
        <v/>
      </c>
      <c r="B750" s="82">
        <f>IF('3C'!B50&lt;&gt;"",'3C'!B50,"")</f>
        <v/>
      </c>
      <c r="C750" s="82">
        <f>IF('3C'!B50&lt;&gt;"",'3C'!C50,"")</f>
        <v/>
      </c>
      <c r="D750" s="82">
        <f>IF('3C'!B50&lt;&gt;"",'3C'!D50,"")</f>
        <v/>
      </c>
      <c r="E750" s="82">
        <f>IF('3C'!B50&lt;&gt;"",'3C'!E50,"")</f>
        <v/>
      </c>
      <c r="F750" s="82">
        <f>IF('3C'!B50&lt;&gt;"",'3C'!F50,"")</f>
        <v/>
      </c>
      <c r="G750" s="82">
        <f>IF('3C'!B50&lt;&gt;"",'3C'!G50,"")</f>
        <v/>
      </c>
      <c r="H750" s="92">
        <f>IF('3C'!B50&lt;&gt;"",'3C'!H50,"")</f>
        <v/>
      </c>
      <c r="I750" s="92">
        <f>IF('3C'!B50&lt;&gt;"",'3C'!I50,"")</f>
        <v/>
      </c>
      <c r="J750" s="82">
        <f>IF('3C'!B50&lt;&gt;"",'3C'!J50,"")</f>
        <v/>
      </c>
    </row>
    <row r="751" ht="15.75" customHeight="1" s="52">
      <c r="A751" s="97">
        <f>IF('3C'!B51&lt;&gt;"","3C","")</f>
        <v/>
      </c>
      <c r="B751" s="78">
        <f>IF('3C'!B51&lt;&gt;"",'3C'!B51,"")</f>
        <v/>
      </c>
      <c r="C751" s="78">
        <f>IF('3C'!B51&lt;&gt;"",'3C'!C51,"")</f>
        <v/>
      </c>
      <c r="D751" s="78">
        <f>IF('3C'!B51&lt;&gt;"",'3C'!D51,"")</f>
        <v/>
      </c>
      <c r="E751" s="78">
        <f>IF('3C'!B51&lt;&gt;"",'3C'!E51,"")</f>
        <v/>
      </c>
      <c r="F751" s="78">
        <f>IF('3C'!B51&lt;&gt;"",'3C'!F51,"")</f>
        <v/>
      </c>
      <c r="G751" s="78">
        <f>IF('3C'!B51&lt;&gt;"",'3C'!G51,"")</f>
        <v/>
      </c>
      <c r="H751" s="97">
        <f>IF('3C'!B51&lt;&gt;"",'3C'!H51,"")</f>
        <v/>
      </c>
      <c r="I751" s="97">
        <f>IF('3C'!B51&lt;&gt;"",'3C'!I51,"")</f>
        <v/>
      </c>
      <c r="J751" s="78">
        <f>IF('3C'!B51&lt;&gt;"",'3C'!J51,"")</f>
        <v/>
      </c>
    </row>
    <row r="752" ht="15.75" customHeight="1" s="52">
      <c r="A752" s="92">
        <f>IF('3C'!B52&lt;&gt;"","3C","")</f>
        <v/>
      </c>
      <c r="B752" s="82">
        <f>IF('3C'!B52&lt;&gt;"",'3C'!B52,"")</f>
        <v/>
      </c>
      <c r="C752" s="82">
        <f>IF('3C'!B52&lt;&gt;"",'3C'!C52,"")</f>
        <v/>
      </c>
      <c r="D752" s="82">
        <f>IF('3C'!B52&lt;&gt;"",'3C'!D52,"")</f>
        <v/>
      </c>
      <c r="E752" s="82">
        <f>IF('3C'!B52&lt;&gt;"",'3C'!E52,"")</f>
        <v/>
      </c>
      <c r="F752" s="82">
        <f>IF('3C'!B52&lt;&gt;"",'3C'!F52,"")</f>
        <v/>
      </c>
      <c r="G752" s="82">
        <f>IF('3C'!B52&lt;&gt;"",'3C'!G52,"")</f>
        <v/>
      </c>
      <c r="H752" s="92">
        <f>IF('3C'!B52&lt;&gt;"",'3C'!H52,"")</f>
        <v/>
      </c>
      <c r="I752" s="92">
        <f>IF('3C'!B52&lt;&gt;"",'3C'!I52,"")</f>
        <v/>
      </c>
      <c r="J752" s="82">
        <f>IF('3C'!B52&lt;&gt;"",'3C'!J52,"")</f>
        <v/>
      </c>
    </row>
    <row r="753" ht="15.75" customHeight="1" s="52">
      <c r="A753" s="97">
        <f>IF('3C'!B53&lt;&gt;"","3C","")</f>
        <v/>
      </c>
      <c r="B753" s="78">
        <f>IF('3C'!B53&lt;&gt;"",'3C'!B53,"")</f>
        <v/>
      </c>
      <c r="C753" s="78">
        <f>IF('3C'!B53&lt;&gt;"",'3C'!C53,"")</f>
        <v/>
      </c>
      <c r="D753" s="78">
        <f>IF('3C'!B53&lt;&gt;"",'3C'!D53,"")</f>
        <v/>
      </c>
      <c r="E753" s="78">
        <f>IF('3C'!B53&lt;&gt;"",'3C'!E53,"")</f>
        <v/>
      </c>
      <c r="F753" s="78">
        <f>IF('3C'!B53&lt;&gt;"",'3C'!F53,"")</f>
        <v/>
      </c>
      <c r="G753" s="78">
        <f>IF('3C'!B53&lt;&gt;"",'3C'!G53,"")</f>
        <v/>
      </c>
      <c r="H753" s="97">
        <f>IF('3C'!B53&lt;&gt;"",'3C'!H53,"")</f>
        <v/>
      </c>
      <c r="I753" s="97">
        <f>IF('3C'!B53&lt;&gt;"",'3C'!I53,"")</f>
        <v/>
      </c>
      <c r="J753" s="78">
        <f>IF('3C'!B53&lt;&gt;"",'3C'!J53,"")</f>
        <v/>
      </c>
    </row>
    <row r="754" ht="15.75" customHeight="1" s="52">
      <c r="A754" s="92">
        <f>IF('3C'!B54&lt;&gt;"","3C","")</f>
        <v/>
      </c>
      <c r="B754" s="82">
        <f>IF('3C'!B54&lt;&gt;"",'3C'!B54,"")</f>
        <v/>
      </c>
      <c r="C754" s="82">
        <f>IF('3C'!B54&lt;&gt;"",'3C'!C54,"")</f>
        <v/>
      </c>
      <c r="D754" s="82">
        <f>IF('3C'!B54&lt;&gt;"",'3C'!D54,"")</f>
        <v/>
      </c>
      <c r="E754" s="82">
        <f>IF('3C'!B54&lt;&gt;"",'3C'!E54,"")</f>
        <v/>
      </c>
      <c r="F754" s="82">
        <f>IF('3C'!B54&lt;&gt;"",'3C'!F54,"")</f>
        <v/>
      </c>
      <c r="G754" s="82">
        <f>IF('3C'!B54&lt;&gt;"",'3C'!G54,"")</f>
        <v/>
      </c>
      <c r="H754" s="92">
        <f>IF('3C'!B54&lt;&gt;"",'3C'!H54,"")</f>
        <v/>
      </c>
      <c r="I754" s="92">
        <f>IF('3C'!B54&lt;&gt;"",'3C'!I54,"")</f>
        <v/>
      </c>
      <c r="J754" s="82">
        <f>IF('3C'!B54&lt;&gt;"",'3C'!J54,"")</f>
        <v/>
      </c>
    </row>
    <row r="755" ht="15.75" customHeight="1" s="52">
      <c r="A755" s="97">
        <f>IF('4A'!B5&lt;&gt;"","4A","")</f>
        <v/>
      </c>
      <c r="B755" s="78">
        <f>IF('4A'!B5&lt;&gt;"",'4A'!B5,"")</f>
        <v/>
      </c>
      <c r="C755" s="78">
        <f>IF('4A'!B5&lt;&gt;"",'4A'!C5,"")</f>
        <v/>
      </c>
      <c r="D755" s="78">
        <f>IF('4A'!B5&lt;&gt;"",'4A'!D5,"")</f>
        <v/>
      </c>
      <c r="E755" s="78">
        <f>IF('4A'!B5&lt;&gt;"",'4A'!E5,"")</f>
        <v/>
      </c>
      <c r="F755" s="78">
        <f>IF('4A'!B5&lt;&gt;"",'4A'!F5,"")</f>
        <v/>
      </c>
      <c r="G755" s="78">
        <f>IF('4A'!B5&lt;&gt;"",'4A'!G5,"")</f>
        <v/>
      </c>
      <c r="H755" s="97">
        <f>IF('4A'!B5&lt;&gt;"",'4A'!H5,"")</f>
        <v/>
      </c>
      <c r="I755" s="97">
        <f>IF('4A'!B5&lt;&gt;"",'4A'!I5,"")</f>
        <v/>
      </c>
      <c r="J755" s="78">
        <f>IF('4A'!B5&lt;&gt;"",'4A'!J5,"")</f>
        <v/>
      </c>
    </row>
    <row r="756" ht="15.75" customHeight="1" s="52">
      <c r="A756" s="92">
        <f>IF('4A'!B6&lt;&gt;"","4A","")</f>
        <v/>
      </c>
      <c r="B756" s="82">
        <f>IF('4A'!B6&lt;&gt;"",'4A'!B6,"")</f>
        <v/>
      </c>
      <c r="C756" s="82">
        <f>IF('4A'!B6&lt;&gt;"",'4A'!C6,"")</f>
        <v/>
      </c>
      <c r="D756" s="82">
        <f>IF('4A'!B6&lt;&gt;"",'4A'!D6,"")</f>
        <v/>
      </c>
      <c r="E756" s="82">
        <f>IF('4A'!B6&lt;&gt;"",'4A'!E6,"")</f>
        <v/>
      </c>
      <c r="F756" s="82">
        <f>IF('4A'!B6&lt;&gt;"",'4A'!F6,"")</f>
        <v/>
      </c>
      <c r="G756" s="82">
        <f>IF('4A'!B6&lt;&gt;"",'4A'!G6,"")</f>
        <v/>
      </c>
      <c r="H756" s="92">
        <f>IF('4A'!B6&lt;&gt;"",'4A'!H6,"")</f>
        <v/>
      </c>
      <c r="I756" s="92">
        <f>IF('4A'!B6&lt;&gt;"",'4A'!I6,"")</f>
        <v/>
      </c>
      <c r="J756" s="82">
        <f>IF('4A'!B6&lt;&gt;"",'4A'!J6,"")</f>
        <v/>
      </c>
    </row>
    <row r="757" ht="15.75" customHeight="1" s="52">
      <c r="A757" s="97">
        <f>IF('4A'!B7&lt;&gt;"","4A","")</f>
        <v/>
      </c>
      <c r="B757" s="78">
        <f>IF('4A'!B7&lt;&gt;"",'4A'!B7,"")</f>
        <v/>
      </c>
      <c r="C757" s="78">
        <f>IF('4A'!B7&lt;&gt;"",'4A'!C7,"")</f>
        <v/>
      </c>
      <c r="D757" s="78">
        <f>IF('4A'!B7&lt;&gt;"",'4A'!D7,"")</f>
        <v/>
      </c>
      <c r="E757" s="78">
        <f>IF('4A'!B7&lt;&gt;"",'4A'!E7,"")</f>
        <v/>
      </c>
      <c r="F757" s="78">
        <f>IF('4A'!B7&lt;&gt;"",'4A'!F7,"")</f>
        <v/>
      </c>
      <c r="G757" s="78">
        <f>IF('4A'!B7&lt;&gt;"",'4A'!G7,"")</f>
        <v/>
      </c>
      <c r="H757" s="97">
        <f>IF('4A'!B7&lt;&gt;"",'4A'!H7,"")</f>
        <v/>
      </c>
      <c r="I757" s="97">
        <f>IF('4A'!B7&lt;&gt;"",'4A'!I7,"")</f>
        <v/>
      </c>
      <c r="J757" s="78">
        <f>IF('4A'!B7&lt;&gt;"",'4A'!J7,"")</f>
        <v/>
      </c>
    </row>
    <row r="758" ht="15.75" customHeight="1" s="52">
      <c r="A758" s="92">
        <f>IF('4A'!B8&lt;&gt;"","4A","")</f>
        <v/>
      </c>
      <c r="B758" s="82">
        <f>IF('4A'!B8&lt;&gt;"",'4A'!B8,"")</f>
        <v/>
      </c>
      <c r="C758" s="82">
        <f>IF('4A'!B8&lt;&gt;"",'4A'!C8,"")</f>
        <v/>
      </c>
      <c r="D758" s="82">
        <f>IF('4A'!B8&lt;&gt;"",'4A'!D8,"")</f>
        <v/>
      </c>
      <c r="E758" s="82">
        <f>IF('4A'!B8&lt;&gt;"",'4A'!E8,"")</f>
        <v/>
      </c>
      <c r="F758" s="82">
        <f>IF('4A'!B8&lt;&gt;"",'4A'!F8,"")</f>
        <v/>
      </c>
      <c r="G758" s="82">
        <f>IF('4A'!B8&lt;&gt;"",'4A'!G8,"")</f>
        <v/>
      </c>
      <c r="H758" s="92">
        <f>IF('4A'!B8&lt;&gt;"",'4A'!H8,"")</f>
        <v/>
      </c>
      <c r="I758" s="92">
        <f>IF('4A'!B8&lt;&gt;"",'4A'!I8,"")</f>
        <v/>
      </c>
      <c r="J758" s="82">
        <f>IF('4A'!B8&lt;&gt;"",'4A'!J8,"")</f>
        <v/>
      </c>
    </row>
    <row r="759" ht="15.75" customHeight="1" s="52">
      <c r="A759" s="97">
        <f>IF('4A'!B9&lt;&gt;"","4A","")</f>
        <v/>
      </c>
      <c r="B759" s="78">
        <f>IF('4A'!B9&lt;&gt;"",'4A'!B9,"")</f>
        <v/>
      </c>
      <c r="C759" s="78">
        <f>IF('4A'!B9&lt;&gt;"",'4A'!C9,"")</f>
        <v/>
      </c>
      <c r="D759" s="78">
        <f>IF('4A'!B9&lt;&gt;"",'4A'!D9,"")</f>
        <v/>
      </c>
      <c r="E759" s="78">
        <f>IF('4A'!B9&lt;&gt;"",'4A'!E9,"")</f>
        <v/>
      </c>
      <c r="F759" s="78">
        <f>IF('4A'!B9&lt;&gt;"",'4A'!F9,"")</f>
        <v/>
      </c>
      <c r="G759" s="78">
        <f>IF('4A'!B9&lt;&gt;"",'4A'!G9,"")</f>
        <v/>
      </c>
      <c r="H759" s="97">
        <f>IF('4A'!B9&lt;&gt;"",'4A'!H9,"")</f>
        <v/>
      </c>
      <c r="I759" s="97">
        <f>IF('4A'!B9&lt;&gt;"",'4A'!I9,"")</f>
        <v/>
      </c>
      <c r="J759" s="78">
        <f>IF('4A'!B9&lt;&gt;"",'4A'!J9,"")</f>
        <v/>
      </c>
    </row>
    <row r="760" ht="15.75" customHeight="1" s="52">
      <c r="A760" s="92">
        <f>IF('4A'!B10&lt;&gt;"","4A","")</f>
        <v/>
      </c>
      <c r="B760" s="82">
        <f>IF('4A'!B10&lt;&gt;"",'4A'!B10,"")</f>
        <v/>
      </c>
      <c r="C760" s="82">
        <f>IF('4A'!B10&lt;&gt;"",'4A'!C10,"")</f>
        <v/>
      </c>
      <c r="D760" s="82">
        <f>IF('4A'!B10&lt;&gt;"",'4A'!D10,"")</f>
        <v/>
      </c>
      <c r="E760" s="82">
        <f>IF('4A'!B10&lt;&gt;"",'4A'!E10,"")</f>
        <v/>
      </c>
      <c r="F760" s="82">
        <f>IF('4A'!B10&lt;&gt;"",'4A'!F10,"")</f>
        <v/>
      </c>
      <c r="G760" s="82">
        <f>IF('4A'!B10&lt;&gt;"",'4A'!G10,"")</f>
        <v/>
      </c>
      <c r="H760" s="92">
        <f>IF('4A'!B10&lt;&gt;"",'4A'!H10,"")</f>
        <v/>
      </c>
      <c r="I760" s="92">
        <f>IF('4A'!B10&lt;&gt;"",'4A'!I10,"")</f>
        <v/>
      </c>
      <c r="J760" s="82">
        <f>IF('4A'!B10&lt;&gt;"",'4A'!J10,"")</f>
        <v/>
      </c>
    </row>
    <row r="761" ht="15.75" customHeight="1" s="52">
      <c r="A761" s="97">
        <f>IF('4A'!B11&lt;&gt;"","4A","")</f>
        <v/>
      </c>
      <c r="B761" s="78">
        <f>IF('4A'!B11&lt;&gt;"",'4A'!B11,"")</f>
        <v/>
      </c>
      <c r="C761" s="78">
        <f>IF('4A'!B11&lt;&gt;"",'4A'!C11,"")</f>
        <v/>
      </c>
      <c r="D761" s="78">
        <f>IF('4A'!B11&lt;&gt;"",'4A'!D11,"")</f>
        <v/>
      </c>
      <c r="E761" s="78">
        <f>IF('4A'!B11&lt;&gt;"",'4A'!E11,"")</f>
        <v/>
      </c>
      <c r="F761" s="78">
        <f>IF('4A'!B11&lt;&gt;"",'4A'!F11,"")</f>
        <v/>
      </c>
      <c r="G761" s="78">
        <f>IF('4A'!B11&lt;&gt;"",'4A'!G11,"")</f>
        <v/>
      </c>
      <c r="H761" s="97">
        <f>IF('4A'!B11&lt;&gt;"",'4A'!H11,"")</f>
        <v/>
      </c>
      <c r="I761" s="97">
        <f>IF('4A'!B11&lt;&gt;"",'4A'!I11,"")</f>
        <v/>
      </c>
      <c r="J761" s="78">
        <f>IF('4A'!B11&lt;&gt;"",'4A'!J11,"")</f>
        <v/>
      </c>
    </row>
    <row r="762" ht="15.75" customHeight="1" s="52">
      <c r="A762" s="92">
        <f>IF('4A'!B12&lt;&gt;"","4A","")</f>
        <v/>
      </c>
      <c r="B762" s="82">
        <f>IF('4A'!B12&lt;&gt;"",'4A'!B12,"")</f>
        <v/>
      </c>
      <c r="C762" s="82">
        <f>IF('4A'!B12&lt;&gt;"",'4A'!C12,"")</f>
        <v/>
      </c>
      <c r="D762" s="82">
        <f>IF('4A'!B12&lt;&gt;"",'4A'!D12,"")</f>
        <v/>
      </c>
      <c r="E762" s="82">
        <f>IF('4A'!B12&lt;&gt;"",'4A'!E12,"")</f>
        <v/>
      </c>
      <c r="F762" s="82">
        <f>IF('4A'!B12&lt;&gt;"",'4A'!F12,"")</f>
        <v/>
      </c>
      <c r="G762" s="82">
        <f>IF('4A'!B12&lt;&gt;"",'4A'!G12,"")</f>
        <v/>
      </c>
      <c r="H762" s="92">
        <f>IF('4A'!B12&lt;&gt;"",'4A'!H12,"")</f>
        <v/>
      </c>
      <c r="I762" s="92">
        <f>IF('4A'!B12&lt;&gt;"",'4A'!I12,"")</f>
        <v/>
      </c>
      <c r="J762" s="82">
        <f>IF('4A'!B12&lt;&gt;"",'4A'!J12,"")</f>
        <v/>
      </c>
    </row>
    <row r="763" ht="15.75" customHeight="1" s="52">
      <c r="A763" s="97">
        <f>IF('4A'!B13&lt;&gt;"","4A","")</f>
        <v/>
      </c>
      <c r="B763" s="78">
        <f>IF('4A'!B13&lt;&gt;"",'4A'!B13,"")</f>
        <v/>
      </c>
      <c r="C763" s="78">
        <f>IF('4A'!B13&lt;&gt;"",'4A'!C13,"")</f>
        <v/>
      </c>
      <c r="D763" s="78">
        <f>IF('4A'!B13&lt;&gt;"",'4A'!D13,"")</f>
        <v/>
      </c>
      <c r="E763" s="78">
        <f>IF('4A'!B13&lt;&gt;"",'4A'!E13,"")</f>
        <v/>
      </c>
      <c r="F763" s="78">
        <f>IF('4A'!B13&lt;&gt;"",'4A'!F13,"")</f>
        <v/>
      </c>
      <c r="G763" s="78">
        <f>IF('4A'!B13&lt;&gt;"",'4A'!G13,"")</f>
        <v/>
      </c>
      <c r="H763" s="97">
        <f>IF('4A'!B13&lt;&gt;"",'4A'!H13,"")</f>
        <v/>
      </c>
      <c r="I763" s="97">
        <f>IF('4A'!B13&lt;&gt;"",'4A'!I13,"")</f>
        <v/>
      </c>
      <c r="J763" s="78">
        <f>IF('4A'!B13&lt;&gt;"",'4A'!J13,"")</f>
        <v/>
      </c>
    </row>
    <row r="764" ht="15.75" customHeight="1" s="52">
      <c r="A764" s="92">
        <f>IF('4A'!B14&lt;&gt;"","4A","")</f>
        <v/>
      </c>
      <c r="B764" s="82">
        <f>IF('4A'!B14&lt;&gt;"",'4A'!B14,"")</f>
        <v/>
      </c>
      <c r="C764" s="82">
        <f>IF('4A'!B14&lt;&gt;"",'4A'!C14,"")</f>
        <v/>
      </c>
      <c r="D764" s="82">
        <f>IF('4A'!B14&lt;&gt;"",'4A'!D14,"")</f>
        <v/>
      </c>
      <c r="E764" s="82">
        <f>IF('4A'!B14&lt;&gt;"",'4A'!E14,"")</f>
        <v/>
      </c>
      <c r="F764" s="82">
        <f>IF('4A'!B14&lt;&gt;"",'4A'!F14,"")</f>
        <v/>
      </c>
      <c r="G764" s="82">
        <f>IF('4A'!B14&lt;&gt;"",'4A'!G14,"")</f>
        <v/>
      </c>
      <c r="H764" s="92">
        <f>IF('4A'!B14&lt;&gt;"",'4A'!H14,"")</f>
        <v/>
      </c>
      <c r="I764" s="92">
        <f>IF('4A'!B14&lt;&gt;"",'4A'!I14,"")</f>
        <v/>
      </c>
      <c r="J764" s="82">
        <f>IF('4A'!B14&lt;&gt;"",'4A'!J14,"")</f>
        <v/>
      </c>
    </row>
    <row r="765" ht="15.75" customHeight="1" s="52">
      <c r="A765" s="97">
        <f>IF('4A'!B15&lt;&gt;"","4A","")</f>
        <v/>
      </c>
      <c r="B765" s="78">
        <f>IF('4A'!B15&lt;&gt;"",'4A'!B15,"")</f>
        <v/>
      </c>
      <c r="C765" s="78">
        <f>IF('4A'!B15&lt;&gt;"",'4A'!C15,"")</f>
        <v/>
      </c>
      <c r="D765" s="78">
        <f>IF('4A'!B15&lt;&gt;"",'4A'!D15,"")</f>
        <v/>
      </c>
      <c r="E765" s="78">
        <f>IF('4A'!B15&lt;&gt;"",'4A'!E15,"")</f>
        <v/>
      </c>
      <c r="F765" s="78">
        <f>IF('4A'!B15&lt;&gt;"",'4A'!F15,"")</f>
        <v/>
      </c>
      <c r="G765" s="78">
        <f>IF('4A'!B15&lt;&gt;"",'4A'!G15,"")</f>
        <v/>
      </c>
      <c r="H765" s="97">
        <f>IF('4A'!B15&lt;&gt;"",'4A'!H15,"")</f>
        <v/>
      </c>
      <c r="I765" s="97">
        <f>IF('4A'!B15&lt;&gt;"",'4A'!I15,"")</f>
        <v/>
      </c>
      <c r="J765" s="78">
        <f>IF('4A'!B15&lt;&gt;"",'4A'!J15,"")</f>
        <v/>
      </c>
    </row>
    <row r="766" ht="15.75" customHeight="1" s="52">
      <c r="A766" s="92">
        <f>IF('4A'!B16&lt;&gt;"","4A","")</f>
        <v/>
      </c>
      <c r="B766" s="82">
        <f>IF('4A'!B16&lt;&gt;"",'4A'!B16,"")</f>
        <v/>
      </c>
      <c r="C766" s="82">
        <f>IF('4A'!B16&lt;&gt;"",'4A'!C16,"")</f>
        <v/>
      </c>
      <c r="D766" s="82">
        <f>IF('4A'!B16&lt;&gt;"",'4A'!D16,"")</f>
        <v/>
      </c>
      <c r="E766" s="82">
        <f>IF('4A'!B16&lt;&gt;"",'4A'!E16,"")</f>
        <v/>
      </c>
      <c r="F766" s="82">
        <f>IF('4A'!B16&lt;&gt;"",'4A'!F16,"")</f>
        <v/>
      </c>
      <c r="G766" s="82">
        <f>IF('4A'!B16&lt;&gt;"",'4A'!G16,"")</f>
        <v/>
      </c>
      <c r="H766" s="92">
        <f>IF('4A'!B16&lt;&gt;"",'4A'!H16,"")</f>
        <v/>
      </c>
      <c r="I766" s="92">
        <f>IF('4A'!B16&lt;&gt;"",'4A'!I16,"")</f>
        <v/>
      </c>
      <c r="J766" s="82">
        <f>IF('4A'!B16&lt;&gt;"",'4A'!J16,"")</f>
        <v/>
      </c>
    </row>
    <row r="767" ht="15.75" customHeight="1" s="52">
      <c r="A767" s="97">
        <f>IF('4A'!B17&lt;&gt;"","4A","")</f>
        <v/>
      </c>
      <c r="B767" s="78">
        <f>IF('4A'!B17&lt;&gt;"",'4A'!B17,"")</f>
        <v/>
      </c>
      <c r="C767" s="78">
        <f>IF('4A'!B17&lt;&gt;"",'4A'!C17,"")</f>
        <v/>
      </c>
      <c r="D767" s="78">
        <f>IF('4A'!B17&lt;&gt;"",'4A'!D17,"")</f>
        <v/>
      </c>
      <c r="E767" s="78">
        <f>IF('4A'!B17&lt;&gt;"",'4A'!E17,"")</f>
        <v/>
      </c>
      <c r="F767" s="78">
        <f>IF('4A'!B17&lt;&gt;"",'4A'!F17,"")</f>
        <v/>
      </c>
      <c r="G767" s="78">
        <f>IF('4A'!B17&lt;&gt;"",'4A'!G17,"")</f>
        <v/>
      </c>
      <c r="H767" s="97">
        <f>IF('4A'!B17&lt;&gt;"",'4A'!H17,"")</f>
        <v/>
      </c>
      <c r="I767" s="97">
        <f>IF('4A'!B17&lt;&gt;"",'4A'!I17,"")</f>
        <v/>
      </c>
      <c r="J767" s="78">
        <f>IF('4A'!B17&lt;&gt;"",'4A'!J17,"")</f>
        <v/>
      </c>
    </row>
    <row r="768" ht="15.75" customHeight="1" s="52">
      <c r="A768" s="92">
        <f>IF('4A'!B18&lt;&gt;"","4A","")</f>
        <v/>
      </c>
      <c r="B768" s="82">
        <f>IF('4A'!B18&lt;&gt;"",'4A'!B18,"")</f>
        <v/>
      </c>
      <c r="C768" s="82">
        <f>IF('4A'!B18&lt;&gt;"",'4A'!C18,"")</f>
        <v/>
      </c>
      <c r="D768" s="82">
        <f>IF('4A'!B18&lt;&gt;"",'4A'!D18,"")</f>
        <v/>
      </c>
      <c r="E768" s="82">
        <f>IF('4A'!B18&lt;&gt;"",'4A'!E18,"")</f>
        <v/>
      </c>
      <c r="F768" s="82">
        <f>IF('4A'!B18&lt;&gt;"",'4A'!F18,"")</f>
        <v/>
      </c>
      <c r="G768" s="82">
        <f>IF('4A'!B18&lt;&gt;"",'4A'!G18,"")</f>
        <v/>
      </c>
      <c r="H768" s="92">
        <f>IF('4A'!B18&lt;&gt;"",'4A'!H18,"")</f>
        <v/>
      </c>
      <c r="I768" s="92">
        <f>IF('4A'!B18&lt;&gt;"",'4A'!I18,"")</f>
        <v/>
      </c>
      <c r="J768" s="82">
        <f>IF('4A'!B18&lt;&gt;"",'4A'!J18,"")</f>
        <v/>
      </c>
    </row>
    <row r="769" ht="15.75" customHeight="1" s="52">
      <c r="A769" s="97">
        <f>IF('4A'!B19&lt;&gt;"","4A","")</f>
        <v/>
      </c>
      <c r="B769" s="78">
        <f>IF('4A'!B19&lt;&gt;"",'4A'!B19,"")</f>
        <v/>
      </c>
      <c r="C769" s="78">
        <f>IF('4A'!B19&lt;&gt;"",'4A'!C19,"")</f>
        <v/>
      </c>
      <c r="D769" s="78">
        <f>IF('4A'!B19&lt;&gt;"",'4A'!D19,"")</f>
        <v/>
      </c>
      <c r="E769" s="78">
        <f>IF('4A'!B19&lt;&gt;"",'4A'!E19,"")</f>
        <v/>
      </c>
      <c r="F769" s="78">
        <f>IF('4A'!B19&lt;&gt;"",'4A'!F19,"")</f>
        <v/>
      </c>
      <c r="G769" s="78">
        <f>IF('4A'!B19&lt;&gt;"",'4A'!G19,"")</f>
        <v/>
      </c>
      <c r="H769" s="97">
        <f>IF('4A'!B19&lt;&gt;"",'4A'!H19,"")</f>
        <v/>
      </c>
      <c r="I769" s="97">
        <f>IF('4A'!B19&lt;&gt;"",'4A'!I19,"")</f>
        <v/>
      </c>
      <c r="J769" s="78">
        <f>IF('4A'!B19&lt;&gt;"",'4A'!J19,"")</f>
        <v/>
      </c>
    </row>
    <row r="770" ht="15.75" customHeight="1" s="52">
      <c r="A770" s="92">
        <f>IF('4A'!B20&lt;&gt;"","4A","")</f>
        <v/>
      </c>
      <c r="B770" s="82">
        <f>IF('4A'!B20&lt;&gt;"",'4A'!B20,"")</f>
        <v/>
      </c>
      <c r="C770" s="82">
        <f>IF('4A'!B20&lt;&gt;"",'4A'!C20,"")</f>
        <v/>
      </c>
      <c r="D770" s="82">
        <f>IF('4A'!B20&lt;&gt;"",'4A'!D20,"")</f>
        <v/>
      </c>
      <c r="E770" s="82">
        <f>IF('4A'!B20&lt;&gt;"",'4A'!E20,"")</f>
        <v/>
      </c>
      <c r="F770" s="82">
        <f>IF('4A'!B20&lt;&gt;"",'4A'!F20,"")</f>
        <v/>
      </c>
      <c r="G770" s="82">
        <f>IF('4A'!B20&lt;&gt;"",'4A'!G20,"")</f>
        <v/>
      </c>
      <c r="H770" s="92">
        <f>IF('4A'!B20&lt;&gt;"",'4A'!H20,"")</f>
        <v/>
      </c>
      <c r="I770" s="92">
        <f>IF('4A'!B20&lt;&gt;"",'4A'!I20,"")</f>
        <v/>
      </c>
      <c r="J770" s="82">
        <f>IF('4A'!B20&lt;&gt;"",'4A'!J20,"")</f>
        <v/>
      </c>
    </row>
    <row r="771" ht="15.75" customHeight="1" s="52">
      <c r="A771" s="97">
        <f>IF('4A'!B21&lt;&gt;"","4A","")</f>
        <v/>
      </c>
      <c r="B771" s="78">
        <f>IF('4A'!B21&lt;&gt;"",'4A'!B21,"")</f>
        <v/>
      </c>
      <c r="C771" s="78">
        <f>IF('4A'!B21&lt;&gt;"",'4A'!C21,"")</f>
        <v/>
      </c>
      <c r="D771" s="78">
        <f>IF('4A'!B21&lt;&gt;"",'4A'!D21,"")</f>
        <v/>
      </c>
      <c r="E771" s="78">
        <f>IF('4A'!B21&lt;&gt;"",'4A'!E21,"")</f>
        <v/>
      </c>
      <c r="F771" s="78">
        <f>IF('4A'!B21&lt;&gt;"",'4A'!F21,"")</f>
        <v/>
      </c>
      <c r="G771" s="78">
        <f>IF('4A'!B21&lt;&gt;"",'4A'!G21,"")</f>
        <v/>
      </c>
      <c r="H771" s="97">
        <f>IF('4A'!B21&lt;&gt;"",'4A'!H21,"")</f>
        <v/>
      </c>
      <c r="I771" s="97">
        <f>IF('4A'!B21&lt;&gt;"",'4A'!I21,"")</f>
        <v/>
      </c>
      <c r="J771" s="78">
        <f>IF('4A'!B21&lt;&gt;"",'4A'!J21,"")</f>
        <v/>
      </c>
    </row>
    <row r="772" ht="15.75" customHeight="1" s="52">
      <c r="A772" s="92">
        <f>IF('4A'!B22&lt;&gt;"","4A","")</f>
        <v/>
      </c>
      <c r="B772" s="82">
        <f>IF('4A'!B22&lt;&gt;"",'4A'!B22,"")</f>
        <v/>
      </c>
      <c r="C772" s="82">
        <f>IF('4A'!B22&lt;&gt;"",'4A'!C22,"")</f>
        <v/>
      </c>
      <c r="D772" s="82">
        <f>IF('4A'!B22&lt;&gt;"",'4A'!D22,"")</f>
        <v/>
      </c>
      <c r="E772" s="82">
        <f>IF('4A'!B22&lt;&gt;"",'4A'!E22,"")</f>
        <v/>
      </c>
      <c r="F772" s="82">
        <f>IF('4A'!B22&lt;&gt;"",'4A'!F22,"")</f>
        <v/>
      </c>
      <c r="G772" s="82">
        <f>IF('4A'!B22&lt;&gt;"",'4A'!G22,"")</f>
        <v/>
      </c>
      <c r="H772" s="92">
        <f>IF('4A'!B22&lt;&gt;"",'4A'!H22,"")</f>
        <v/>
      </c>
      <c r="I772" s="92">
        <f>IF('4A'!B22&lt;&gt;"",'4A'!I22,"")</f>
        <v/>
      </c>
      <c r="J772" s="82">
        <f>IF('4A'!B22&lt;&gt;"",'4A'!J22,"")</f>
        <v/>
      </c>
    </row>
    <row r="773" ht="15.75" customHeight="1" s="52">
      <c r="A773" s="97">
        <f>IF('4A'!B23&lt;&gt;"","4A","")</f>
        <v/>
      </c>
      <c r="B773" s="78">
        <f>IF('4A'!B23&lt;&gt;"",'4A'!B23,"")</f>
        <v/>
      </c>
      <c r="C773" s="78">
        <f>IF('4A'!B23&lt;&gt;"",'4A'!C23,"")</f>
        <v/>
      </c>
      <c r="D773" s="78">
        <f>IF('4A'!B23&lt;&gt;"",'4A'!D23,"")</f>
        <v/>
      </c>
      <c r="E773" s="78">
        <f>IF('4A'!B23&lt;&gt;"",'4A'!E23,"")</f>
        <v/>
      </c>
      <c r="F773" s="78">
        <f>IF('4A'!B23&lt;&gt;"",'4A'!F23,"")</f>
        <v/>
      </c>
      <c r="G773" s="78">
        <f>IF('4A'!B23&lt;&gt;"",'4A'!G23,"")</f>
        <v/>
      </c>
      <c r="H773" s="97">
        <f>IF('4A'!B23&lt;&gt;"",'4A'!H23,"")</f>
        <v/>
      </c>
      <c r="I773" s="97">
        <f>IF('4A'!B23&lt;&gt;"",'4A'!I23,"")</f>
        <v/>
      </c>
      <c r="J773" s="78">
        <f>IF('4A'!B23&lt;&gt;"",'4A'!J23,"")</f>
        <v/>
      </c>
    </row>
    <row r="774" ht="15.75" customHeight="1" s="52">
      <c r="A774" s="92">
        <f>IF('4A'!B24&lt;&gt;"","4A","")</f>
        <v/>
      </c>
      <c r="B774" s="82">
        <f>IF('4A'!B24&lt;&gt;"",'4A'!B24,"")</f>
        <v/>
      </c>
      <c r="C774" s="82">
        <f>IF('4A'!B24&lt;&gt;"",'4A'!C24,"")</f>
        <v/>
      </c>
      <c r="D774" s="82">
        <f>IF('4A'!B24&lt;&gt;"",'4A'!D24,"")</f>
        <v/>
      </c>
      <c r="E774" s="82">
        <f>IF('4A'!B24&lt;&gt;"",'4A'!E24,"")</f>
        <v/>
      </c>
      <c r="F774" s="82">
        <f>IF('4A'!B24&lt;&gt;"",'4A'!F24,"")</f>
        <v/>
      </c>
      <c r="G774" s="82">
        <f>IF('4A'!B24&lt;&gt;"",'4A'!G24,"")</f>
        <v/>
      </c>
      <c r="H774" s="92">
        <f>IF('4A'!B24&lt;&gt;"",'4A'!H24,"")</f>
        <v/>
      </c>
      <c r="I774" s="92">
        <f>IF('4A'!B24&lt;&gt;"",'4A'!I24,"")</f>
        <v/>
      </c>
      <c r="J774" s="82">
        <f>IF('4A'!B24&lt;&gt;"",'4A'!J24,"")</f>
        <v/>
      </c>
    </row>
    <row r="775" ht="15.75" customHeight="1" s="52">
      <c r="A775" s="97">
        <f>IF('4A'!B25&lt;&gt;"","4A","")</f>
        <v/>
      </c>
      <c r="B775" s="78">
        <f>IF('4A'!B25&lt;&gt;"",'4A'!B25,"")</f>
        <v/>
      </c>
      <c r="C775" s="78">
        <f>IF('4A'!B25&lt;&gt;"",'4A'!C25,"")</f>
        <v/>
      </c>
      <c r="D775" s="78">
        <f>IF('4A'!B25&lt;&gt;"",'4A'!D25,"")</f>
        <v/>
      </c>
      <c r="E775" s="78">
        <f>IF('4A'!B25&lt;&gt;"",'4A'!E25,"")</f>
        <v/>
      </c>
      <c r="F775" s="78">
        <f>IF('4A'!B25&lt;&gt;"",'4A'!F25,"")</f>
        <v/>
      </c>
      <c r="G775" s="78">
        <f>IF('4A'!B25&lt;&gt;"",'4A'!G25,"")</f>
        <v/>
      </c>
      <c r="H775" s="97">
        <f>IF('4A'!B25&lt;&gt;"",'4A'!H25,"")</f>
        <v/>
      </c>
      <c r="I775" s="97">
        <f>IF('4A'!B25&lt;&gt;"",'4A'!I25,"")</f>
        <v/>
      </c>
      <c r="J775" s="78">
        <f>IF('4A'!B25&lt;&gt;"",'4A'!J25,"")</f>
        <v/>
      </c>
    </row>
    <row r="776" ht="15.75" customHeight="1" s="52">
      <c r="A776" s="92">
        <f>IF('4A'!B26&lt;&gt;"","4A","")</f>
        <v/>
      </c>
      <c r="B776" s="82">
        <f>IF('4A'!B26&lt;&gt;"",'4A'!B26,"")</f>
        <v/>
      </c>
      <c r="C776" s="82">
        <f>IF('4A'!B26&lt;&gt;"",'4A'!C26,"")</f>
        <v/>
      </c>
      <c r="D776" s="82">
        <f>IF('4A'!B26&lt;&gt;"",'4A'!D26,"")</f>
        <v/>
      </c>
      <c r="E776" s="82">
        <f>IF('4A'!B26&lt;&gt;"",'4A'!E26,"")</f>
        <v/>
      </c>
      <c r="F776" s="82">
        <f>IF('4A'!B26&lt;&gt;"",'4A'!F26,"")</f>
        <v/>
      </c>
      <c r="G776" s="82">
        <f>IF('4A'!B26&lt;&gt;"",'4A'!G26,"")</f>
        <v/>
      </c>
      <c r="H776" s="92">
        <f>IF('4A'!B26&lt;&gt;"",'4A'!H26,"")</f>
        <v/>
      </c>
      <c r="I776" s="92">
        <f>IF('4A'!B26&lt;&gt;"",'4A'!I26,"")</f>
        <v/>
      </c>
      <c r="J776" s="82">
        <f>IF('4A'!B26&lt;&gt;"",'4A'!J26,"")</f>
        <v/>
      </c>
    </row>
    <row r="777" ht="15.75" customHeight="1" s="52">
      <c r="A777" s="97">
        <f>IF('4A'!B27&lt;&gt;"","4A","")</f>
        <v/>
      </c>
      <c r="B777" s="78">
        <f>IF('4A'!B27&lt;&gt;"",'4A'!B27,"")</f>
        <v/>
      </c>
      <c r="C777" s="78">
        <f>IF('4A'!B27&lt;&gt;"",'4A'!C27,"")</f>
        <v/>
      </c>
      <c r="D777" s="78">
        <f>IF('4A'!B27&lt;&gt;"",'4A'!D27,"")</f>
        <v/>
      </c>
      <c r="E777" s="78">
        <f>IF('4A'!B27&lt;&gt;"",'4A'!E27,"")</f>
        <v/>
      </c>
      <c r="F777" s="78">
        <f>IF('4A'!B27&lt;&gt;"",'4A'!F27,"")</f>
        <v/>
      </c>
      <c r="G777" s="78">
        <f>IF('4A'!B27&lt;&gt;"",'4A'!G27,"")</f>
        <v/>
      </c>
      <c r="H777" s="97">
        <f>IF('4A'!B27&lt;&gt;"",'4A'!H27,"")</f>
        <v/>
      </c>
      <c r="I777" s="97">
        <f>IF('4A'!B27&lt;&gt;"",'4A'!I27,"")</f>
        <v/>
      </c>
      <c r="J777" s="78">
        <f>IF('4A'!B27&lt;&gt;"",'4A'!J27,"")</f>
        <v/>
      </c>
    </row>
    <row r="778" ht="15.75" customHeight="1" s="52">
      <c r="A778" s="92">
        <f>IF('4A'!B28&lt;&gt;"","4A","")</f>
        <v/>
      </c>
      <c r="B778" s="82">
        <f>IF('4A'!B28&lt;&gt;"",'4A'!B28,"")</f>
        <v/>
      </c>
      <c r="C778" s="82">
        <f>IF('4A'!B28&lt;&gt;"",'4A'!C28,"")</f>
        <v/>
      </c>
      <c r="D778" s="82">
        <f>IF('4A'!B28&lt;&gt;"",'4A'!D28,"")</f>
        <v/>
      </c>
      <c r="E778" s="82">
        <f>IF('4A'!B28&lt;&gt;"",'4A'!E28,"")</f>
        <v/>
      </c>
      <c r="F778" s="82">
        <f>IF('4A'!B28&lt;&gt;"",'4A'!F28,"")</f>
        <v/>
      </c>
      <c r="G778" s="82">
        <f>IF('4A'!B28&lt;&gt;"",'4A'!G28,"")</f>
        <v/>
      </c>
      <c r="H778" s="92">
        <f>IF('4A'!B28&lt;&gt;"",'4A'!H28,"")</f>
        <v/>
      </c>
      <c r="I778" s="92">
        <f>IF('4A'!B28&lt;&gt;"",'4A'!I28,"")</f>
        <v/>
      </c>
      <c r="J778" s="82">
        <f>IF('4A'!B28&lt;&gt;"",'4A'!J28,"")</f>
        <v/>
      </c>
    </row>
    <row r="779" ht="15.75" customHeight="1" s="52">
      <c r="A779" s="97">
        <f>IF('4A'!B29&lt;&gt;"","4A","")</f>
        <v/>
      </c>
      <c r="B779" s="78">
        <f>IF('4A'!B29&lt;&gt;"",'4A'!B29,"")</f>
        <v/>
      </c>
      <c r="C779" s="78">
        <f>IF('4A'!B29&lt;&gt;"",'4A'!C29,"")</f>
        <v/>
      </c>
      <c r="D779" s="78">
        <f>IF('4A'!B29&lt;&gt;"",'4A'!D29,"")</f>
        <v/>
      </c>
      <c r="E779" s="78">
        <f>IF('4A'!B29&lt;&gt;"",'4A'!E29,"")</f>
        <v/>
      </c>
      <c r="F779" s="78">
        <f>IF('4A'!B29&lt;&gt;"",'4A'!F29,"")</f>
        <v/>
      </c>
      <c r="G779" s="78">
        <f>IF('4A'!B29&lt;&gt;"",'4A'!G29,"")</f>
        <v/>
      </c>
      <c r="H779" s="97">
        <f>IF('4A'!B29&lt;&gt;"",'4A'!H29,"")</f>
        <v/>
      </c>
      <c r="I779" s="97">
        <f>IF('4A'!B29&lt;&gt;"",'4A'!I29,"")</f>
        <v/>
      </c>
      <c r="J779" s="78">
        <f>IF('4A'!B29&lt;&gt;"",'4A'!J29,"")</f>
        <v/>
      </c>
    </row>
    <row r="780" ht="15.75" customHeight="1" s="52">
      <c r="A780" s="92">
        <f>IF('4A'!B30&lt;&gt;"","4A","")</f>
        <v/>
      </c>
      <c r="B780" s="82">
        <f>IF('4A'!B30&lt;&gt;"",'4A'!B30,"")</f>
        <v/>
      </c>
      <c r="C780" s="82">
        <f>IF('4A'!B30&lt;&gt;"",'4A'!C30,"")</f>
        <v/>
      </c>
      <c r="D780" s="82">
        <f>IF('4A'!B30&lt;&gt;"",'4A'!D30,"")</f>
        <v/>
      </c>
      <c r="E780" s="82">
        <f>IF('4A'!B30&lt;&gt;"",'4A'!E30,"")</f>
        <v/>
      </c>
      <c r="F780" s="82">
        <f>IF('4A'!B30&lt;&gt;"",'4A'!F30,"")</f>
        <v/>
      </c>
      <c r="G780" s="82">
        <f>IF('4A'!B30&lt;&gt;"",'4A'!G30,"")</f>
        <v/>
      </c>
      <c r="H780" s="92">
        <f>IF('4A'!B30&lt;&gt;"",'4A'!H30,"")</f>
        <v/>
      </c>
      <c r="I780" s="92">
        <f>IF('4A'!B30&lt;&gt;"",'4A'!I30,"")</f>
        <v/>
      </c>
      <c r="J780" s="82">
        <f>IF('4A'!B30&lt;&gt;"",'4A'!J30,"")</f>
        <v/>
      </c>
    </row>
    <row r="781" ht="15.75" customHeight="1" s="52">
      <c r="A781" s="97">
        <f>IF('4A'!B31&lt;&gt;"","4A","")</f>
        <v/>
      </c>
      <c r="B781" s="78">
        <f>IF('4A'!B31&lt;&gt;"",'4A'!B31,"")</f>
        <v/>
      </c>
      <c r="C781" s="78">
        <f>IF('4A'!B31&lt;&gt;"",'4A'!C31,"")</f>
        <v/>
      </c>
      <c r="D781" s="78">
        <f>IF('4A'!B31&lt;&gt;"",'4A'!D31,"")</f>
        <v/>
      </c>
      <c r="E781" s="78">
        <f>IF('4A'!B31&lt;&gt;"",'4A'!E31,"")</f>
        <v/>
      </c>
      <c r="F781" s="78">
        <f>IF('4A'!B31&lt;&gt;"",'4A'!F31,"")</f>
        <v/>
      </c>
      <c r="G781" s="78">
        <f>IF('4A'!B31&lt;&gt;"",'4A'!G31,"")</f>
        <v/>
      </c>
      <c r="H781" s="97">
        <f>IF('4A'!B31&lt;&gt;"",'4A'!H31,"")</f>
        <v/>
      </c>
      <c r="I781" s="97">
        <f>IF('4A'!B31&lt;&gt;"",'4A'!I31,"")</f>
        <v/>
      </c>
      <c r="J781" s="78">
        <f>IF('4A'!B31&lt;&gt;"",'4A'!J31,"")</f>
        <v/>
      </c>
    </row>
    <row r="782" ht="15.75" customHeight="1" s="52">
      <c r="A782" s="92">
        <f>IF('4A'!B32&lt;&gt;"","4A","")</f>
        <v/>
      </c>
      <c r="B782" s="82">
        <f>IF('4A'!B32&lt;&gt;"",'4A'!B32,"")</f>
        <v/>
      </c>
      <c r="C782" s="82">
        <f>IF('4A'!B32&lt;&gt;"",'4A'!C32,"")</f>
        <v/>
      </c>
      <c r="D782" s="82">
        <f>IF('4A'!B32&lt;&gt;"",'4A'!D32,"")</f>
        <v/>
      </c>
      <c r="E782" s="82">
        <f>IF('4A'!B32&lt;&gt;"",'4A'!E32,"")</f>
        <v/>
      </c>
      <c r="F782" s="82">
        <f>IF('4A'!B32&lt;&gt;"",'4A'!F32,"")</f>
        <v/>
      </c>
      <c r="G782" s="82">
        <f>IF('4A'!B32&lt;&gt;"",'4A'!G32,"")</f>
        <v/>
      </c>
      <c r="H782" s="92">
        <f>IF('4A'!B32&lt;&gt;"",'4A'!H32,"")</f>
        <v/>
      </c>
      <c r="I782" s="92">
        <f>IF('4A'!B32&lt;&gt;"",'4A'!I32,"")</f>
        <v/>
      </c>
      <c r="J782" s="82">
        <f>IF('4A'!B32&lt;&gt;"",'4A'!J32,"")</f>
        <v/>
      </c>
    </row>
    <row r="783" ht="15.75" customHeight="1" s="52">
      <c r="A783" s="97">
        <f>IF('4A'!B33&lt;&gt;"","4A","")</f>
        <v/>
      </c>
      <c r="B783" s="78">
        <f>IF('4A'!B33&lt;&gt;"",'4A'!B33,"")</f>
        <v/>
      </c>
      <c r="C783" s="78">
        <f>IF('4A'!B33&lt;&gt;"",'4A'!C33,"")</f>
        <v/>
      </c>
      <c r="D783" s="78">
        <f>IF('4A'!B33&lt;&gt;"",'4A'!D33,"")</f>
        <v/>
      </c>
      <c r="E783" s="78">
        <f>IF('4A'!B33&lt;&gt;"",'4A'!E33,"")</f>
        <v/>
      </c>
      <c r="F783" s="78">
        <f>IF('4A'!B33&lt;&gt;"",'4A'!F33,"")</f>
        <v/>
      </c>
      <c r="G783" s="78">
        <f>IF('4A'!B33&lt;&gt;"",'4A'!G33,"")</f>
        <v/>
      </c>
      <c r="H783" s="97">
        <f>IF('4A'!B33&lt;&gt;"",'4A'!H33,"")</f>
        <v/>
      </c>
      <c r="I783" s="97">
        <f>IF('4A'!B33&lt;&gt;"",'4A'!I33,"")</f>
        <v/>
      </c>
      <c r="J783" s="78">
        <f>IF('4A'!B33&lt;&gt;"",'4A'!J33,"")</f>
        <v/>
      </c>
    </row>
    <row r="784" ht="15.75" customHeight="1" s="52">
      <c r="A784" s="92">
        <f>IF('4A'!B34&lt;&gt;"","4A","")</f>
        <v/>
      </c>
      <c r="B784" s="82">
        <f>IF('4A'!B34&lt;&gt;"",'4A'!B34,"")</f>
        <v/>
      </c>
      <c r="C784" s="82">
        <f>IF('4A'!B34&lt;&gt;"",'4A'!C34,"")</f>
        <v/>
      </c>
      <c r="D784" s="82">
        <f>IF('4A'!B34&lt;&gt;"",'4A'!D34,"")</f>
        <v/>
      </c>
      <c r="E784" s="82">
        <f>IF('4A'!B34&lt;&gt;"",'4A'!E34,"")</f>
        <v/>
      </c>
      <c r="F784" s="82">
        <f>IF('4A'!B34&lt;&gt;"",'4A'!F34,"")</f>
        <v/>
      </c>
      <c r="G784" s="82">
        <f>IF('4A'!B34&lt;&gt;"",'4A'!G34,"")</f>
        <v/>
      </c>
      <c r="H784" s="92">
        <f>IF('4A'!B34&lt;&gt;"",'4A'!H34,"")</f>
        <v/>
      </c>
      <c r="I784" s="92">
        <f>IF('4A'!B34&lt;&gt;"",'4A'!I34,"")</f>
        <v/>
      </c>
      <c r="J784" s="82">
        <f>IF('4A'!B34&lt;&gt;"",'4A'!J34,"")</f>
        <v/>
      </c>
    </row>
    <row r="785" ht="15.75" customHeight="1" s="52">
      <c r="A785" s="97">
        <f>IF('4A'!B35&lt;&gt;"","4A","")</f>
        <v/>
      </c>
      <c r="B785" s="78">
        <f>IF('4A'!B35&lt;&gt;"",'4A'!B35,"")</f>
        <v/>
      </c>
      <c r="C785" s="78">
        <f>IF('4A'!B35&lt;&gt;"",'4A'!C35,"")</f>
        <v/>
      </c>
      <c r="D785" s="78">
        <f>IF('4A'!B35&lt;&gt;"",'4A'!D35,"")</f>
        <v/>
      </c>
      <c r="E785" s="78">
        <f>IF('4A'!B35&lt;&gt;"",'4A'!E35,"")</f>
        <v/>
      </c>
      <c r="F785" s="78">
        <f>IF('4A'!B35&lt;&gt;"",'4A'!F35,"")</f>
        <v/>
      </c>
      <c r="G785" s="78">
        <f>IF('4A'!B35&lt;&gt;"",'4A'!G35,"")</f>
        <v/>
      </c>
      <c r="H785" s="97">
        <f>IF('4A'!B35&lt;&gt;"",'4A'!H35,"")</f>
        <v/>
      </c>
      <c r="I785" s="97">
        <f>IF('4A'!B35&lt;&gt;"",'4A'!I35,"")</f>
        <v/>
      </c>
      <c r="J785" s="78">
        <f>IF('4A'!B35&lt;&gt;"",'4A'!J35,"")</f>
        <v/>
      </c>
    </row>
    <row r="786" ht="15.75" customHeight="1" s="52">
      <c r="A786" s="92">
        <f>IF('4A'!B36&lt;&gt;"","4A","")</f>
        <v/>
      </c>
      <c r="B786" s="82">
        <f>IF('4A'!B36&lt;&gt;"",'4A'!B36,"")</f>
        <v/>
      </c>
      <c r="C786" s="82">
        <f>IF('4A'!B36&lt;&gt;"",'4A'!C36,"")</f>
        <v/>
      </c>
      <c r="D786" s="82">
        <f>IF('4A'!B36&lt;&gt;"",'4A'!D36,"")</f>
        <v/>
      </c>
      <c r="E786" s="82">
        <f>IF('4A'!B36&lt;&gt;"",'4A'!E36,"")</f>
        <v/>
      </c>
      <c r="F786" s="82">
        <f>IF('4A'!B36&lt;&gt;"",'4A'!F36,"")</f>
        <v/>
      </c>
      <c r="G786" s="82">
        <f>IF('4A'!B36&lt;&gt;"",'4A'!G36,"")</f>
        <v/>
      </c>
      <c r="H786" s="92">
        <f>IF('4A'!B36&lt;&gt;"",'4A'!H36,"")</f>
        <v/>
      </c>
      <c r="I786" s="92">
        <f>IF('4A'!B36&lt;&gt;"",'4A'!I36,"")</f>
        <v/>
      </c>
      <c r="J786" s="82">
        <f>IF('4A'!B36&lt;&gt;"",'4A'!J36,"")</f>
        <v/>
      </c>
    </row>
    <row r="787" ht="15.75" customHeight="1" s="52">
      <c r="A787" s="97">
        <f>IF('4A'!B37&lt;&gt;"","4A","")</f>
        <v/>
      </c>
      <c r="B787" s="78">
        <f>IF('4A'!B37&lt;&gt;"",'4A'!B37,"")</f>
        <v/>
      </c>
      <c r="C787" s="78">
        <f>IF('4A'!B37&lt;&gt;"",'4A'!C37,"")</f>
        <v/>
      </c>
      <c r="D787" s="78">
        <f>IF('4A'!B37&lt;&gt;"",'4A'!D37,"")</f>
        <v/>
      </c>
      <c r="E787" s="78">
        <f>IF('4A'!B37&lt;&gt;"",'4A'!E37,"")</f>
        <v/>
      </c>
      <c r="F787" s="78">
        <f>IF('4A'!B37&lt;&gt;"",'4A'!F37,"")</f>
        <v/>
      </c>
      <c r="G787" s="78">
        <f>IF('4A'!B37&lt;&gt;"",'4A'!G37,"")</f>
        <v/>
      </c>
      <c r="H787" s="97">
        <f>IF('4A'!B37&lt;&gt;"",'4A'!H37,"")</f>
        <v/>
      </c>
      <c r="I787" s="97">
        <f>IF('4A'!B37&lt;&gt;"",'4A'!I37,"")</f>
        <v/>
      </c>
      <c r="J787" s="78">
        <f>IF('4A'!B37&lt;&gt;"",'4A'!J37,"")</f>
        <v/>
      </c>
    </row>
    <row r="788" ht="15.75" customHeight="1" s="52">
      <c r="A788" s="92">
        <f>IF('4A'!B38&lt;&gt;"","4A","")</f>
        <v/>
      </c>
      <c r="B788" s="82">
        <f>IF('4A'!B38&lt;&gt;"",'4A'!B38,"")</f>
        <v/>
      </c>
      <c r="C788" s="82">
        <f>IF('4A'!B38&lt;&gt;"",'4A'!C38,"")</f>
        <v/>
      </c>
      <c r="D788" s="82">
        <f>IF('4A'!B38&lt;&gt;"",'4A'!D38,"")</f>
        <v/>
      </c>
      <c r="E788" s="82">
        <f>IF('4A'!B38&lt;&gt;"",'4A'!E38,"")</f>
        <v/>
      </c>
      <c r="F788" s="82">
        <f>IF('4A'!B38&lt;&gt;"",'4A'!F38,"")</f>
        <v/>
      </c>
      <c r="G788" s="82">
        <f>IF('4A'!B38&lt;&gt;"",'4A'!G38,"")</f>
        <v/>
      </c>
      <c r="H788" s="92">
        <f>IF('4A'!B38&lt;&gt;"",'4A'!H38,"")</f>
        <v/>
      </c>
      <c r="I788" s="92">
        <f>IF('4A'!B38&lt;&gt;"",'4A'!I38,"")</f>
        <v/>
      </c>
      <c r="J788" s="82">
        <f>IF('4A'!B38&lt;&gt;"",'4A'!J38,"")</f>
        <v/>
      </c>
    </row>
    <row r="789" ht="15.75" customHeight="1" s="52">
      <c r="A789" s="97">
        <f>IF('4A'!B39&lt;&gt;"","4A","")</f>
        <v/>
      </c>
      <c r="B789" s="78">
        <f>IF('4A'!B39&lt;&gt;"",'4A'!B39,"")</f>
        <v/>
      </c>
      <c r="C789" s="78">
        <f>IF('4A'!B39&lt;&gt;"",'4A'!C39,"")</f>
        <v/>
      </c>
      <c r="D789" s="78">
        <f>IF('4A'!B39&lt;&gt;"",'4A'!D39,"")</f>
        <v/>
      </c>
      <c r="E789" s="78">
        <f>IF('4A'!B39&lt;&gt;"",'4A'!E39,"")</f>
        <v/>
      </c>
      <c r="F789" s="78">
        <f>IF('4A'!B39&lt;&gt;"",'4A'!F39,"")</f>
        <v/>
      </c>
      <c r="G789" s="78">
        <f>IF('4A'!B39&lt;&gt;"",'4A'!G39,"")</f>
        <v/>
      </c>
      <c r="H789" s="97">
        <f>IF('4A'!B39&lt;&gt;"",'4A'!H39,"")</f>
        <v/>
      </c>
      <c r="I789" s="97">
        <f>IF('4A'!B39&lt;&gt;"",'4A'!I39,"")</f>
        <v/>
      </c>
      <c r="J789" s="78">
        <f>IF('4A'!B39&lt;&gt;"",'4A'!J39,"")</f>
        <v/>
      </c>
    </row>
    <row r="790" ht="15.75" customHeight="1" s="52">
      <c r="A790" s="92">
        <f>IF('4A'!B40&lt;&gt;"","4A","")</f>
        <v/>
      </c>
      <c r="B790" s="82">
        <f>IF('4A'!B40&lt;&gt;"",'4A'!B40,"")</f>
        <v/>
      </c>
      <c r="C790" s="82">
        <f>IF('4A'!B40&lt;&gt;"",'4A'!C40,"")</f>
        <v/>
      </c>
      <c r="D790" s="82">
        <f>IF('4A'!B40&lt;&gt;"",'4A'!D40,"")</f>
        <v/>
      </c>
      <c r="E790" s="82">
        <f>IF('4A'!B40&lt;&gt;"",'4A'!E40,"")</f>
        <v/>
      </c>
      <c r="F790" s="82">
        <f>IF('4A'!B40&lt;&gt;"",'4A'!F40,"")</f>
        <v/>
      </c>
      <c r="G790" s="82">
        <f>IF('4A'!B40&lt;&gt;"",'4A'!G40,"")</f>
        <v/>
      </c>
      <c r="H790" s="92">
        <f>IF('4A'!B40&lt;&gt;"",'4A'!H40,"")</f>
        <v/>
      </c>
      <c r="I790" s="92">
        <f>IF('4A'!B40&lt;&gt;"",'4A'!I40,"")</f>
        <v/>
      </c>
      <c r="J790" s="82">
        <f>IF('4A'!B40&lt;&gt;"",'4A'!J40,"")</f>
        <v/>
      </c>
    </row>
    <row r="791" ht="15.75" customHeight="1" s="52">
      <c r="A791" s="97">
        <f>IF('4A'!B41&lt;&gt;"","4A","")</f>
        <v/>
      </c>
      <c r="B791" s="78">
        <f>IF('4A'!B41&lt;&gt;"",'4A'!B41,"")</f>
        <v/>
      </c>
      <c r="C791" s="78">
        <f>IF('4A'!B41&lt;&gt;"",'4A'!C41,"")</f>
        <v/>
      </c>
      <c r="D791" s="78">
        <f>IF('4A'!B41&lt;&gt;"",'4A'!D41,"")</f>
        <v/>
      </c>
      <c r="E791" s="78">
        <f>IF('4A'!B41&lt;&gt;"",'4A'!E41,"")</f>
        <v/>
      </c>
      <c r="F791" s="78">
        <f>IF('4A'!B41&lt;&gt;"",'4A'!F41,"")</f>
        <v/>
      </c>
      <c r="G791" s="78">
        <f>IF('4A'!B41&lt;&gt;"",'4A'!G41,"")</f>
        <v/>
      </c>
      <c r="H791" s="97">
        <f>IF('4A'!B41&lt;&gt;"",'4A'!H41,"")</f>
        <v/>
      </c>
      <c r="I791" s="97">
        <f>IF('4A'!B41&lt;&gt;"",'4A'!I41,"")</f>
        <v/>
      </c>
      <c r="J791" s="78">
        <f>IF('4A'!B41&lt;&gt;"",'4A'!J41,"")</f>
        <v/>
      </c>
    </row>
    <row r="792" ht="15.75" customHeight="1" s="52">
      <c r="A792" s="92">
        <f>IF('4A'!B42&lt;&gt;"","4A","")</f>
        <v/>
      </c>
      <c r="B792" s="82">
        <f>IF('4A'!B42&lt;&gt;"",'4A'!B42,"")</f>
        <v/>
      </c>
      <c r="C792" s="82">
        <f>IF('4A'!B42&lt;&gt;"",'4A'!C42,"")</f>
        <v/>
      </c>
      <c r="D792" s="82">
        <f>IF('4A'!B42&lt;&gt;"",'4A'!D42,"")</f>
        <v/>
      </c>
      <c r="E792" s="82">
        <f>IF('4A'!B42&lt;&gt;"",'4A'!E42,"")</f>
        <v/>
      </c>
      <c r="F792" s="82">
        <f>IF('4A'!B42&lt;&gt;"",'4A'!F42,"")</f>
        <v/>
      </c>
      <c r="G792" s="82">
        <f>IF('4A'!B42&lt;&gt;"",'4A'!G42,"")</f>
        <v/>
      </c>
      <c r="H792" s="92">
        <f>IF('4A'!B42&lt;&gt;"",'4A'!H42,"")</f>
        <v/>
      </c>
      <c r="I792" s="92">
        <f>IF('4A'!B42&lt;&gt;"",'4A'!I42,"")</f>
        <v/>
      </c>
      <c r="J792" s="82">
        <f>IF('4A'!B42&lt;&gt;"",'4A'!J42,"")</f>
        <v/>
      </c>
    </row>
    <row r="793" ht="15.75" customHeight="1" s="52">
      <c r="A793" s="97">
        <f>IF('4A'!B43&lt;&gt;"","4A","")</f>
        <v/>
      </c>
      <c r="B793" s="78">
        <f>IF('4A'!B43&lt;&gt;"",'4A'!B43,"")</f>
        <v/>
      </c>
      <c r="C793" s="78">
        <f>IF('4A'!B43&lt;&gt;"",'4A'!C43,"")</f>
        <v/>
      </c>
      <c r="D793" s="78">
        <f>IF('4A'!B43&lt;&gt;"",'4A'!D43,"")</f>
        <v/>
      </c>
      <c r="E793" s="78">
        <f>IF('4A'!B43&lt;&gt;"",'4A'!E43,"")</f>
        <v/>
      </c>
      <c r="F793" s="78">
        <f>IF('4A'!B43&lt;&gt;"",'4A'!F43,"")</f>
        <v/>
      </c>
      <c r="G793" s="78">
        <f>IF('4A'!B43&lt;&gt;"",'4A'!G43,"")</f>
        <v/>
      </c>
      <c r="H793" s="97">
        <f>IF('4A'!B43&lt;&gt;"",'4A'!H43,"")</f>
        <v/>
      </c>
      <c r="I793" s="97">
        <f>IF('4A'!B43&lt;&gt;"",'4A'!I43,"")</f>
        <v/>
      </c>
      <c r="J793" s="78">
        <f>IF('4A'!B43&lt;&gt;"",'4A'!J43,"")</f>
        <v/>
      </c>
    </row>
    <row r="794" ht="15.75" customHeight="1" s="52">
      <c r="A794" s="92">
        <f>IF('4A'!B44&lt;&gt;"","4A","")</f>
        <v/>
      </c>
      <c r="B794" s="82">
        <f>IF('4A'!B44&lt;&gt;"",'4A'!B44,"")</f>
        <v/>
      </c>
      <c r="C794" s="82">
        <f>IF('4A'!B44&lt;&gt;"",'4A'!C44,"")</f>
        <v/>
      </c>
      <c r="D794" s="82">
        <f>IF('4A'!B44&lt;&gt;"",'4A'!D44,"")</f>
        <v/>
      </c>
      <c r="E794" s="82">
        <f>IF('4A'!B44&lt;&gt;"",'4A'!E44,"")</f>
        <v/>
      </c>
      <c r="F794" s="82">
        <f>IF('4A'!B44&lt;&gt;"",'4A'!F44,"")</f>
        <v/>
      </c>
      <c r="G794" s="82">
        <f>IF('4A'!B44&lt;&gt;"",'4A'!G44,"")</f>
        <v/>
      </c>
      <c r="H794" s="92">
        <f>IF('4A'!B44&lt;&gt;"",'4A'!H44,"")</f>
        <v/>
      </c>
      <c r="I794" s="92">
        <f>IF('4A'!B44&lt;&gt;"",'4A'!I44,"")</f>
        <v/>
      </c>
      <c r="J794" s="82">
        <f>IF('4A'!B44&lt;&gt;"",'4A'!J44,"")</f>
        <v/>
      </c>
    </row>
    <row r="795" ht="15.75" customHeight="1" s="52">
      <c r="A795" s="97">
        <f>IF('4A'!B45&lt;&gt;"","4A","")</f>
        <v/>
      </c>
      <c r="B795" s="78">
        <f>IF('4A'!B45&lt;&gt;"",'4A'!B45,"")</f>
        <v/>
      </c>
      <c r="C795" s="78">
        <f>IF('4A'!B45&lt;&gt;"",'4A'!C45,"")</f>
        <v/>
      </c>
      <c r="D795" s="78">
        <f>IF('4A'!B45&lt;&gt;"",'4A'!D45,"")</f>
        <v/>
      </c>
      <c r="E795" s="78">
        <f>IF('4A'!B45&lt;&gt;"",'4A'!E45,"")</f>
        <v/>
      </c>
      <c r="F795" s="78">
        <f>IF('4A'!B45&lt;&gt;"",'4A'!F45,"")</f>
        <v/>
      </c>
      <c r="G795" s="78">
        <f>IF('4A'!B45&lt;&gt;"",'4A'!G45,"")</f>
        <v/>
      </c>
      <c r="H795" s="97">
        <f>IF('4A'!B45&lt;&gt;"",'4A'!H45,"")</f>
        <v/>
      </c>
      <c r="I795" s="97">
        <f>IF('4A'!B45&lt;&gt;"",'4A'!I45,"")</f>
        <v/>
      </c>
      <c r="J795" s="78">
        <f>IF('4A'!B45&lt;&gt;"",'4A'!J45,"")</f>
        <v/>
      </c>
    </row>
    <row r="796" ht="15.75" customHeight="1" s="52">
      <c r="A796" s="92">
        <f>IF('4A'!B46&lt;&gt;"","4A","")</f>
        <v/>
      </c>
      <c r="B796" s="82">
        <f>IF('4A'!B46&lt;&gt;"",'4A'!B46,"")</f>
        <v/>
      </c>
      <c r="C796" s="82">
        <f>IF('4A'!B46&lt;&gt;"",'4A'!C46,"")</f>
        <v/>
      </c>
      <c r="D796" s="82">
        <f>IF('4A'!B46&lt;&gt;"",'4A'!D46,"")</f>
        <v/>
      </c>
      <c r="E796" s="82">
        <f>IF('4A'!B46&lt;&gt;"",'4A'!E46,"")</f>
        <v/>
      </c>
      <c r="F796" s="82">
        <f>IF('4A'!B46&lt;&gt;"",'4A'!F46,"")</f>
        <v/>
      </c>
      <c r="G796" s="82">
        <f>IF('4A'!B46&lt;&gt;"",'4A'!G46,"")</f>
        <v/>
      </c>
      <c r="H796" s="92">
        <f>IF('4A'!B46&lt;&gt;"",'4A'!H46,"")</f>
        <v/>
      </c>
      <c r="I796" s="92">
        <f>IF('4A'!B46&lt;&gt;"",'4A'!I46,"")</f>
        <v/>
      </c>
      <c r="J796" s="82">
        <f>IF('4A'!B46&lt;&gt;"",'4A'!J46,"")</f>
        <v/>
      </c>
    </row>
    <row r="797" ht="15.75" customHeight="1" s="52">
      <c r="A797" s="97">
        <f>IF('4A'!B47&lt;&gt;"","4A","")</f>
        <v/>
      </c>
      <c r="B797" s="78">
        <f>IF('4A'!B47&lt;&gt;"",'4A'!B47,"")</f>
        <v/>
      </c>
      <c r="C797" s="78">
        <f>IF('4A'!B47&lt;&gt;"",'4A'!C47,"")</f>
        <v/>
      </c>
      <c r="D797" s="78">
        <f>IF('4A'!B47&lt;&gt;"",'4A'!D47,"")</f>
        <v/>
      </c>
      <c r="E797" s="78">
        <f>IF('4A'!B47&lt;&gt;"",'4A'!E47,"")</f>
        <v/>
      </c>
      <c r="F797" s="78">
        <f>IF('4A'!B47&lt;&gt;"",'4A'!F47,"")</f>
        <v/>
      </c>
      <c r="G797" s="78">
        <f>IF('4A'!B47&lt;&gt;"",'4A'!G47,"")</f>
        <v/>
      </c>
      <c r="H797" s="97">
        <f>IF('4A'!B47&lt;&gt;"",'4A'!H47,"")</f>
        <v/>
      </c>
      <c r="I797" s="97">
        <f>IF('4A'!B47&lt;&gt;"",'4A'!I47,"")</f>
        <v/>
      </c>
      <c r="J797" s="78">
        <f>IF('4A'!B47&lt;&gt;"",'4A'!J47,"")</f>
        <v/>
      </c>
    </row>
    <row r="798" ht="15.75" customHeight="1" s="52">
      <c r="A798" s="92">
        <f>IF('4A'!B48&lt;&gt;"","4A","")</f>
        <v/>
      </c>
      <c r="B798" s="82">
        <f>IF('4A'!B48&lt;&gt;"",'4A'!B48,"")</f>
        <v/>
      </c>
      <c r="C798" s="82">
        <f>IF('4A'!B48&lt;&gt;"",'4A'!C48,"")</f>
        <v/>
      </c>
      <c r="D798" s="82">
        <f>IF('4A'!B48&lt;&gt;"",'4A'!D48,"")</f>
        <v/>
      </c>
      <c r="E798" s="82">
        <f>IF('4A'!B48&lt;&gt;"",'4A'!E48,"")</f>
        <v/>
      </c>
      <c r="F798" s="82">
        <f>IF('4A'!B48&lt;&gt;"",'4A'!F48,"")</f>
        <v/>
      </c>
      <c r="G798" s="82">
        <f>IF('4A'!B48&lt;&gt;"",'4A'!G48,"")</f>
        <v/>
      </c>
      <c r="H798" s="92">
        <f>IF('4A'!B48&lt;&gt;"",'4A'!H48,"")</f>
        <v/>
      </c>
      <c r="I798" s="92">
        <f>IF('4A'!B48&lt;&gt;"",'4A'!I48,"")</f>
        <v/>
      </c>
      <c r="J798" s="82">
        <f>IF('4A'!B48&lt;&gt;"",'4A'!J48,"")</f>
        <v/>
      </c>
    </row>
    <row r="799" ht="15.75" customHeight="1" s="52">
      <c r="A799" s="97">
        <f>IF('4A'!B49&lt;&gt;"","4A","")</f>
        <v/>
      </c>
      <c r="B799" s="78">
        <f>IF('4A'!B49&lt;&gt;"",'4A'!B49,"")</f>
        <v/>
      </c>
      <c r="C799" s="78">
        <f>IF('4A'!B49&lt;&gt;"",'4A'!C49,"")</f>
        <v/>
      </c>
      <c r="D799" s="78">
        <f>IF('4A'!B49&lt;&gt;"",'4A'!D49,"")</f>
        <v/>
      </c>
      <c r="E799" s="78">
        <f>IF('4A'!B49&lt;&gt;"",'4A'!E49,"")</f>
        <v/>
      </c>
      <c r="F799" s="78">
        <f>IF('4A'!B49&lt;&gt;"",'4A'!F49,"")</f>
        <v/>
      </c>
      <c r="G799" s="78">
        <f>IF('4A'!B49&lt;&gt;"",'4A'!G49,"")</f>
        <v/>
      </c>
      <c r="H799" s="97">
        <f>IF('4A'!B49&lt;&gt;"",'4A'!H49,"")</f>
        <v/>
      </c>
      <c r="I799" s="97">
        <f>IF('4A'!B49&lt;&gt;"",'4A'!I49,"")</f>
        <v/>
      </c>
      <c r="J799" s="78">
        <f>IF('4A'!B49&lt;&gt;"",'4A'!J49,"")</f>
        <v/>
      </c>
    </row>
    <row r="800" ht="15.75" customHeight="1" s="52">
      <c r="A800" s="92">
        <f>IF('4A'!B50&lt;&gt;"","4A","")</f>
        <v/>
      </c>
      <c r="B800" s="82">
        <f>IF('4A'!B50&lt;&gt;"",'4A'!B50,"")</f>
        <v/>
      </c>
      <c r="C800" s="82">
        <f>IF('4A'!B50&lt;&gt;"",'4A'!C50,"")</f>
        <v/>
      </c>
      <c r="D800" s="82">
        <f>IF('4A'!B50&lt;&gt;"",'4A'!D50,"")</f>
        <v/>
      </c>
      <c r="E800" s="82">
        <f>IF('4A'!B50&lt;&gt;"",'4A'!E50,"")</f>
        <v/>
      </c>
      <c r="F800" s="82">
        <f>IF('4A'!B50&lt;&gt;"",'4A'!F50,"")</f>
        <v/>
      </c>
      <c r="G800" s="82">
        <f>IF('4A'!B50&lt;&gt;"",'4A'!G50,"")</f>
        <v/>
      </c>
      <c r="H800" s="92">
        <f>IF('4A'!B50&lt;&gt;"",'4A'!H50,"")</f>
        <v/>
      </c>
      <c r="I800" s="92">
        <f>IF('4A'!B50&lt;&gt;"",'4A'!I50,"")</f>
        <v/>
      </c>
      <c r="J800" s="82">
        <f>IF('4A'!B50&lt;&gt;"",'4A'!J50,"")</f>
        <v/>
      </c>
    </row>
    <row r="801" ht="15.75" customHeight="1" s="52">
      <c r="A801" s="97">
        <f>IF('4A'!B51&lt;&gt;"","4A","")</f>
        <v/>
      </c>
      <c r="B801" s="78">
        <f>IF('4A'!B51&lt;&gt;"",'4A'!B51,"")</f>
        <v/>
      </c>
      <c r="C801" s="78">
        <f>IF('4A'!B51&lt;&gt;"",'4A'!C51,"")</f>
        <v/>
      </c>
      <c r="D801" s="78">
        <f>IF('4A'!B51&lt;&gt;"",'4A'!D51,"")</f>
        <v/>
      </c>
      <c r="E801" s="78">
        <f>IF('4A'!B51&lt;&gt;"",'4A'!E51,"")</f>
        <v/>
      </c>
      <c r="F801" s="78">
        <f>IF('4A'!B51&lt;&gt;"",'4A'!F51,"")</f>
        <v/>
      </c>
      <c r="G801" s="78">
        <f>IF('4A'!B51&lt;&gt;"",'4A'!G51,"")</f>
        <v/>
      </c>
      <c r="H801" s="97">
        <f>IF('4A'!B51&lt;&gt;"",'4A'!H51,"")</f>
        <v/>
      </c>
      <c r="I801" s="97">
        <f>IF('4A'!B51&lt;&gt;"",'4A'!I51,"")</f>
        <v/>
      </c>
      <c r="J801" s="78">
        <f>IF('4A'!B51&lt;&gt;"",'4A'!J51,"")</f>
        <v/>
      </c>
    </row>
    <row r="802" ht="15.75" customHeight="1" s="52">
      <c r="A802" s="92">
        <f>IF('4A'!B52&lt;&gt;"","4A","")</f>
        <v/>
      </c>
      <c r="B802" s="82">
        <f>IF('4A'!B52&lt;&gt;"",'4A'!B52,"")</f>
        <v/>
      </c>
      <c r="C802" s="82">
        <f>IF('4A'!B52&lt;&gt;"",'4A'!C52,"")</f>
        <v/>
      </c>
      <c r="D802" s="82">
        <f>IF('4A'!B52&lt;&gt;"",'4A'!D52,"")</f>
        <v/>
      </c>
      <c r="E802" s="82">
        <f>IF('4A'!B52&lt;&gt;"",'4A'!E52,"")</f>
        <v/>
      </c>
      <c r="F802" s="82">
        <f>IF('4A'!B52&lt;&gt;"",'4A'!F52,"")</f>
        <v/>
      </c>
      <c r="G802" s="82">
        <f>IF('4A'!B52&lt;&gt;"",'4A'!G52,"")</f>
        <v/>
      </c>
      <c r="H802" s="92">
        <f>IF('4A'!B52&lt;&gt;"",'4A'!H52,"")</f>
        <v/>
      </c>
      <c r="I802" s="92">
        <f>IF('4A'!B52&lt;&gt;"",'4A'!I52,"")</f>
        <v/>
      </c>
      <c r="J802" s="82">
        <f>IF('4A'!B52&lt;&gt;"",'4A'!J52,"")</f>
        <v/>
      </c>
    </row>
    <row r="803" ht="15.75" customHeight="1" s="52">
      <c r="A803" s="97">
        <f>IF('4A'!B53&lt;&gt;"","4A","")</f>
        <v/>
      </c>
      <c r="B803" s="78">
        <f>IF('4A'!B53&lt;&gt;"",'4A'!B53,"")</f>
        <v/>
      </c>
      <c r="C803" s="78">
        <f>IF('4A'!B53&lt;&gt;"",'4A'!C53,"")</f>
        <v/>
      </c>
      <c r="D803" s="78">
        <f>IF('4A'!B53&lt;&gt;"",'4A'!D53,"")</f>
        <v/>
      </c>
      <c r="E803" s="78">
        <f>IF('4A'!B53&lt;&gt;"",'4A'!E53,"")</f>
        <v/>
      </c>
      <c r="F803" s="78">
        <f>IF('4A'!B53&lt;&gt;"",'4A'!F53,"")</f>
        <v/>
      </c>
      <c r="G803" s="78">
        <f>IF('4A'!B53&lt;&gt;"",'4A'!G53,"")</f>
        <v/>
      </c>
      <c r="H803" s="97">
        <f>IF('4A'!B53&lt;&gt;"",'4A'!H53,"")</f>
        <v/>
      </c>
      <c r="I803" s="97">
        <f>IF('4A'!B53&lt;&gt;"",'4A'!I53,"")</f>
        <v/>
      </c>
      <c r="J803" s="78">
        <f>IF('4A'!B53&lt;&gt;"",'4A'!J53,"")</f>
        <v/>
      </c>
    </row>
    <row r="804" ht="15.75" customHeight="1" s="52">
      <c r="A804" s="92">
        <f>IF('4A'!B54&lt;&gt;"","4A","")</f>
        <v/>
      </c>
      <c r="B804" s="82">
        <f>IF('4A'!B54&lt;&gt;"",'4A'!B54,"")</f>
        <v/>
      </c>
      <c r="C804" s="82">
        <f>IF('4A'!B54&lt;&gt;"",'4A'!C54,"")</f>
        <v/>
      </c>
      <c r="D804" s="82">
        <f>IF('4A'!B54&lt;&gt;"",'4A'!D54,"")</f>
        <v/>
      </c>
      <c r="E804" s="82">
        <f>IF('4A'!B54&lt;&gt;"",'4A'!E54,"")</f>
        <v/>
      </c>
      <c r="F804" s="82">
        <f>IF('4A'!B54&lt;&gt;"",'4A'!F54,"")</f>
        <v/>
      </c>
      <c r="G804" s="82">
        <f>IF('4A'!B54&lt;&gt;"",'4A'!G54,"")</f>
        <v/>
      </c>
      <c r="H804" s="92">
        <f>IF('4A'!B54&lt;&gt;"",'4A'!H54,"")</f>
        <v/>
      </c>
      <c r="I804" s="92">
        <f>IF('4A'!B54&lt;&gt;"",'4A'!I54,"")</f>
        <v/>
      </c>
      <c r="J804" s="82">
        <f>IF('4A'!B54&lt;&gt;"",'4A'!J54,"")</f>
        <v/>
      </c>
    </row>
    <row r="805" ht="15.75" customHeight="1" s="52">
      <c r="A805" s="97">
        <f>IF('4B'!B5&lt;&gt;"","4B","")</f>
        <v/>
      </c>
      <c r="B805" s="78">
        <f>IF('4B'!B5&lt;&gt;"",'4B'!B5,"")</f>
        <v/>
      </c>
      <c r="C805" s="78">
        <f>IF('4B'!B5&lt;&gt;"",'4B'!C5,"")</f>
        <v/>
      </c>
      <c r="D805" s="78">
        <f>IF('4B'!B5&lt;&gt;"",'4B'!D5,"")</f>
        <v/>
      </c>
      <c r="E805" s="78">
        <f>IF('4B'!B5&lt;&gt;"",'4B'!E5,"")</f>
        <v/>
      </c>
      <c r="F805" s="78">
        <f>IF('4B'!B5&lt;&gt;"",'4B'!F5,"")</f>
        <v/>
      </c>
      <c r="G805" s="78">
        <f>IF('4B'!B5&lt;&gt;"",'4B'!G5,"")</f>
        <v/>
      </c>
      <c r="H805" s="97">
        <f>IF('4B'!B5&lt;&gt;"",'4B'!H5,"")</f>
        <v/>
      </c>
      <c r="I805" s="97">
        <f>IF('4B'!B5&lt;&gt;"",'4B'!I5,"")</f>
        <v/>
      </c>
      <c r="J805" s="78">
        <f>IF('4B'!B5&lt;&gt;"",'4B'!J5,"")</f>
        <v/>
      </c>
    </row>
    <row r="806" ht="15.75" customHeight="1" s="52">
      <c r="A806" s="92">
        <f>IF('4B'!B6&lt;&gt;"","4B","")</f>
        <v/>
      </c>
      <c r="B806" s="82">
        <f>IF('4B'!B6&lt;&gt;"",'4B'!B6,"")</f>
        <v/>
      </c>
      <c r="C806" s="82">
        <f>IF('4B'!B6&lt;&gt;"",'4B'!C6,"")</f>
        <v/>
      </c>
      <c r="D806" s="82">
        <f>IF('4B'!B6&lt;&gt;"",'4B'!D6,"")</f>
        <v/>
      </c>
      <c r="E806" s="82">
        <f>IF('4B'!B6&lt;&gt;"",'4B'!E6,"")</f>
        <v/>
      </c>
      <c r="F806" s="82">
        <f>IF('4B'!B6&lt;&gt;"",'4B'!F6,"")</f>
        <v/>
      </c>
      <c r="G806" s="82">
        <f>IF('4B'!B6&lt;&gt;"",'4B'!G6,"")</f>
        <v/>
      </c>
      <c r="H806" s="92">
        <f>IF('4B'!B6&lt;&gt;"",'4B'!H6,"")</f>
        <v/>
      </c>
      <c r="I806" s="92">
        <f>IF('4B'!B6&lt;&gt;"",'4B'!I6,"")</f>
        <v/>
      </c>
      <c r="J806" s="82">
        <f>IF('4B'!B6&lt;&gt;"",'4B'!J6,"")</f>
        <v/>
      </c>
    </row>
    <row r="807" ht="15.75" customHeight="1" s="52">
      <c r="A807" s="97">
        <f>IF('4B'!B7&lt;&gt;"","4B","")</f>
        <v/>
      </c>
      <c r="B807" s="78">
        <f>IF('4B'!B7&lt;&gt;"",'4B'!B7,"")</f>
        <v/>
      </c>
      <c r="C807" s="78">
        <f>IF('4B'!B7&lt;&gt;"",'4B'!C7,"")</f>
        <v/>
      </c>
      <c r="D807" s="78">
        <f>IF('4B'!B7&lt;&gt;"",'4B'!D7,"")</f>
        <v/>
      </c>
      <c r="E807" s="78">
        <f>IF('4B'!B7&lt;&gt;"",'4B'!E7,"")</f>
        <v/>
      </c>
      <c r="F807" s="78">
        <f>IF('4B'!B7&lt;&gt;"",'4B'!F7,"")</f>
        <v/>
      </c>
      <c r="G807" s="78">
        <f>IF('4B'!B7&lt;&gt;"",'4B'!G7,"")</f>
        <v/>
      </c>
      <c r="H807" s="97">
        <f>IF('4B'!B7&lt;&gt;"",'4B'!H7,"")</f>
        <v/>
      </c>
      <c r="I807" s="97">
        <f>IF('4B'!B7&lt;&gt;"",'4B'!I7,"")</f>
        <v/>
      </c>
      <c r="J807" s="78">
        <f>IF('4B'!B7&lt;&gt;"",'4B'!J7,"")</f>
        <v/>
      </c>
    </row>
    <row r="808" ht="15.75" customHeight="1" s="52">
      <c r="A808" s="92">
        <f>IF('4B'!B8&lt;&gt;"","4B","")</f>
        <v/>
      </c>
      <c r="B808" s="82">
        <f>IF('4B'!B8&lt;&gt;"",'4B'!B8,"")</f>
        <v/>
      </c>
      <c r="C808" s="82">
        <f>IF('4B'!B8&lt;&gt;"",'4B'!C8,"")</f>
        <v/>
      </c>
      <c r="D808" s="82">
        <f>IF('4B'!B8&lt;&gt;"",'4B'!D8,"")</f>
        <v/>
      </c>
      <c r="E808" s="82">
        <f>IF('4B'!B8&lt;&gt;"",'4B'!E8,"")</f>
        <v/>
      </c>
      <c r="F808" s="82">
        <f>IF('4B'!B8&lt;&gt;"",'4B'!F8,"")</f>
        <v/>
      </c>
      <c r="G808" s="82">
        <f>IF('4B'!B8&lt;&gt;"",'4B'!G8,"")</f>
        <v/>
      </c>
      <c r="H808" s="92">
        <f>IF('4B'!B8&lt;&gt;"",'4B'!H8,"")</f>
        <v/>
      </c>
      <c r="I808" s="92">
        <f>IF('4B'!B8&lt;&gt;"",'4B'!I8,"")</f>
        <v/>
      </c>
      <c r="J808" s="82">
        <f>IF('4B'!B8&lt;&gt;"",'4B'!J8,"")</f>
        <v/>
      </c>
    </row>
    <row r="809" ht="15.75" customHeight="1" s="52">
      <c r="A809" s="97">
        <f>IF('4B'!B9&lt;&gt;"","4B","")</f>
        <v/>
      </c>
      <c r="B809" s="78">
        <f>IF('4B'!B9&lt;&gt;"",'4B'!B9,"")</f>
        <v/>
      </c>
      <c r="C809" s="78">
        <f>IF('4B'!B9&lt;&gt;"",'4B'!C9,"")</f>
        <v/>
      </c>
      <c r="D809" s="78">
        <f>IF('4B'!B9&lt;&gt;"",'4B'!D9,"")</f>
        <v/>
      </c>
      <c r="E809" s="78">
        <f>IF('4B'!B9&lt;&gt;"",'4B'!E9,"")</f>
        <v/>
      </c>
      <c r="F809" s="78">
        <f>IF('4B'!B9&lt;&gt;"",'4B'!F9,"")</f>
        <v/>
      </c>
      <c r="G809" s="78">
        <f>IF('4B'!B9&lt;&gt;"",'4B'!G9,"")</f>
        <v/>
      </c>
      <c r="H809" s="97">
        <f>IF('4B'!B9&lt;&gt;"",'4B'!H9,"")</f>
        <v/>
      </c>
      <c r="I809" s="97">
        <f>IF('4B'!B9&lt;&gt;"",'4B'!I9,"")</f>
        <v/>
      </c>
      <c r="J809" s="78">
        <f>IF('4B'!B9&lt;&gt;"",'4B'!J9,"")</f>
        <v/>
      </c>
    </row>
    <row r="810" ht="15.75" customHeight="1" s="52">
      <c r="A810" s="92">
        <f>IF('4B'!B10&lt;&gt;"","4B","")</f>
        <v/>
      </c>
      <c r="B810" s="82">
        <f>IF('4B'!B10&lt;&gt;"",'4B'!B10,"")</f>
        <v/>
      </c>
      <c r="C810" s="82">
        <f>IF('4B'!B10&lt;&gt;"",'4B'!C10,"")</f>
        <v/>
      </c>
      <c r="D810" s="82">
        <f>IF('4B'!B10&lt;&gt;"",'4B'!D10,"")</f>
        <v/>
      </c>
      <c r="E810" s="82">
        <f>IF('4B'!B10&lt;&gt;"",'4B'!E10,"")</f>
        <v/>
      </c>
      <c r="F810" s="82">
        <f>IF('4B'!B10&lt;&gt;"",'4B'!F10,"")</f>
        <v/>
      </c>
      <c r="G810" s="82">
        <f>IF('4B'!B10&lt;&gt;"",'4B'!G10,"")</f>
        <v/>
      </c>
      <c r="H810" s="92">
        <f>IF('4B'!B10&lt;&gt;"",'4B'!H10,"")</f>
        <v/>
      </c>
      <c r="I810" s="92">
        <f>IF('4B'!B10&lt;&gt;"",'4B'!I10,"")</f>
        <v/>
      </c>
      <c r="J810" s="82">
        <f>IF('4B'!B10&lt;&gt;"",'4B'!J10,"")</f>
        <v/>
      </c>
    </row>
    <row r="811" ht="15.75" customHeight="1" s="52">
      <c r="A811" s="97">
        <f>IF('4B'!B11&lt;&gt;"","4B","")</f>
        <v/>
      </c>
      <c r="B811" s="78">
        <f>IF('4B'!B11&lt;&gt;"",'4B'!B11,"")</f>
        <v/>
      </c>
      <c r="C811" s="78">
        <f>IF('4B'!B11&lt;&gt;"",'4B'!C11,"")</f>
        <v/>
      </c>
      <c r="D811" s="78">
        <f>IF('4B'!B11&lt;&gt;"",'4B'!D11,"")</f>
        <v/>
      </c>
      <c r="E811" s="78">
        <f>IF('4B'!B11&lt;&gt;"",'4B'!E11,"")</f>
        <v/>
      </c>
      <c r="F811" s="78">
        <f>IF('4B'!B11&lt;&gt;"",'4B'!F11,"")</f>
        <v/>
      </c>
      <c r="G811" s="78">
        <f>IF('4B'!B11&lt;&gt;"",'4B'!G11,"")</f>
        <v/>
      </c>
      <c r="H811" s="97">
        <f>IF('4B'!B11&lt;&gt;"",'4B'!H11,"")</f>
        <v/>
      </c>
      <c r="I811" s="97">
        <f>IF('4B'!B11&lt;&gt;"",'4B'!I11,"")</f>
        <v/>
      </c>
      <c r="J811" s="78">
        <f>IF('4B'!B11&lt;&gt;"",'4B'!J11,"")</f>
        <v/>
      </c>
    </row>
    <row r="812" ht="15.75" customHeight="1" s="52">
      <c r="A812" s="92">
        <f>IF('4B'!B12&lt;&gt;"","4B","")</f>
        <v/>
      </c>
      <c r="B812" s="82">
        <f>IF('4B'!B12&lt;&gt;"",'4B'!B12,"")</f>
        <v/>
      </c>
      <c r="C812" s="82">
        <f>IF('4B'!B12&lt;&gt;"",'4B'!C12,"")</f>
        <v/>
      </c>
      <c r="D812" s="82">
        <f>IF('4B'!B12&lt;&gt;"",'4B'!D12,"")</f>
        <v/>
      </c>
      <c r="E812" s="82">
        <f>IF('4B'!B12&lt;&gt;"",'4B'!E12,"")</f>
        <v/>
      </c>
      <c r="F812" s="82">
        <f>IF('4B'!B12&lt;&gt;"",'4B'!F12,"")</f>
        <v/>
      </c>
      <c r="G812" s="82">
        <f>IF('4B'!B12&lt;&gt;"",'4B'!G12,"")</f>
        <v/>
      </c>
      <c r="H812" s="92">
        <f>IF('4B'!B12&lt;&gt;"",'4B'!H12,"")</f>
        <v/>
      </c>
      <c r="I812" s="92">
        <f>IF('4B'!B12&lt;&gt;"",'4B'!I12,"")</f>
        <v/>
      </c>
      <c r="J812" s="82">
        <f>IF('4B'!B12&lt;&gt;"",'4B'!J12,"")</f>
        <v/>
      </c>
    </row>
    <row r="813" ht="15.75" customHeight="1" s="52">
      <c r="A813" s="97">
        <f>IF('4B'!B13&lt;&gt;"","4B","")</f>
        <v/>
      </c>
      <c r="B813" s="78">
        <f>IF('4B'!B13&lt;&gt;"",'4B'!B13,"")</f>
        <v/>
      </c>
      <c r="C813" s="78">
        <f>IF('4B'!B13&lt;&gt;"",'4B'!C13,"")</f>
        <v/>
      </c>
      <c r="D813" s="78">
        <f>IF('4B'!B13&lt;&gt;"",'4B'!D13,"")</f>
        <v/>
      </c>
      <c r="E813" s="78">
        <f>IF('4B'!B13&lt;&gt;"",'4B'!E13,"")</f>
        <v/>
      </c>
      <c r="F813" s="78">
        <f>IF('4B'!B13&lt;&gt;"",'4B'!F13,"")</f>
        <v/>
      </c>
      <c r="G813" s="78">
        <f>IF('4B'!B13&lt;&gt;"",'4B'!G13,"")</f>
        <v/>
      </c>
      <c r="H813" s="97">
        <f>IF('4B'!B13&lt;&gt;"",'4B'!H13,"")</f>
        <v/>
      </c>
      <c r="I813" s="97">
        <f>IF('4B'!B13&lt;&gt;"",'4B'!I13,"")</f>
        <v/>
      </c>
      <c r="J813" s="78">
        <f>IF('4B'!B13&lt;&gt;"",'4B'!J13,"")</f>
        <v/>
      </c>
    </row>
    <row r="814" ht="15.75" customHeight="1" s="52">
      <c r="A814" s="92">
        <f>IF('4B'!B14&lt;&gt;"","4B","")</f>
        <v/>
      </c>
      <c r="B814" s="82">
        <f>IF('4B'!B14&lt;&gt;"",'4B'!B14,"")</f>
        <v/>
      </c>
      <c r="C814" s="82">
        <f>IF('4B'!B14&lt;&gt;"",'4B'!C14,"")</f>
        <v/>
      </c>
      <c r="D814" s="82">
        <f>IF('4B'!B14&lt;&gt;"",'4B'!D14,"")</f>
        <v/>
      </c>
      <c r="E814" s="82">
        <f>IF('4B'!B14&lt;&gt;"",'4B'!E14,"")</f>
        <v/>
      </c>
      <c r="F814" s="82">
        <f>IF('4B'!B14&lt;&gt;"",'4B'!F14,"")</f>
        <v/>
      </c>
      <c r="G814" s="82">
        <f>IF('4B'!B14&lt;&gt;"",'4B'!G14,"")</f>
        <v/>
      </c>
      <c r="H814" s="92">
        <f>IF('4B'!B14&lt;&gt;"",'4B'!H14,"")</f>
        <v/>
      </c>
      <c r="I814" s="92">
        <f>IF('4B'!B14&lt;&gt;"",'4B'!I14,"")</f>
        <v/>
      </c>
      <c r="J814" s="82">
        <f>IF('4B'!B14&lt;&gt;"",'4B'!J14,"")</f>
        <v/>
      </c>
    </row>
    <row r="815" ht="15.75" customHeight="1" s="52">
      <c r="A815" s="97">
        <f>IF('4B'!B15&lt;&gt;"","4B","")</f>
        <v/>
      </c>
      <c r="B815" s="78">
        <f>IF('4B'!B15&lt;&gt;"",'4B'!B15,"")</f>
        <v/>
      </c>
      <c r="C815" s="78">
        <f>IF('4B'!B15&lt;&gt;"",'4B'!C15,"")</f>
        <v/>
      </c>
      <c r="D815" s="78">
        <f>IF('4B'!B15&lt;&gt;"",'4B'!D15,"")</f>
        <v/>
      </c>
      <c r="E815" s="78">
        <f>IF('4B'!B15&lt;&gt;"",'4B'!E15,"")</f>
        <v/>
      </c>
      <c r="F815" s="78">
        <f>IF('4B'!B15&lt;&gt;"",'4B'!F15,"")</f>
        <v/>
      </c>
      <c r="G815" s="78">
        <f>IF('4B'!B15&lt;&gt;"",'4B'!G15,"")</f>
        <v/>
      </c>
      <c r="H815" s="97">
        <f>IF('4B'!B15&lt;&gt;"",'4B'!H15,"")</f>
        <v/>
      </c>
      <c r="I815" s="97">
        <f>IF('4B'!B15&lt;&gt;"",'4B'!I15,"")</f>
        <v/>
      </c>
      <c r="J815" s="78">
        <f>IF('4B'!B15&lt;&gt;"",'4B'!J15,"")</f>
        <v/>
      </c>
    </row>
    <row r="816" ht="15.75" customHeight="1" s="52">
      <c r="A816" s="92">
        <f>IF('4B'!B16&lt;&gt;"","4B","")</f>
        <v/>
      </c>
      <c r="B816" s="82">
        <f>IF('4B'!B16&lt;&gt;"",'4B'!B16,"")</f>
        <v/>
      </c>
      <c r="C816" s="82">
        <f>IF('4B'!B16&lt;&gt;"",'4B'!C16,"")</f>
        <v/>
      </c>
      <c r="D816" s="82">
        <f>IF('4B'!B16&lt;&gt;"",'4B'!D16,"")</f>
        <v/>
      </c>
      <c r="E816" s="82">
        <f>IF('4B'!B16&lt;&gt;"",'4B'!E16,"")</f>
        <v/>
      </c>
      <c r="F816" s="82">
        <f>IF('4B'!B16&lt;&gt;"",'4B'!F16,"")</f>
        <v/>
      </c>
      <c r="G816" s="82">
        <f>IF('4B'!B16&lt;&gt;"",'4B'!G16,"")</f>
        <v/>
      </c>
      <c r="H816" s="92">
        <f>IF('4B'!B16&lt;&gt;"",'4B'!H16,"")</f>
        <v/>
      </c>
      <c r="I816" s="92">
        <f>IF('4B'!B16&lt;&gt;"",'4B'!I16,"")</f>
        <v/>
      </c>
      <c r="J816" s="82">
        <f>IF('4B'!B16&lt;&gt;"",'4B'!J16,"")</f>
        <v/>
      </c>
    </row>
    <row r="817" ht="15.75" customHeight="1" s="52">
      <c r="A817" s="97">
        <f>IF('4B'!B17&lt;&gt;"","4B","")</f>
        <v/>
      </c>
      <c r="B817" s="78">
        <f>IF('4B'!B17&lt;&gt;"",'4B'!B17,"")</f>
        <v/>
      </c>
      <c r="C817" s="78">
        <f>IF('4B'!B17&lt;&gt;"",'4B'!C17,"")</f>
        <v/>
      </c>
      <c r="D817" s="78">
        <f>IF('4B'!B17&lt;&gt;"",'4B'!D17,"")</f>
        <v/>
      </c>
      <c r="E817" s="78">
        <f>IF('4B'!B17&lt;&gt;"",'4B'!E17,"")</f>
        <v/>
      </c>
      <c r="F817" s="78">
        <f>IF('4B'!B17&lt;&gt;"",'4B'!F17,"")</f>
        <v/>
      </c>
      <c r="G817" s="78">
        <f>IF('4B'!B17&lt;&gt;"",'4B'!G17,"")</f>
        <v/>
      </c>
      <c r="H817" s="97">
        <f>IF('4B'!B17&lt;&gt;"",'4B'!H17,"")</f>
        <v/>
      </c>
      <c r="I817" s="97">
        <f>IF('4B'!B17&lt;&gt;"",'4B'!I17,"")</f>
        <v/>
      </c>
      <c r="J817" s="78">
        <f>IF('4B'!B17&lt;&gt;"",'4B'!J17,"")</f>
        <v/>
      </c>
    </row>
    <row r="818" ht="15.75" customHeight="1" s="52">
      <c r="A818" s="92">
        <f>IF('4B'!B18&lt;&gt;"","4B","")</f>
        <v/>
      </c>
      <c r="B818" s="82">
        <f>IF('4B'!B18&lt;&gt;"",'4B'!B18,"")</f>
        <v/>
      </c>
      <c r="C818" s="82">
        <f>IF('4B'!B18&lt;&gt;"",'4B'!C18,"")</f>
        <v/>
      </c>
      <c r="D818" s="82">
        <f>IF('4B'!B18&lt;&gt;"",'4B'!D18,"")</f>
        <v/>
      </c>
      <c r="E818" s="82">
        <f>IF('4B'!B18&lt;&gt;"",'4B'!E18,"")</f>
        <v/>
      </c>
      <c r="F818" s="82">
        <f>IF('4B'!B18&lt;&gt;"",'4B'!F18,"")</f>
        <v/>
      </c>
      <c r="G818" s="82">
        <f>IF('4B'!B18&lt;&gt;"",'4B'!G18,"")</f>
        <v/>
      </c>
      <c r="H818" s="92">
        <f>IF('4B'!B18&lt;&gt;"",'4B'!H18,"")</f>
        <v/>
      </c>
      <c r="I818" s="92">
        <f>IF('4B'!B18&lt;&gt;"",'4B'!I18,"")</f>
        <v/>
      </c>
      <c r="J818" s="82">
        <f>IF('4B'!B18&lt;&gt;"",'4B'!J18,"")</f>
        <v/>
      </c>
    </row>
    <row r="819" ht="15.75" customHeight="1" s="52">
      <c r="A819" s="97">
        <f>IF('4B'!B19&lt;&gt;"","4B","")</f>
        <v/>
      </c>
      <c r="B819" s="78">
        <f>IF('4B'!B19&lt;&gt;"",'4B'!B19,"")</f>
        <v/>
      </c>
      <c r="C819" s="78">
        <f>IF('4B'!B19&lt;&gt;"",'4B'!C19,"")</f>
        <v/>
      </c>
      <c r="D819" s="78">
        <f>IF('4B'!B19&lt;&gt;"",'4B'!D19,"")</f>
        <v/>
      </c>
      <c r="E819" s="78">
        <f>IF('4B'!B19&lt;&gt;"",'4B'!E19,"")</f>
        <v/>
      </c>
      <c r="F819" s="78">
        <f>IF('4B'!B19&lt;&gt;"",'4B'!F19,"")</f>
        <v/>
      </c>
      <c r="G819" s="78">
        <f>IF('4B'!B19&lt;&gt;"",'4B'!G19,"")</f>
        <v/>
      </c>
      <c r="H819" s="97">
        <f>IF('4B'!B19&lt;&gt;"",'4B'!H19,"")</f>
        <v/>
      </c>
      <c r="I819" s="97">
        <f>IF('4B'!B19&lt;&gt;"",'4B'!I19,"")</f>
        <v/>
      </c>
      <c r="J819" s="78">
        <f>IF('4B'!B19&lt;&gt;"",'4B'!J19,"")</f>
        <v/>
      </c>
    </row>
    <row r="820" ht="15.75" customHeight="1" s="52">
      <c r="A820" s="92">
        <f>IF('4B'!B20&lt;&gt;"","4B","")</f>
        <v/>
      </c>
      <c r="B820" s="82">
        <f>IF('4B'!B20&lt;&gt;"",'4B'!B20,"")</f>
        <v/>
      </c>
      <c r="C820" s="82">
        <f>IF('4B'!B20&lt;&gt;"",'4B'!C20,"")</f>
        <v/>
      </c>
      <c r="D820" s="82">
        <f>IF('4B'!B20&lt;&gt;"",'4B'!D20,"")</f>
        <v/>
      </c>
      <c r="E820" s="82">
        <f>IF('4B'!B20&lt;&gt;"",'4B'!E20,"")</f>
        <v/>
      </c>
      <c r="F820" s="82">
        <f>IF('4B'!B20&lt;&gt;"",'4B'!F20,"")</f>
        <v/>
      </c>
      <c r="G820" s="82">
        <f>IF('4B'!B20&lt;&gt;"",'4B'!G20,"")</f>
        <v/>
      </c>
      <c r="H820" s="92">
        <f>IF('4B'!B20&lt;&gt;"",'4B'!H20,"")</f>
        <v/>
      </c>
      <c r="I820" s="92">
        <f>IF('4B'!B20&lt;&gt;"",'4B'!I20,"")</f>
        <v/>
      </c>
      <c r="J820" s="82">
        <f>IF('4B'!B20&lt;&gt;"",'4B'!J20,"")</f>
        <v/>
      </c>
    </row>
    <row r="821" ht="15.75" customHeight="1" s="52">
      <c r="A821" s="97">
        <f>IF('4B'!B21&lt;&gt;"","4B","")</f>
        <v/>
      </c>
      <c r="B821" s="78">
        <f>IF('4B'!B21&lt;&gt;"",'4B'!B21,"")</f>
        <v/>
      </c>
      <c r="C821" s="78">
        <f>IF('4B'!B21&lt;&gt;"",'4B'!C21,"")</f>
        <v/>
      </c>
      <c r="D821" s="78">
        <f>IF('4B'!B21&lt;&gt;"",'4B'!D21,"")</f>
        <v/>
      </c>
      <c r="E821" s="78">
        <f>IF('4B'!B21&lt;&gt;"",'4B'!E21,"")</f>
        <v/>
      </c>
      <c r="F821" s="78">
        <f>IF('4B'!B21&lt;&gt;"",'4B'!F21,"")</f>
        <v/>
      </c>
      <c r="G821" s="78">
        <f>IF('4B'!B21&lt;&gt;"",'4B'!G21,"")</f>
        <v/>
      </c>
      <c r="H821" s="97">
        <f>IF('4B'!B21&lt;&gt;"",'4B'!H21,"")</f>
        <v/>
      </c>
      <c r="I821" s="97">
        <f>IF('4B'!B21&lt;&gt;"",'4B'!I21,"")</f>
        <v/>
      </c>
      <c r="J821" s="78">
        <f>IF('4B'!B21&lt;&gt;"",'4B'!J21,"")</f>
        <v/>
      </c>
    </row>
    <row r="822" ht="15.75" customHeight="1" s="52">
      <c r="A822" s="92">
        <f>IF('4B'!B22&lt;&gt;"","4B","")</f>
        <v/>
      </c>
      <c r="B822" s="82">
        <f>IF('4B'!B22&lt;&gt;"",'4B'!B22,"")</f>
        <v/>
      </c>
      <c r="C822" s="82">
        <f>IF('4B'!B22&lt;&gt;"",'4B'!C22,"")</f>
        <v/>
      </c>
      <c r="D822" s="82">
        <f>IF('4B'!B22&lt;&gt;"",'4B'!D22,"")</f>
        <v/>
      </c>
      <c r="E822" s="82">
        <f>IF('4B'!B22&lt;&gt;"",'4B'!E22,"")</f>
        <v/>
      </c>
      <c r="F822" s="82">
        <f>IF('4B'!B22&lt;&gt;"",'4B'!F22,"")</f>
        <v/>
      </c>
      <c r="G822" s="82">
        <f>IF('4B'!B22&lt;&gt;"",'4B'!G22,"")</f>
        <v/>
      </c>
      <c r="H822" s="92">
        <f>IF('4B'!B22&lt;&gt;"",'4B'!H22,"")</f>
        <v/>
      </c>
      <c r="I822" s="92">
        <f>IF('4B'!B22&lt;&gt;"",'4B'!I22,"")</f>
        <v/>
      </c>
      <c r="J822" s="82">
        <f>IF('4B'!B22&lt;&gt;"",'4B'!J22,"")</f>
        <v/>
      </c>
    </row>
    <row r="823" ht="15.75" customHeight="1" s="52">
      <c r="A823" s="97">
        <f>IF('4B'!B23&lt;&gt;"","4B","")</f>
        <v/>
      </c>
      <c r="B823" s="78">
        <f>IF('4B'!B23&lt;&gt;"",'4B'!B23,"")</f>
        <v/>
      </c>
      <c r="C823" s="78">
        <f>IF('4B'!B23&lt;&gt;"",'4B'!C23,"")</f>
        <v/>
      </c>
      <c r="D823" s="78">
        <f>IF('4B'!B23&lt;&gt;"",'4B'!D23,"")</f>
        <v/>
      </c>
      <c r="E823" s="78">
        <f>IF('4B'!B23&lt;&gt;"",'4B'!E23,"")</f>
        <v/>
      </c>
      <c r="F823" s="78">
        <f>IF('4B'!B23&lt;&gt;"",'4B'!F23,"")</f>
        <v/>
      </c>
      <c r="G823" s="78">
        <f>IF('4B'!B23&lt;&gt;"",'4B'!G23,"")</f>
        <v/>
      </c>
      <c r="H823" s="97">
        <f>IF('4B'!B23&lt;&gt;"",'4B'!H23,"")</f>
        <v/>
      </c>
      <c r="I823" s="97">
        <f>IF('4B'!B23&lt;&gt;"",'4B'!I23,"")</f>
        <v/>
      </c>
      <c r="J823" s="78">
        <f>IF('4B'!B23&lt;&gt;"",'4B'!J23,"")</f>
        <v/>
      </c>
    </row>
    <row r="824" ht="15.75" customHeight="1" s="52">
      <c r="A824" s="92">
        <f>IF('4B'!B24&lt;&gt;"","4B","")</f>
        <v/>
      </c>
      <c r="B824" s="82">
        <f>IF('4B'!B24&lt;&gt;"",'4B'!B24,"")</f>
        <v/>
      </c>
      <c r="C824" s="82">
        <f>IF('4B'!B24&lt;&gt;"",'4B'!C24,"")</f>
        <v/>
      </c>
      <c r="D824" s="82">
        <f>IF('4B'!B24&lt;&gt;"",'4B'!D24,"")</f>
        <v/>
      </c>
      <c r="E824" s="82">
        <f>IF('4B'!B24&lt;&gt;"",'4B'!E24,"")</f>
        <v/>
      </c>
      <c r="F824" s="82">
        <f>IF('4B'!B24&lt;&gt;"",'4B'!F24,"")</f>
        <v/>
      </c>
      <c r="G824" s="82">
        <f>IF('4B'!B24&lt;&gt;"",'4B'!G24,"")</f>
        <v/>
      </c>
      <c r="H824" s="92">
        <f>IF('4B'!B24&lt;&gt;"",'4B'!H24,"")</f>
        <v/>
      </c>
      <c r="I824" s="92">
        <f>IF('4B'!B24&lt;&gt;"",'4B'!I24,"")</f>
        <v/>
      </c>
      <c r="J824" s="82">
        <f>IF('4B'!B24&lt;&gt;"",'4B'!J24,"")</f>
        <v/>
      </c>
    </row>
    <row r="825" ht="15.75" customHeight="1" s="52">
      <c r="A825" s="97">
        <f>IF('4B'!B25&lt;&gt;"","4B","")</f>
        <v/>
      </c>
      <c r="B825" s="78">
        <f>IF('4B'!B25&lt;&gt;"",'4B'!B25,"")</f>
        <v/>
      </c>
      <c r="C825" s="78">
        <f>IF('4B'!B25&lt;&gt;"",'4B'!C25,"")</f>
        <v/>
      </c>
      <c r="D825" s="78">
        <f>IF('4B'!B25&lt;&gt;"",'4B'!D25,"")</f>
        <v/>
      </c>
      <c r="E825" s="78">
        <f>IF('4B'!B25&lt;&gt;"",'4B'!E25,"")</f>
        <v/>
      </c>
      <c r="F825" s="78">
        <f>IF('4B'!B25&lt;&gt;"",'4B'!F25,"")</f>
        <v/>
      </c>
      <c r="G825" s="78">
        <f>IF('4B'!B25&lt;&gt;"",'4B'!G25,"")</f>
        <v/>
      </c>
      <c r="H825" s="97">
        <f>IF('4B'!B25&lt;&gt;"",'4B'!H25,"")</f>
        <v/>
      </c>
      <c r="I825" s="97">
        <f>IF('4B'!B25&lt;&gt;"",'4B'!I25,"")</f>
        <v/>
      </c>
      <c r="J825" s="78">
        <f>IF('4B'!B25&lt;&gt;"",'4B'!J25,"")</f>
        <v/>
      </c>
    </row>
    <row r="826" ht="15.75" customHeight="1" s="52">
      <c r="A826" s="92">
        <f>IF('4B'!B26&lt;&gt;"","4B","")</f>
        <v/>
      </c>
      <c r="B826" s="82">
        <f>IF('4B'!B26&lt;&gt;"",'4B'!B26,"")</f>
        <v/>
      </c>
      <c r="C826" s="82">
        <f>IF('4B'!B26&lt;&gt;"",'4B'!C26,"")</f>
        <v/>
      </c>
      <c r="D826" s="82">
        <f>IF('4B'!B26&lt;&gt;"",'4B'!D26,"")</f>
        <v/>
      </c>
      <c r="E826" s="82">
        <f>IF('4B'!B26&lt;&gt;"",'4B'!E26,"")</f>
        <v/>
      </c>
      <c r="F826" s="82">
        <f>IF('4B'!B26&lt;&gt;"",'4B'!F26,"")</f>
        <v/>
      </c>
      <c r="G826" s="82">
        <f>IF('4B'!B26&lt;&gt;"",'4B'!G26,"")</f>
        <v/>
      </c>
      <c r="H826" s="92">
        <f>IF('4B'!B26&lt;&gt;"",'4B'!H26,"")</f>
        <v/>
      </c>
      <c r="I826" s="92">
        <f>IF('4B'!B26&lt;&gt;"",'4B'!I26,"")</f>
        <v/>
      </c>
      <c r="J826" s="82">
        <f>IF('4B'!B26&lt;&gt;"",'4B'!J26,"")</f>
        <v/>
      </c>
    </row>
    <row r="827" ht="15.75" customHeight="1" s="52">
      <c r="A827" s="97">
        <f>IF('4B'!B27&lt;&gt;"","4B","")</f>
        <v/>
      </c>
      <c r="B827" s="78">
        <f>IF('4B'!B27&lt;&gt;"",'4B'!B27,"")</f>
        <v/>
      </c>
      <c r="C827" s="78">
        <f>IF('4B'!B27&lt;&gt;"",'4B'!C27,"")</f>
        <v/>
      </c>
      <c r="D827" s="78">
        <f>IF('4B'!B27&lt;&gt;"",'4B'!D27,"")</f>
        <v/>
      </c>
      <c r="E827" s="78">
        <f>IF('4B'!B27&lt;&gt;"",'4B'!E27,"")</f>
        <v/>
      </c>
      <c r="F827" s="78">
        <f>IF('4B'!B27&lt;&gt;"",'4B'!F27,"")</f>
        <v/>
      </c>
      <c r="G827" s="78">
        <f>IF('4B'!B27&lt;&gt;"",'4B'!G27,"")</f>
        <v/>
      </c>
      <c r="H827" s="97">
        <f>IF('4B'!B27&lt;&gt;"",'4B'!H27,"")</f>
        <v/>
      </c>
      <c r="I827" s="97">
        <f>IF('4B'!B27&lt;&gt;"",'4B'!I27,"")</f>
        <v/>
      </c>
      <c r="J827" s="78">
        <f>IF('4B'!B27&lt;&gt;"",'4B'!J27,"")</f>
        <v/>
      </c>
    </row>
    <row r="828" ht="15.75" customHeight="1" s="52">
      <c r="A828" s="92">
        <f>IF('4B'!B28&lt;&gt;"","4B","")</f>
        <v/>
      </c>
      <c r="B828" s="82">
        <f>IF('4B'!B28&lt;&gt;"",'4B'!B28,"")</f>
        <v/>
      </c>
      <c r="C828" s="82">
        <f>IF('4B'!B28&lt;&gt;"",'4B'!C28,"")</f>
        <v/>
      </c>
      <c r="D828" s="82">
        <f>IF('4B'!B28&lt;&gt;"",'4B'!D28,"")</f>
        <v/>
      </c>
      <c r="E828" s="82">
        <f>IF('4B'!B28&lt;&gt;"",'4B'!E28,"")</f>
        <v/>
      </c>
      <c r="F828" s="82">
        <f>IF('4B'!B28&lt;&gt;"",'4B'!F28,"")</f>
        <v/>
      </c>
      <c r="G828" s="82">
        <f>IF('4B'!B28&lt;&gt;"",'4B'!G28,"")</f>
        <v/>
      </c>
      <c r="H828" s="92">
        <f>IF('4B'!B28&lt;&gt;"",'4B'!H28,"")</f>
        <v/>
      </c>
      <c r="I828" s="92">
        <f>IF('4B'!B28&lt;&gt;"",'4B'!I28,"")</f>
        <v/>
      </c>
      <c r="J828" s="82">
        <f>IF('4B'!B28&lt;&gt;"",'4B'!J28,"")</f>
        <v/>
      </c>
    </row>
    <row r="829" ht="15.75" customHeight="1" s="52">
      <c r="A829" s="97">
        <f>IF('4B'!B29&lt;&gt;"","4B","")</f>
        <v/>
      </c>
      <c r="B829" s="78">
        <f>IF('4B'!B29&lt;&gt;"",'4B'!B29,"")</f>
        <v/>
      </c>
      <c r="C829" s="78">
        <f>IF('4B'!B29&lt;&gt;"",'4B'!C29,"")</f>
        <v/>
      </c>
      <c r="D829" s="78">
        <f>IF('4B'!B29&lt;&gt;"",'4B'!D29,"")</f>
        <v/>
      </c>
      <c r="E829" s="78">
        <f>IF('4B'!B29&lt;&gt;"",'4B'!E29,"")</f>
        <v/>
      </c>
      <c r="F829" s="78">
        <f>IF('4B'!B29&lt;&gt;"",'4B'!F29,"")</f>
        <v/>
      </c>
      <c r="G829" s="78">
        <f>IF('4B'!B29&lt;&gt;"",'4B'!G29,"")</f>
        <v/>
      </c>
      <c r="H829" s="97">
        <f>IF('4B'!B29&lt;&gt;"",'4B'!H29,"")</f>
        <v/>
      </c>
      <c r="I829" s="97">
        <f>IF('4B'!B29&lt;&gt;"",'4B'!I29,"")</f>
        <v/>
      </c>
      <c r="J829" s="78">
        <f>IF('4B'!B29&lt;&gt;"",'4B'!J29,"")</f>
        <v/>
      </c>
    </row>
    <row r="830" ht="15.75" customHeight="1" s="52">
      <c r="A830" s="92">
        <f>IF('4B'!B30&lt;&gt;"","4B","")</f>
        <v/>
      </c>
      <c r="B830" s="82">
        <f>IF('4B'!B30&lt;&gt;"",'4B'!B30,"")</f>
        <v/>
      </c>
      <c r="C830" s="82">
        <f>IF('4B'!B30&lt;&gt;"",'4B'!C30,"")</f>
        <v/>
      </c>
      <c r="D830" s="82">
        <f>IF('4B'!B30&lt;&gt;"",'4B'!D30,"")</f>
        <v/>
      </c>
      <c r="E830" s="82">
        <f>IF('4B'!B30&lt;&gt;"",'4B'!E30,"")</f>
        <v/>
      </c>
      <c r="F830" s="82">
        <f>IF('4B'!B30&lt;&gt;"",'4B'!F30,"")</f>
        <v/>
      </c>
      <c r="G830" s="82">
        <f>IF('4B'!B30&lt;&gt;"",'4B'!G30,"")</f>
        <v/>
      </c>
      <c r="H830" s="92">
        <f>IF('4B'!B30&lt;&gt;"",'4B'!H30,"")</f>
        <v/>
      </c>
      <c r="I830" s="92">
        <f>IF('4B'!B30&lt;&gt;"",'4B'!I30,"")</f>
        <v/>
      </c>
      <c r="J830" s="82">
        <f>IF('4B'!B30&lt;&gt;"",'4B'!J30,"")</f>
        <v/>
      </c>
    </row>
    <row r="831" ht="15.75" customHeight="1" s="52">
      <c r="A831" s="97">
        <f>IF('4B'!B31&lt;&gt;"","4B","")</f>
        <v/>
      </c>
      <c r="B831" s="78">
        <f>IF('4B'!B31&lt;&gt;"",'4B'!B31,"")</f>
        <v/>
      </c>
      <c r="C831" s="78">
        <f>IF('4B'!B31&lt;&gt;"",'4B'!C31,"")</f>
        <v/>
      </c>
      <c r="D831" s="78">
        <f>IF('4B'!B31&lt;&gt;"",'4B'!D31,"")</f>
        <v/>
      </c>
      <c r="E831" s="78">
        <f>IF('4B'!B31&lt;&gt;"",'4B'!E31,"")</f>
        <v/>
      </c>
      <c r="F831" s="78">
        <f>IF('4B'!B31&lt;&gt;"",'4B'!F31,"")</f>
        <v/>
      </c>
      <c r="G831" s="78">
        <f>IF('4B'!B31&lt;&gt;"",'4B'!G31,"")</f>
        <v/>
      </c>
      <c r="H831" s="97">
        <f>IF('4B'!B31&lt;&gt;"",'4B'!H31,"")</f>
        <v/>
      </c>
      <c r="I831" s="97">
        <f>IF('4B'!B31&lt;&gt;"",'4B'!I31,"")</f>
        <v/>
      </c>
      <c r="J831" s="78">
        <f>IF('4B'!B31&lt;&gt;"",'4B'!J31,"")</f>
        <v/>
      </c>
    </row>
    <row r="832" ht="15.75" customHeight="1" s="52">
      <c r="A832" s="92">
        <f>IF('4B'!B32&lt;&gt;"","4B","")</f>
        <v/>
      </c>
      <c r="B832" s="82">
        <f>IF('4B'!B32&lt;&gt;"",'4B'!B32,"")</f>
        <v/>
      </c>
      <c r="C832" s="82">
        <f>IF('4B'!B32&lt;&gt;"",'4B'!C32,"")</f>
        <v/>
      </c>
      <c r="D832" s="82">
        <f>IF('4B'!B32&lt;&gt;"",'4B'!D32,"")</f>
        <v/>
      </c>
      <c r="E832" s="82">
        <f>IF('4B'!B32&lt;&gt;"",'4B'!E32,"")</f>
        <v/>
      </c>
      <c r="F832" s="82">
        <f>IF('4B'!B32&lt;&gt;"",'4B'!F32,"")</f>
        <v/>
      </c>
      <c r="G832" s="82">
        <f>IF('4B'!B32&lt;&gt;"",'4B'!G32,"")</f>
        <v/>
      </c>
      <c r="H832" s="92">
        <f>IF('4B'!B32&lt;&gt;"",'4B'!H32,"")</f>
        <v/>
      </c>
      <c r="I832" s="92">
        <f>IF('4B'!B32&lt;&gt;"",'4B'!I32,"")</f>
        <v/>
      </c>
      <c r="J832" s="82">
        <f>IF('4B'!B32&lt;&gt;"",'4B'!J32,"")</f>
        <v/>
      </c>
    </row>
    <row r="833" ht="15.75" customHeight="1" s="52">
      <c r="A833" s="97">
        <f>IF('4B'!B33&lt;&gt;"","4B","")</f>
        <v/>
      </c>
      <c r="B833" s="78">
        <f>IF('4B'!B33&lt;&gt;"",'4B'!B33,"")</f>
        <v/>
      </c>
      <c r="C833" s="78">
        <f>IF('4B'!B33&lt;&gt;"",'4B'!C33,"")</f>
        <v/>
      </c>
      <c r="D833" s="78">
        <f>IF('4B'!B33&lt;&gt;"",'4B'!D33,"")</f>
        <v/>
      </c>
      <c r="E833" s="78">
        <f>IF('4B'!B33&lt;&gt;"",'4B'!E33,"")</f>
        <v/>
      </c>
      <c r="F833" s="78">
        <f>IF('4B'!B33&lt;&gt;"",'4B'!F33,"")</f>
        <v/>
      </c>
      <c r="G833" s="78">
        <f>IF('4B'!B33&lt;&gt;"",'4B'!G33,"")</f>
        <v/>
      </c>
      <c r="H833" s="97">
        <f>IF('4B'!B33&lt;&gt;"",'4B'!H33,"")</f>
        <v/>
      </c>
      <c r="I833" s="97">
        <f>IF('4B'!B33&lt;&gt;"",'4B'!I33,"")</f>
        <v/>
      </c>
      <c r="J833" s="78">
        <f>IF('4B'!B33&lt;&gt;"",'4B'!J33,"")</f>
        <v/>
      </c>
    </row>
    <row r="834" ht="15.75" customHeight="1" s="52">
      <c r="A834" s="92">
        <f>IF('4B'!B34&lt;&gt;"","4B","")</f>
        <v/>
      </c>
      <c r="B834" s="82">
        <f>IF('4B'!B34&lt;&gt;"",'4B'!B34,"")</f>
        <v/>
      </c>
      <c r="C834" s="82">
        <f>IF('4B'!B34&lt;&gt;"",'4B'!C34,"")</f>
        <v/>
      </c>
      <c r="D834" s="82">
        <f>IF('4B'!B34&lt;&gt;"",'4B'!D34,"")</f>
        <v/>
      </c>
      <c r="E834" s="82">
        <f>IF('4B'!B34&lt;&gt;"",'4B'!E34,"")</f>
        <v/>
      </c>
      <c r="F834" s="82">
        <f>IF('4B'!B34&lt;&gt;"",'4B'!F34,"")</f>
        <v/>
      </c>
      <c r="G834" s="82">
        <f>IF('4B'!B34&lt;&gt;"",'4B'!G34,"")</f>
        <v/>
      </c>
      <c r="H834" s="92">
        <f>IF('4B'!B34&lt;&gt;"",'4B'!H34,"")</f>
        <v/>
      </c>
      <c r="I834" s="92">
        <f>IF('4B'!B34&lt;&gt;"",'4B'!I34,"")</f>
        <v/>
      </c>
      <c r="J834" s="82">
        <f>IF('4B'!B34&lt;&gt;"",'4B'!J34,"")</f>
        <v/>
      </c>
    </row>
    <row r="835" ht="15.75" customHeight="1" s="52">
      <c r="A835" s="97">
        <f>IF('4B'!B35&lt;&gt;"","4B","")</f>
        <v/>
      </c>
      <c r="B835" s="78">
        <f>IF('4B'!B35&lt;&gt;"",'4B'!B35,"")</f>
        <v/>
      </c>
      <c r="C835" s="78">
        <f>IF('4B'!B35&lt;&gt;"",'4B'!C35,"")</f>
        <v/>
      </c>
      <c r="D835" s="78">
        <f>IF('4B'!B35&lt;&gt;"",'4B'!D35,"")</f>
        <v/>
      </c>
      <c r="E835" s="78">
        <f>IF('4B'!B35&lt;&gt;"",'4B'!E35,"")</f>
        <v/>
      </c>
      <c r="F835" s="78">
        <f>IF('4B'!B35&lt;&gt;"",'4B'!F35,"")</f>
        <v/>
      </c>
      <c r="G835" s="78">
        <f>IF('4B'!B35&lt;&gt;"",'4B'!G35,"")</f>
        <v/>
      </c>
      <c r="H835" s="97">
        <f>IF('4B'!B35&lt;&gt;"",'4B'!H35,"")</f>
        <v/>
      </c>
      <c r="I835" s="97">
        <f>IF('4B'!B35&lt;&gt;"",'4B'!I35,"")</f>
        <v/>
      </c>
      <c r="J835" s="78">
        <f>IF('4B'!B35&lt;&gt;"",'4B'!J35,"")</f>
        <v/>
      </c>
    </row>
    <row r="836" ht="15.75" customHeight="1" s="52">
      <c r="A836" s="92">
        <f>IF('4B'!B36&lt;&gt;"","4B","")</f>
        <v/>
      </c>
      <c r="B836" s="82">
        <f>IF('4B'!B36&lt;&gt;"",'4B'!B36,"")</f>
        <v/>
      </c>
      <c r="C836" s="82">
        <f>IF('4B'!B36&lt;&gt;"",'4B'!C36,"")</f>
        <v/>
      </c>
      <c r="D836" s="82">
        <f>IF('4B'!B36&lt;&gt;"",'4B'!D36,"")</f>
        <v/>
      </c>
      <c r="E836" s="82">
        <f>IF('4B'!B36&lt;&gt;"",'4B'!E36,"")</f>
        <v/>
      </c>
      <c r="F836" s="82">
        <f>IF('4B'!B36&lt;&gt;"",'4B'!F36,"")</f>
        <v/>
      </c>
      <c r="G836" s="82">
        <f>IF('4B'!B36&lt;&gt;"",'4B'!G36,"")</f>
        <v/>
      </c>
      <c r="H836" s="92">
        <f>IF('4B'!B36&lt;&gt;"",'4B'!H36,"")</f>
        <v/>
      </c>
      <c r="I836" s="92">
        <f>IF('4B'!B36&lt;&gt;"",'4B'!I36,"")</f>
        <v/>
      </c>
      <c r="J836" s="82">
        <f>IF('4B'!B36&lt;&gt;"",'4B'!J36,"")</f>
        <v/>
      </c>
    </row>
    <row r="837" ht="15.75" customHeight="1" s="52">
      <c r="A837" s="97">
        <f>IF('4B'!B37&lt;&gt;"","4B","")</f>
        <v/>
      </c>
      <c r="B837" s="78">
        <f>IF('4B'!B37&lt;&gt;"",'4B'!B37,"")</f>
        <v/>
      </c>
      <c r="C837" s="78">
        <f>IF('4B'!B37&lt;&gt;"",'4B'!C37,"")</f>
        <v/>
      </c>
      <c r="D837" s="78">
        <f>IF('4B'!B37&lt;&gt;"",'4B'!D37,"")</f>
        <v/>
      </c>
      <c r="E837" s="78">
        <f>IF('4B'!B37&lt;&gt;"",'4B'!E37,"")</f>
        <v/>
      </c>
      <c r="F837" s="78">
        <f>IF('4B'!B37&lt;&gt;"",'4B'!F37,"")</f>
        <v/>
      </c>
      <c r="G837" s="78">
        <f>IF('4B'!B37&lt;&gt;"",'4B'!G37,"")</f>
        <v/>
      </c>
      <c r="H837" s="97">
        <f>IF('4B'!B37&lt;&gt;"",'4B'!H37,"")</f>
        <v/>
      </c>
      <c r="I837" s="97">
        <f>IF('4B'!B37&lt;&gt;"",'4B'!I37,"")</f>
        <v/>
      </c>
      <c r="J837" s="78">
        <f>IF('4B'!B37&lt;&gt;"",'4B'!J37,"")</f>
        <v/>
      </c>
    </row>
    <row r="838" ht="15.75" customHeight="1" s="52">
      <c r="A838" s="92">
        <f>IF('4B'!B38&lt;&gt;"","4B","")</f>
        <v/>
      </c>
      <c r="B838" s="82">
        <f>IF('4B'!B38&lt;&gt;"",'4B'!B38,"")</f>
        <v/>
      </c>
      <c r="C838" s="82">
        <f>IF('4B'!B38&lt;&gt;"",'4B'!C38,"")</f>
        <v/>
      </c>
      <c r="D838" s="82">
        <f>IF('4B'!B38&lt;&gt;"",'4B'!D38,"")</f>
        <v/>
      </c>
      <c r="E838" s="82">
        <f>IF('4B'!B38&lt;&gt;"",'4B'!E38,"")</f>
        <v/>
      </c>
      <c r="F838" s="82">
        <f>IF('4B'!B38&lt;&gt;"",'4B'!F38,"")</f>
        <v/>
      </c>
      <c r="G838" s="82">
        <f>IF('4B'!B38&lt;&gt;"",'4B'!G38,"")</f>
        <v/>
      </c>
      <c r="H838" s="92">
        <f>IF('4B'!B38&lt;&gt;"",'4B'!H38,"")</f>
        <v/>
      </c>
      <c r="I838" s="92">
        <f>IF('4B'!B38&lt;&gt;"",'4B'!I38,"")</f>
        <v/>
      </c>
      <c r="J838" s="82">
        <f>IF('4B'!B38&lt;&gt;"",'4B'!J38,"")</f>
        <v/>
      </c>
    </row>
    <row r="839" ht="15.75" customHeight="1" s="52">
      <c r="A839" s="97">
        <f>IF('4B'!B39&lt;&gt;"","4B","")</f>
        <v/>
      </c>
      <c r="B839" s="78">
        <f>IF('4B'!B39&lt;&gt;"",'4B'!B39,"")</f>
        <v/>
      </c>
      <c r="C839" s="78">
        <f>IF('4B'!B39&lt;&gt;"",'4B'!C39,"")</f>
        <v/>
      </c>
      <c r="D839" s="78">
        <f>IF('4B'!B39&lt;&gt;"",'4B'!D39,"")</f>
        <v/>
      </c>
      <c r="E839" s="78">
        <f>IF('4B'!B39&lt;&gt;"",'4B'!E39,"")</f>
        <v/>
      </c>
      <c r="F839" s="78">
        <f>IF('4B'!B39&lt;&gt;"",'4B'!F39,"")</f>
        <v/>
      </c>
      <c r="G839" s="78">
        <f>IF('4B'!B39&lt;&gt;"",'4B'!G39,"")</f>
        <v/>
      </c>
      <c r="H839" s="97">
        <f>IF('4B'!B39&lt;&gt;"",'4B'!H39,"")</f>
        <v/>
      </c>
      <c r="I839" s="97">
        <f>IF('4B'!B39&lt;&gt;"",'4B'!I39,"")</f>
        <v/>
      </c>
      <c r="J839" s="78">
        <f>IF('4B'!B39&lt;&gt;"",'4B'!J39,"")</f>
        <v/>
      </c>
    </row>
    <row r="840" ht="15.75" customHeight="1" s="52">
      <c r="A840" s="92">
        <f>IF('4B'!B40&lt;&gt;"","4B","")</f>
        <v/>
      </c>
      <c r="B840" s="82">
        <f>IF('4B'!B40&lt;&gt;"",'4B'!B40,"")</f>
        <v/>
      </c>
      <c r="C840" s="82">
        <f>IF('4B'!B40&lt;&gt;"",'4B'!C40,"")</f>
        <v/>
      </c>
      <c r="D840" s="82">
        <f>IF('4B'!B40&lt;&gt;"",'4B'!D40,"")</f>
        <v/>
      </c>
      <c r="E840" s="82">
        <f>IF('4B'!B40&lt;&gt;"",'4B'!E40,"")</f>
        <v/>
      </c>
      <c r="F840" s="82">
        <f>IF('4B'!B40&lt;&gt;"",'4B'!F40,"")</f>
        <v/>
      </c>
      <c r="G840" s="82">
        <f>IF('4B'!B40&lt;&gt;"",'4B'!G40,"")</f>
        <v/>
      </c>
      <c r="H840" s="92">
        <f>IF('4B'!B40&lt;&gt;"",'4B'!H40,"")</f>
        <v/>
      </c>
      <c r="I840" s="92">
        <f>IF('4B'!B40&lt;&gt;"",'4B'!I40,"")</f>
        <v/>
      </c>
      <c r="J840" s="82">
        <f>IF('4B'!B40&lt;&gt;"",'4B'!J40,"")</f>
        <v/>
      </c>
    </row>
    <row r="841" ht="15.75" customHeight="1" s="52">
      <c r="A841" s="97">
        <f>IF('4B'!B41&lt;&gt;"","4B","")</f>
        <v/>
      </c>
      <c r="B841" s="78">
        <f>IF('4B'!B41&lt;&gt;"",'4B'!B41,"")</f>
        <v/>
      </c>
      <c r="C841" s="78">
        <f>IF('4B'!B41&lt;&gt;"",'4B'!C41,"")</f>
        <v/>
      </c>
      <c r="D841" s="78">
        <f>IF('4B'!B41&lt;&gt;"",'4B'!D41,"")</f>
        <v/>
      </c>
      <c r="E841" s="78">
        <f>IF('4B'!B41&lt;&gt;"",'4B'!E41,"")</f>
        <v/>
      </c>
      <c r="F841" s="78">
        <f>IF('4B'!B41&lt;&gt;"",'4B'!F41,"")</f>
        <v/>
      </c>
      <c r="G841" s="78">
        <f>IF('4B'!B41&lt;&gt;"",'4B'!G41,"")</f>
        <v/>
      </c>
      <c r="H841" s="97">
        <f>IF('4B'!B41&lt;&gt;"",'4B'!H41,"")</f>
        <v/>
      </c>
      <c r="I841" s="97">
        <f>IF('4B'!B41&lt;&gt;"",'4B'!I41,"")</f>
        <v/>
      </c>
      <c r="J841" s="78">
        <f>IF('4B'!B41&lt;&gt;"",'4B'!J41,"")</f>
        <v/>
      </c>
    </row>
    <row r="842" ht="15.75" customHeight="1" s="52">
      <c r="A842" s="92">
        <f>IF('4B'!B42&lt;&gt;"","4B","")</f>
        <v/>
      </c>
      <c r="B842" s="82">
        <f>IF('4B'!B42&lt;&gt;"",'4B'!B42,"")</f>
        <v/>
      </c>
      <c r="C842" s="82">
        <f>IF('4B'!B42&lt;&gt;"",'4B'!C42,"")</f>
        <v/>
      </c>
      <c r="D842" s="82">
        <f>IF('4B'!B42&lt;&gt;"",'4B'!D42,"")</f>
        <v/>
      </c>
      <c r="E842" s="82">
        <f>IF('4B'!B42&lt;&gt;"",'4B'!E42,"")</f>
        <v/>
      </c>
      <c r="F842" s="82">
        <f>IF('4B'!B42&lt;&gt;"",'4B'!F42,"")</f>
        <v/>
      </c>
      <c r="G842" s="82">
        <f>IF('4B'!B42&lt;&gt;"",'4B'!G42,"")</f>
        <v/>
      </c>
      <c r="H842" s="92">
        <f>IF('4B'!B42&lt;&gt;"",'4B'!H42,"")</f>
        <v/>
      </c>
      <c r="I842" s="92">
        <f>IF('4B'!B42&lt;&gt;"",'4B'!I42,"")</f>
        <v/>
      </c>
      <c r="J842" s="82">
        <f>IF('4B'!B42&lt;&gt;"",'4B'!J42,"")</f>
        <v/>
      </c>
    </row>
    <row r="843" ht="15.75" customHeight="1" s="52">
      <c r="A843" s="97">
        <f>IF('4B'!B43&lt;&gt;"","4B","")</f>
        <v/>
      </c>
      <c r="B843" s="78">
        <f>IF('4B'!B43&lt;&gt;"",'4B'!B43,"")</f>
        <v/>
      </c>
      <c r="C843" s="78">
        <f>IF('4B'!B43&lt;&gt;"",'4B'!C43,"")</f>
        <v/>
      </c>
      <c r="D843" s="78">
        <f>IF('4B'!B43&lt;&gt;"",'4B'!D43,"")</f>
        <v/>
      </c>
      <c r="E843" s="78">
        <f>IF('4B'!B43&lt;&gt;"",'4B'!E43,"")</f>
        <v/>
      </c>
      <c r="F843" s="78">
        <f>IF('4B'!B43&lt;&gt;"",'4B'!F43,"")</f>
        <v/>
      </c>
      <c r="G843" s="78">
        <f>IF('4B'!B43&lt;&gt;"",'4B'!G43,"")</f>
        <v/>
      </c>
      <c r="H843" s="97">
        <f>IF('4B'!B43&lt;&gt;"",'4B'!H43,"")</f>
        <v/>
      </c>
      <c r="I843" s="97">
        <f>IF('4B'!B43&lt;&gt;"",'4B'!I43,"")</f>
        <v/>
      </c>
      <c r="J843" s="78">
        <f>IF('4B'!B43&lt;&gt;"",'4B'!J43,"")</f>
        <v/>
      </c>
    </row>
    <row r="844" ht="15.75" customHeight="1" s="52">
      <c r="A844" s="92">
        <f>IF('4B'!B44&lt;&gt;"","4B","")</f>
        <v/>
      </c>
      <c r="B844" s="82">
        <f>IF('4B'!B44&lt;&gt;"",'4B'!B44,"")</f>
        <v/>
      </c>
      <c r="C844" s="82">
        <f>IF('4B'!B44&lt;&gt;"",'4B'!C44,"")</f>
        <v/>
      </c>
      <c r="D844" s="82">
        <f>IF('4B'!B44&lt;&gt;"",'4B'!D44,"")</f>
        <v/>
      </c>
      <c r="E844" s="82">
        <f>IF('4B'!B44&lt;&gt;"",'4B'!E44,"")</f>
        <v/>
      </c>
      <c r="F844" s="82">
        <f>IF('4B'!B44&lt;&gt;"",'4B'!F44,"")</f>
        <v/>
      </c>
      <c r="G844" s="82">
        <f>IF('4B'!B44&lt;&gt;"",'4B'!G44,"")</f>
        <v/>
      </c>
      <c r="H844" s="92">
        <f>IF('4B'!B44&lt;&gt;"",'4B'!H44,"")</f>
        <v/>
      </c>
      <c r="I844" s="92">
        <f>IF('4B'!B44&lt;&gt;"",'4B'!I44,"")</f>
        <v/>
      </c>
      <c r="J844" s="82">
        <f>IF('4B'!B44&lt;&gt;"",'4B'!J44,"")</f>
        <v/>
      </c>
    </row>
    <row r="845" ht="15.75" customHeight="1" s="52">
      <c r="A845" s="97">
        <f>IF('4B'!B45&lt;&gt;"","4B","")</f>
        <v/>
      </c>
      <c r="B845" s="78">
        <f>IF('4B'!B45&lt;&gt;"",'4B'!B45,"")</f>
        <v/>
      </c>
      <c r="C845" s="78">
        <f>IF('4B'!B45&lt;&gt;"",'4B'!C45,"")</f>
        <v/>
      </c>
      <c r="D845" s="78">
        <f>IF('4B'!B45&lt;&gt;"",'4B'!D45,"")</f>
        <v/>
      </c>
      <c r="E845" s="78">
        <f>IF('4B'!B45&lt;&gt;"",'4B'!E45,"")</f>
        <v/>
      </c>
      <c r="F845" s="78">
        <f>IF('4B'!B45&lt;&gt;"",'4B'!F45,"")</f>
        <v/>
      </c>
      <c r="G845" s="78">
        <f>IF('4B'!B45&lt;&gt;"",'4B'!G45,"")</f>
        <v/>
      </c>
      <c r="H845" s="97">
        <f>IF('4B'!B45&lt;&gt;"",'4B'!H45,"")</f>
        <v/>
      </c>
      <c r="I845" s="97">
        <f>IF('4B'!B45&lt;&gt;"",'4B'!I45,"")</f>
        <v/>
      </c>
      <c r="J845" s="78">
        <f>IF('4B'!B45&lt;&gt;"",'4B'!J45,"")</f>
        <v/>
      </c>
    </row>
    <row r="846" ht="15.75" customHeight="1" s="52">
      <c r="A846" s="92">
        <f>IF('4B'!B46&lt;&gt;"","4B","")</f>
        <v/>
      </c>
      <c r="B846" s="82">
        <f>IF('4B'!B46&lt;&gt;"",'4B'!B46,"")</f>
        <v/>
      </c>
      <c r="C846" s="82">
        <f>IF('4B'!B46&lt;&gt;"",'4B'!C46,"")</f>
        <v/>
      </c>
      <c r="D846" s="82">
        <f>IF('4B'!B46&lt;&gt;"",'4B'!D46,"")</f>
        <v/>
      </c>
      <c r="E846" s="82">
        <f>IF('4B'!B46&lt;&gt;"",'4B'!E46,"")</f>
        <v/>
      </c>
      <c r="F846" s="82">
        <f>IF('4B'!B46&lt;&gt;"",'4B'!F46,"")</f>
        <v/>
      </c>
      <c r="G846" s="82">
        <f>IF('4B'!B46&lt;&gt;"",'4B'!G46,"")</f>
        <v/>
      </c>
      <c r="H846" s="92">
        <f>IF('4B'!B46&lt;&gt;"",'4B'!H46,"")</f>
        <v/>
      </c>
      <c r="I846" s="92">
        <f>IF('4B'!B46&lt;&gt;"",'4B'!I46,"")</f>
        <v/>
      </c>
      <c r="J846" s="82">
        <f>IF('4B'!B46&lt;&gt;"",'4B'!J46,"")</f>
        <v/>
      </c>
    </row>
    <row r="847" ht="15.75" customHeight="1" s="52">
      <c r="A847" s="97">
        <f>IF('4B'!B47&lt;&gt;"","4B","")</f>
        <v/>
      </c>
      <c r="B847" s="78">
        <f>IF('4B'!B47&lt;&gt;"",'4B'!B47,"")</f>
        <v/>
      </c>
      <c r="C847" s="78">
        <f>IF('4B'!B47&lt;&gt;"",'4B'!C47,"")</f>
        <v/>
      </c>
      <c r="D847" s="78">
        <f>IF('4B'!B47&lt;&gt;"",'4B'!D47,"")</f>
        <v/>
      </c>
      <c r="E847" s="78">
        <f>IF('4B'!B47&lt;&gt;"",'4B'!E47,"")</f>
        <v/>
      </c>
      <c r="F847" s="78">
        <f>IF('4B'!B47&lt;&gt;"",'4B'!F47,"")</f>
        <v/>
      </c>
      <c r="G847" s="78">
        <f>IF('4B'!B47&lt;&gt;"",'4B'!G47,"")</f>
        <v/>
      </c>
      <c r="H847" s="97">
        <f>IF('4B'!B47&lt;&gt;"",'4B'!H47,"")</f>
        <v/>
      </c>
      <c r="I847" s="97">
        <f>IF('4B'!B47&lt;&gt;"",'4B'!I47,"")</f>
        <v/>
      </c>
      <c r="J847" s="78">
        <f>IF('4B'!B47&lt;&gt;"",'4B'!J47,"")</f>
        <v/>
      </c>
    </row>
    <row r="848" ht="15.75" customHeight="1" s="52">
      <c r="A848" s="92">
        <f>IF('4B'!B48&lt;&gt;"","4B","")</f>
        <v/>
      </c>
      <c r="B848" s="82">
        <f>IF('4B'!B48&lt;&gt;"",'4B'!B48,"")</f>
        <v/>
      </c>
      <c r="C848" s="82">
        <f>IF('4B'!B48&lt;&gt;"",'4B'!C48,"")</f>
        <v/>
      </c>
      <c r="D848" s="82">
        <f>IF('4B'!B48&lt;&gt;"",'4B'!D48,"")</f>
        <v/>
      </c>
      <c r="E848" s="82">
        <f>IF('4B'!B48&lt;&gt;"",'4B'!E48,"")</f>
        <v/>
      </c>
      <c r="F848" s="82">
        <f>IF('4B'!B48&lt;&gt;"",'4B'!F48,"")</f>
        <v/>
      </c>
      <c r="G848" s="82">
        <f>IF('4B'!B48&lt;&gt;"",'4B'!G48,"")</f>
        <v/>
      </c>
      <c r="H848" s="92">
        <f>IF('4B'!B48&lt;&gt;"",'4B'!H48,"")</f>
        <v/>
      </c>
      <c r="I848" s="92">
        <f>IF('4B'!B48&lt;&gt;"",'4B'!I48,"")</f>
        <v/>
      </c>
      <c r="J848" s="82">
        <f>IF('4B'!B48&lt;&gt;"",'4B'!J48,"")</f>
        <v/>
      </c>
    </row>
    <row r="849" ht="15.75" customHeight="1" s="52">
      <c r="A849" s="97">
        <f>IF('4B'!B49&lt;&gt;"","4B","")</f>
        <v/>
      </c>
      <c r="B849" s="78">
        <f>IF('4B'!B49&lt;&gt;"",'4B'!B49,"")</f>
        <v/>
      </c>
      <c r="C849" s="78">
        <f>IF('4B'!B49&lt;&gt;"",'4B'!C49,"")</f>
        <v/>
      </c>
      <c r="D849" s="78">
        <f>IF('4B'!B49&lt;&gt;"",'4B'!D49,"")</f>
        <v/>
      </c>
      <c r="E849" s="78">
        <f>IF('4B'!B49&lt;&gt;"",'4B'!E49,"")</f>
        <v/>
      </c>
      <c r="F849" s="78">
        <f>IF('4B'!B49&lt;&gt;"",'4B'!F49,"")</f>
        <v/>
      </c>
      <c r="G849" s="78">
        <f>IF('4B'!B49&lt;&gt;"",'4B'!G49,"")</f>
        <v/>
      </c>
      <c r="H849" s="97">
        <f>IF('4B'!B49&lt;&gt;"",'4B'!H49,"")</f>
        <v/>
      </c>
      <c r="I849" s="97">
        <f>IF('4B'!B49&lt;&gt;"",'4B'!I49,"")</f>
        <v/>
      </c>
      <c r="J849" s="78">
        <f>IF('4B'!B49&lt;&gt;"",'4B'!J49,"")</f>
        <v/>
      </c>
    </row>
    <row r="850" ht="15.75" customHeight="1" s="52">
      <c r="A850" s="92">
        <f>IF('4B'!B50&lt;&gt;"","4B","")</f>
        <v/>
      </c>
      <c r="B850" s="82">
        <f>IF('4B'!B50&lt;&gt;"",'4B'!B50,"")</f>
        <v/>
      </c>
      <c r="C850" s="82">
        <f>IF('4B'!B50&lt;&gt;"",'4B'!C50,"")</f>
        <v/>
      </c>
      <c r="D850" s="82">
        <f>IF('4B'!B50&lt;&gt;"",'4B'!D50,"")</f>
        <v/>
      </c>
      <c r="E850" s="82">
        <f>IF('4B'!B50&lt;&gt;"",'4B'!E50,"")</f>
        <v/>
      </c>
      <c r="F850" s="82">
        <f>IF('4B'!B50&lt;&gt;"",'4B'!F50,"")</f>
        <v/>
      </c>
      <c r="G850" s="82">
        <f>IF('4B'!B50&lt;&gt;"",'4B'!G50,"")</f>
        <v/>
      </c>
      <c r="H850" s="92">
        <f>IF('4B'!B50&lt;&gt;"",'4B'!H50,"")</f>
        <v/>
      </c>
      <c r="I850" s="92">
        <f>IF('4B'!B50&lt;&gt;"",'4B'!I50,"")</f>
        <v/>
      </c>
      <c r="J850" s="82">
        <f>IF('4B'!B50&lt;&gt;"",'4B'!J50,"")</f>
        <v/>
      </c>
    </row>
    <row r="851" ht="15.75" customHeight="1" s="52">
      <c r="A851" s="97">
        <f>IF('4B'!B51&lt;&gt;"","4B","")</f>
        <v/>
      </c>
      <c r="B851" s="78">
        <f>IF('4B'!B51&lt;&gt;"",'4B'!B51,"")</f>
        <v/>
      </c>
      <c r="C851" s="78">
        <f>IF('4B'!B51&lt;&gt;"",'4B'!C51,"")</f>
        <v/>
      </c>
      <c r="D851" s="78">
        <f>IF('4B'!B51&lt;&gt;"",'4B'!D51,"")</f>
        <v/>
      </c>
      <c r="E851" s="78">
        <f>IF('4B'!B51&lt;&gt;"",'4B'!E51,"")</f>
        <v/>
      </c>
      <c r="F851" s="78">
        <f>IF('4B'!B51&lt;&gt;"",'4B'!F51,"")</f>
        <v/>
      </c>
      <c r="G851" s="78">
        <f>IF('4B'!B51&lt;&gt;"",'4B'!G51,"")</f>
        <v/>
      </c>
      <c r="H851" s="97">
        <f>IF('4B'!B51&lt;&gt;"",'4B'!H51,"")</f>
        <v/>
      </c>
      <c r="I851" s="97">
        <f>IF('4B'!B51&lt;&gt;"",'4B'!I51,"")</f>
        <v/>
      </c>
      <c r="J851" s="78">
        <f>IF('4B'!B51&lt;&gt;"",'4B'!J51,"")</f>
        <v/>
      </c>
    </row>
    <row r="852" ht="15.75" customHeight="1" s="52">
      <c r="A852" s="92">
        <f>IF('4B'!B52&lt;&gt;"","4B","")</f>
        <v/>
      </c>
      <c r="B852" s="82">
        <f>IF('4B'!B52&lt;&gt;"",'4B'!B52,"")</f>
        <v/>
      </c>
      <c r="C852" s="82">
        <f>IF('4B'!B52&lt;&gt;"",'4B'!C52,"")</f>
        <v/>
      </c>
      <c r="D852" s="82">
        <f>IF('4B'!B52&lt;&gt;"",'4B'!D52,"")</f>
        <v/>
      </c>
      <c r="E852" s="82">
        <f>IF('4B'!B52&lt;&gt;"",'4B'!E52,"")</f>
        <v/>
      </c>
      <c r="F852" s="82">
        <f>IF('4B'!B52&lt;&gt;"",'4B'!F52,"")</f>
        <v/>
      </c>
      <c r="G852" s="82">
        <f>IF('4B'!B52&lt;&gt;"",'4B'!G52,"")</f>
        <v/>
      </c>
      <c r="H852" s="92">
        <f>IF('4B'!B52&lt;&gt;"",'4B'!H52,"")</f>
        <v/>
      </c>
      <c r="I852" s="92">
        <f>IF('4B'!B52&lt;&gt;"",'4B'!I52,"")</f>
        <v/>
      </c>
      <c r="J852" s="82">
        <f>IF('4B'!B52&lt;&gt;"",'4B'!J52,"")</f>
        <v/>
      </c>
    </row>
    <row r="853" ht="15.75" customHeight="1" s="52">
      <c r="A853" s="97">
        <f>IF('4B'!B53&lt;&gt;"","4B","")</f>
        <v/>
      </c>
      <c r="B853" s="78">
        <f>IF('4B'!B53&lt;&gt;"",'4B'!B53,"")</f>
        <v/>
      </c>
      <c r="C853" s="78">
        <f>IF('4B'!B53&lt;&gt;"",'4B'!C53,"")</f>
        <v/>
      </c>
      <c r="D853" s="78">
        <f>IF('4B'!B53&lt;&gt;"",'4B'!D53,"")</f>
        <v/>
      </c>
      <c r="E853" s="78">
        <f>IF('4B'!B53&lt;&gt;"",'4B'!E53,"")</f>
        <v/>
      </c>
      <c r="F853" s="78">
        <f>IF('4B'!B53&lt;&gt;"",'4B'!F53,"")</f>
        <v/>
      </c>
      <c r="G853" s="78">
        <f>IF('4B'!B53&lt;&gt;"",'4B'!G53,"")</f>
        <v/>
      </c>
      <c r="H853" s="97">
        <f>IF('4B'!B53&lt;&gt;"",'4B'!H53,"")</f>
        <v/>
      </c>
      <c r="I853" s="97">
        <f>IF('4B'!B53&lt;&gt;"",'4B'!I53,"")</f>
        <v/>
      </c>
      <c r="J853" s="78">
        <f>IF('4B'!B53&lt;&gt;"",'4B'!J53,"")</f>
        <v/>
      </c>
    </row>
    <row r="854" ht="15.75" customHeight="1" s="52">
      <c r="A854" s="92">
        <f>IF('4B'!B54&lt;&gt;"","4B","")</f>
        <v/>
      </c>
      <c r="B854" s="82">
        <f>IF('4B'!B54&lt;&gt;"",'4B'!B54,"")</f>
        <v/>
      </c>
      <c r="C854" s="82">
        <f>IF('4B'!B54&lt;&gt;"",'4B'!C54,"")</f>
        <v/>
      </c>
      <c r="D854" s="82">
        <f>IF('4B'!B54&lt;&gt;"",'4B'!D54,"")</f>
        <v/>
      </c>
      <c r="E854" s="82">
        <f>IF('4B'!B54&lt;&gt;"",'4B'!E54,"")</f>
        <v/>
      </c>
      <c r="F854" s="82">
        <f>IF('4B'!B54&lt;&gt;"",'4B'!F54,"")</f>
        <v/>
      </c>
      <c r="G854" s="82">
        <f>IF('4B'!B54&lt;&gt;"",'4B'!G54,"")</f>
        <v/>
      </c>
      <c r="H854" s="92">
        <f>IF('4B'!B54&lt;&gt;"",'4B'!H54,"")</f>
        <v/>
      </c>
      <c r="I854" s="92">
        <f>IF('4B'!B54&lt;&gt;"",'4B'!I54,"")</f>
        <v/>
      </c>
      <c r="J854" s="82">
        <f>IF('4B'!B54&lt;&gt;"",'4B'!J54,"")</f>
        <v/>
      </c>
    </row>
    <row r="855" ht="15.75" customHeight="1" s="52">
      <c r="A855" s="97">
        <f>IF('4C'!B5&lt;&gt;"","4C","")</f>
        <v/>
      </c>
      <c r="B855" s="78">
        <f>IF('4C'!B5&lt;&gt;"",'4C'!B5,"")</f>
        <v/>
      </c>
      <c r="C855" s="78">
        <f>IF('4C'!B5&lt;&gt;"",'4C'!C5,"")</f>
        <v/>
      </c>
      <c r="D855" s="78">
        <f>IF('4C'!B5&lt;&gt;"",'4C'!D5,"")</f>
        <v/>
      </c>
      <c r="E855" s="78">
        <f>IF('4C'!B5&lt;&gt;"",'4C'!E5,"")</f>
        <v/>
      </c>
      <c r="F855" s="78">
        <f>IF('4C'!B5&lt;&gt;"",'4C'!F5,"")</f>
        <v/>
      </c>
      <c r="G855" s="78">
        <f>IF('4C'!B5&lt;&gt;"",'4C'!G5,"")</f>
        <v/>
      </c>
      <c r="H855" s="97">
        <f>IF('4C'!B5&lt;&gt;"",'4C'!H5,"")</f>
        <v/>
      </c>
      <c r="I855" s="97">
        <f>IF('4C'!B5&lt;&gt;"",'4C'!I5,"")</f>
        <v/>
      </c>
      <c r="J855" s="78">
        <f>IF('4C'!B5&lt;&gt;"",'4C'!J5,"")</f>
        <v/>
      </c>
    </row>
    <row r="856" ht="15.75" customHeight="1" s="52">
      <c r="A856" s="92">
        <f>IF('4C'!B6&lt;&gt;"","4C","")</f>
        <v/>
      </c>
      <c r="B856" s="82">
        <f>IF('4C'!B6&lt;&gt;"",'4C'!B6,"")</f>
        <v/>
      </c>
      <c r="C856" s="82">
        <f>IF('4C'!B6&lt;&gt;"",'4C'!C6,"")</f>
        <v/>
      </c>
      <c r="D856" s="82">
        <f>IF('4C'!B6&lt;&gt;"",'4C'!D6,"")</f>
        <v/>
      </c>
      <c r="E856" s="82">
        <f>IF('4C'!B6&lt;&gt;"",'4C'!E6,"")</f>
        <v/>
      </c>
      <c r="F856" s="82">
        <f>IF('4C'!B6&lt;&gt;"",'4C'!F6,"")</f>
        <v/>
      </c>
      <c r="G856" s="82">
        <f>IF('4C'!B6&lt;&gt;"",'4C'!G6,"")</f>
        <v/>
      </c>
      <c r="H856" s="92">
        <f>IF('4C'!B6&lt;&gt;"",'4C'!H6,"")</f>
        <v/>
      </c>
      <c r="I856" s="92">
        <f>IF('4C'!B6&lt;&gt;"",'4C'!I6,"")</f>
        <v/>
      </c>
      <c r="J856" s="82">
        <f>IF('4C'!B6&lt;&gt;"",'4C'!J6,"")</f>
        <v/>
      </c>
    </row>
    <row r="857" ht="15.75" customHeight="1" s="52">
      <c r="A857" s="97">
        <f>IF('4C'!B7&lt;&gt;"","4C","")</f>
        <v/>
      </c>
      <c r="B857" s="78">
        <f>IF('4C'!B7&lt;&gt;"",'4C'!B7,"")</f>
        <v/>
      </c>
      <c r="C857" s="78">
        <f>IF('4C'!B7&lt;&gt;"",'4C'!C7,"")</f>
        <v/>
      </c>
      <c r="D857" s="78">
        <f>IF('4C'!B7&lt;&gt;"",'4C'!D7,"")</f>
        <v/>
      </c>
      <c r="E857" s="78">
        <f>IF('4C'!B7&lt;&gt;"",'4C'!E7,"")</f>
        <v/>
      </c>
      <c r="F857" s="78">
        <f>IF('4C'!B7&lt;&gt;"",'4C'!F7,"")</f>
        <v/>
      </c>
      <c r="G857" s="78">
        <f>IF('4C'!B7&lt;&gt;"",'4C'!G7,"")</f>
        <v/>
      </c>
      <c r="H857" s="97">
        <f>IF('4C'!B7&lt;&gt;"",'4C'!H7,"")</f>
        <v/>
      </c>
      <c r="I857" s="97">
        <f>IF('4C'!B7&lt;&gt;"",'4C'!I7,"")</f>
        <v/>
      </c>
      <c r="J857" s="78">
        <f>IF('4C'!B7&lt;&gt;"",'4C'!J7,"")</f>
        <v/>
      </c>
    </row>
    <row r="858" ht="15.75" customHeight="1" s="52">
      <c r="A858" s="92">
        <f>IF('4C'!B8&lt;&gt;"","4C","")</f>
        <v/>
      </c>
      <c r="B858" s="82">
        <f>IF('4C'!B8&lt;&gt;"",'4C'!B8,"")</f>
        <v/>
      </c>
      <c r="C858" s="82">
        <f>IF('4C'!B8&lt;&gt;"",'4C'!C8,"")</f>
        <v/>
      </c>
      <c r="D858" s="82">
        <f>IF('4C'!B8&lt;&gt;"",'4C'!D8,"")</f>
        <v/>
      </c>
      <c r="E858" s="82">
        <f>IF('4C'!B8&lt;&gt;"",'4C'!E8,"")</f>
        <v/>
      </c>
      <c r="F858" s="82">
        <f>IF('4C'!B8&lt;&gt;"",'4C'!F8,"")</f>
        <v/>
      </c>
      <c r="G858" s="82">
        <f>IF('4C'!B8&lt;&gt;"",'4C'!G8,"")</f>
        <v/>
      </c>
      <c r="H858" s="92">
        <f>IF('4C'!B8&lt;&gt;"",'4C'!H8,"")</f>
        <v/>
      </c>
      <c r="I858" s="92">
        <f>IF('4C'!B8&lt;&gt;"",'4C'!I8,"")</f>
        <v/>
      </c>
      <c r="J858" s="82">
        <f>IF('4C'!B8&lt;&gt;"",'4C'!J8,"")</f>
        <v/>
      </c>
    </row>
    <row r="859" ht="15.75" customHeight="1" s="52">
      <c r="A859" s="97">
        <f>IF('4C'!B9&lt;&gt;"","4C","")</f>
        <v/>
      </c>
      <c r="B859" s="78">
        <f>IF('4C'!B9&lt;&gt;"",'4C'!B9,"")</f>
        <v/>
      </c>
      <c r="C859" s="78">
        <f>IF('4C'!B9&lt;&gt;"",'4C'!C9,"")</f>
        <v/>
      </c>
      <c r="D859" s="78">
        <f>IF('4C'!B9&lt;&gt;"",'4C'!D9,"")</f>
        <v/>
      </c>
      <c r="E859" s="78">
        <f>IF('4C'!B9&lt;&gt;"",'4C'!E9,"")</f>
        <v/>
      </c>
      <c r="F859" s="78">
        <f>IF('4C'!B9&lt;&gt;"",'4C'!F9,"")</f>
        <v/>
      </c>
      <c r="G859" s="78">
        <f>IF('4C'!B9&lt;&gt;"",'4C'!G9,"")</f>
        <v/>
      </c>
      <c r="H859" s="97">
        <f>IF('4C'!B9&lt;&gt;"",'4C'!H9,"")</f>
        <v/>
      </c>
      <c r="I859" s="97">
        <f>IF('4C'!B9&lt;&gt;"",'4C'!I9,"")</f>
        <v/>
      </c>
      <c r="J859" s="78">
        <f>IF('4C'!B9&lt;&gt;"",'4C'!J9,"")</f>
        <v/>
      </c>
    </row>
    <row r="860" ht="15.75" customHeight="1" s="52">
      <c r="A860" s="92">
        <f>IF('4C'!B10&lt;&gt;"","4C","")</f>
        <v/>
      </c>
      <c r="B860" s="82">
        <f>IF('4C'!B10&lt;&gt;"",'4C'!B10,"")</f>
        <v/>
      </c>
      <c r="C860" s="82">
        <f>IF('4C'!B10&lt;&gt;"",'4C'!C10,"")</f>
        <v/>
      </c>
      <c r="D860" s="82">
        <f>IF('4C'!B10&lt;&gt;"",'4C'!D10,"")</f>
        <v/>
      </c>
      <c r="E860" s="82">
        <f>IF('4C'!B10&lt;&gt;"",'4C'!E10,"")</f>
        <v/>
      </c>
      <c r="F860" s="82">
        <f>IF('4C'!B10&lt;&gt;"",'4C'!F10,"")</f>
        <v/>
      </c>
      <c r="G860" s="82">
        <f>IF('4C'!B10&lt;&gt;"",'4C'!G10,"")</f>
        <v/>
      </c>
      <c r="H860" s="92">
        <f>IF('4C'!B10&lt;&gt;"",'4C'!H10,"")</f>
        <v/>
      </c>
      <c r="I860" s="92">
        <f>IF('4C'!B10&lt;&gt;"",'4C'!I10,"")</f>
        <v/>
      </c>
      <c r="J860" s="82">
        <f>IF('4C'!B10&lt;&gt;"",'4C'!J10,"")</f>
        <v/>
      </c>
    </row>
    <row r="861" ht="15.75" customHeight="1" s="52">
      <c r="A861" s="97">
        <f>IF('4C'!B11&lt;&gt;"","4C","")</f>
        <v/>
      </c>
      <c r="B861" s="78">
        <f>IF('4C'!B11&lt;&gt;"",'4C'!B11,"")</f>
        <v/>
      </c>
      <c r="C861" s="78">
        <f>IF('4C'!B11&lt;&gt;"",'4C'!C11,"")</f>
        <v/>
      </c>
      <c r="D861" s="78">
        <f>IF('4C'!B11&lt;&gt;"",'4C'!D11,"")</f>
        <v/>
      </c>
      <c r="E861" s="78">
        <f>IF('4C'!B11&lt;&gt;"",'4C'!E11,"")</f>
        <v/>
      </c>
      <c r="F861" s="78">
        <f>IF('4C'!B11&lt;&gt;"",'4C'!F11,"")</f>
        <v/>
      </c>
      <c r="G861" s="78">
        <f>IF('4C'!B11&lt;&gt;"",'4C'!G11,"")</f>
        <v/>
      </c>
      <c r="H861" s="97">
        <f>IF('4C'!B11&lt;&gt;"",'4C'!H11,"")</f>
        <v/>
      </c>
      <c r="I861" s="97">
        <f>IF('4C'!B11&lt;&gt;"",'4C'!I11,"")</f>
        <v/>
      </c>
      <c r="J861" s="78">
        <f>IF('4C'!B11&lt;&gt;"",'4C'!J11,"")</f>
        <v/>
      </c>
    </row>
    <row r="862" ht="15.75" customHeight="1" s="52">
      <c r="A862" s="92">
        <f>IF('4C'!B12&lt;&gt;"","4C","")</f>
        <v/>
      </c>
      <c r="B862" s="82">
        <f>IF('4C'!B12&lt;&gt;"",'4C'!B12,"")</f>
        <v/>
      </c>
      <c r="C862" s="82">
        <f>IF('4C'!B12&lt;&gt;"",'4C'!C12,"")</f>
        <v/>
      </c>
      <c r="D862" s="82">
        <f>IF('4C'!B12&lt;&gt;"",'4C'!D12,"")</f>
        <v/>
      </c>
      <c r="E862" s="82">
        <f>IF('4C'!B12&lt;&gt;"",'4C'!E12,"")</f>
        <v/>
      </c>
      <c r="F862" s="82">
        <f>IF('4C'!B12&lt;&gt;"",'4C'!F12,"")</f>
        <v/>
      </c>
      <c r="G862" s="82">
        <f>IF('4C'!B12&lt;&gt;"",'4C'!G12,"")</f>
        <v/>
      </c>
      <c r="H862" s="92">
        <f>IF('4C'!B12&lt;&gt;"",'4C'!H12,"")</f>
        <v/>
      </c>
      <c r="I862" s="92">
        <f>IF('4C'!B12&lt;&gt;"",'4C'!I12,"")</f>
        <v/>
      </c>
      <c r="J862" s="82">
        <f>IF('4C'!B12&lt;&gt;"",'4C'!J12,"")</f>
        <v/>
      </c>
    </row>
    <row r="863" ht="15.75" customHeight="1" s="52">
      <c r="A863" s="97">
        <f>IF('4C'!B13&lt;&gt;"","4C","")</f>
        <v/>
      </c>
      <c r="B863" s="78">
        <f>IF('4C'!B13&lt;&gt;"",'4C'!B13,"")</f>
        <v/>
      </c>
      <c r="C863" s="78">
        <f>IF('4C'!B13&lt;&gt;"",'4C'!C13,"")</f>
        <v/>
      </c>
      <c r="D863" s="78">
        <f>IF('4C'!B13&lt;&gt;"",'4C'!D13,"")</f>
        <v/>
      </c>
      <c r="E863" s="78">
        <f>IF('4C'!B13&lt;&gt;"",'4C'!E13,"")</f>
        <v/>
      </c>
      <c r="F863" s="78">
        <f>IF('4C'!B13&lt;&gt;"",'4C'!F13,"")</f>
        <v/>
      </c>
      <c r="G863" s="78">
        <f>IF('4C'!B13&lt;&gt;"",'4C'!G13,"")</f>
        <v/>
      </c>
      <c r="H863" s="97">
        <f>IF('4C'!B13&lt;&gt;"",'4C'!H13,"")</f>
        <v/>
      </c>
      <c r="I863" s="97">
        <f>IF('4C'!B13&lt;&gt;"",'4C'!I13,"")</f>
        <v/>
      </c>
      <c r="J863" s="78">
        <f>IF('4C'!B13&lt;&gt;"",'4C'!J13,"")</f>
        <v/>
      </c>
    </row>
    <row r="864" ht="15.75" customHeight="1" s="52">
      <c r="A864" s="92">
        <f>IF('4C'!B14&lt;&gt;"","4C","")</f>
        <v/>
      </c>
      <c r="B864" s="82">
        <f>IF('4C'!B14&lt;&gt;"",'4C'!B14,"")</f>
        <v/>
      </c>
      <c r="C864" s="82">
        <f>IF('4C'!B14&lt;&gt;"",'4C'!C14,"")</f>
        <v/>
      </c>
      <c r="D864" s="82">
        <f>IF('4C'!B14&lt;&gt;"",'4C'!D14,"")</f>
        <v/>
      </c>
      <c r="E864" s="82">
        <f>IF('4C'!B14&lt;&gt;"",'4C'!E14,"")</f>
        <v/>
      </c>
      <c r="F864" s="82">
        <f>IF('4C'!B14&lt;&gt;"",'4C'!F14,"")</f>
        <v/>
      </c>
      <c r="G864" s="82">
        <f>IF('4C'!B14&lt;&gt;"",'4C'!G14,"")</f>
        <v/>
      </c>
      <c r="H864" s="92">
        <f>IF('4C'!B14&lt;&gt;"",'4C'!H14,"")</f>
        <v/>
      </c>
      <c r="I864" s="92">
        <f>IF('4C'!B14&lt;&gt;"",'4C'!I14,"")</f>
        <v/>
      </c>
      <c r="J864" s="82">
        <f>IF('4C'!B14&lt;&gt;"",'4C'!J14,"")</f>
        <v/>
      </c>
    </row>
    <row r="865" ht="15.75" customHeight="1" s="52">
      <c r="A865" s="97">
        <f>IF('4C'!B15&lt;&gt;"","4C","")</f>
        <v/>
      </c>
      <c r="B865" s="78">
        <f>IF('4C'!B15&lt;&gt;"",'4C'!B15,"")</f>
        <v/>
      </c>
      <c r="C865" s="78">
        <f>IF('4C'!B15&lt;&gt;"",'4C'!C15,"")</f>
        <v/>
      </c>
      <c r="D865" s="78">
        <f>IF('4C'!B15&lt;&gt;"",'4C'!D15,"")</f>
        <v/>
      </c>
      <c r="E865" s="78">
        <f>IF('4C'!B15&lt;&gt;"",'4C'!E15,"")</f>
        <v/>
      </c>
      <c r="F865" s="78">
        <f>IF('4C'!B15&lt;&gt;"",'4C'!F15,"")</f>
        <v/>
      </c>
      <c r="G865" s="78">
        <f>IF('4C'!B15&lt;&gt;"",'4C'!G15,"")</f>
        <v/>
      </c>
      <c r="H865" s="97">
        <f>IF('4C'!B15&lt;&gt;"",'4C'!H15,"")</f>
        <v/>
      </c>
      <c r="I865" s="97">
        <f>IF('4C'!B15&lt;&gt;"",'4C'!I15,"")</f>
        <v/>
      </c>
      <c r="J865" s="78">
        <f>IF('4C'!B15&lt;&gt;"",'4C'!J15,"")</f>
        <v/>
      </c>
    </row>
    <row r="866" ht="15.75" customHeight="1" s="52">
      <c r="A866" s="92">
        <f>IF('4C'!B16&lt;&gt;"","4C","")</f>
        <v/>
      </c>
      <c r="B866" s="82">
        <f>IF('4C'!B16&lt;&gt;"",'4C'!B16,"")</f>
        <v/>
      </c>
      <c r="C866" s="82">
        <f>IF('4C'!B16&lt;&gt;"",'4C'!C16,"")</f>
        <v/>
      </c>
      <c r="D866" s="82">
        <f>IF('4C'!B16&lt;&gt;"",'4C'!D16,"")</f>
        <v/>
      </c>
      <c r="E866" s="82">
        <f>IF('4C'!B16&lt;&gt;"",'4C'!E16,"")</f>
        <v/>
      </c>
      <c r="F866" s="82">
        <f>IF('4C'!B16&lt;&gt;"",'4C'!F16,"")</f>
        <v/>
      </c>
      <c r="G866" s="82">
        <f>IF('4C'!B16&lt;&gt;"",'4C'!G16,"")</f>
        <v/>
      </c>
      <c r="H866" s="92">
        <f>IF('4C'!B16&lt;&gt;"",'4C'!H16,"")</f>
        <v/>
      </c>
      <c r="I866" s="92">
        <f>IF('4C'!B16&lt;&gt;"",'4C'!I16,"")</f>
        <v/>
      </c>
      <c r="J866" s="82">
        <f>IF('4C'!B16&lt;&gt;"",'4C'!J16,"")</f>
        <v/>
      </c>
    </row>
    <row r="867" ht="15.75" customHeight="1" s="52">
      <c r="A867" s="97">
        <f>IF('4C'!B17&lt;&gt;"","4C","")</f>
        <v/>
      </c>
      <c r="B867" s="78">
        <f>IF('4C'!B17&lt;&gt;"",'4C'!B17,"")</f>
        <v/>
      </c>
      <c r="C867" s="78">
        <f>IF('4C'!B17&lt;&gt;"",'4C'!C17,"")</f>
        <v/>
      </c>
      <c r="D867" s="78">
        <f>IF('4C'!B17&lt;&gt;"",'4C'!D17,"")</f>
        <v/>
      </c>
      <c r="E867" s="78">
        <f>IF('4C'!B17&lt;&gt;"",'4C'!E17,"")</f>
        <v/>
      </c>
      <c r="F867" s="78">
        <f>IF('4C'!B17&lt;&gt;"",'4C'!F17,"")</f>
        <v/>
      </c>
      <c r="G867" s="78">
        <f>IF('4C'!B17&lt;&gt;"",'4C'!G17,"")</f>
        <v/>
      </c>
      <c r="H867" s="97">
        <f>IF('4C'!B17&lt;&gt;"",'4C'!H17,"")</f>
        <v/>
      </c>
      <c r="I867" s="97">
        <f>IF('4C'!B17&lt;&gt;"",'4C'!I17,"")</f>
        <v/>
      </c>
      <c r="J867" s="78">
        <f>IF('4C'!B17&lt;&gt;"",'4C'!J17,"")</f>
        <v/>
      </c>
    </row>
    <row r="868" ht="15.75" customHeight="1" s="52">
      <c r="A868" s="92">
        <f>IF('4C'!B18&lt;&gt;"","4C","")</f>
        <v/>
      </c>
      <c r="B868" s="82">
        <f>IF('4C'!B18&lt;&gt;"",'4C'!B18,"")</f>
        <v/>
      </c>
      <c r="C868" s="82">
        <f>IF('4C'!B18&lt;&gt;"",'4C'!C18,"")</f>
        <v/>
      </c>
      <c r="D868" s="82">
        <f>IF('4C'!B18&lt;&gt;"",'4C'!D18,"")</f>
        <v/>
      </c>
      <c r="E868" s="82">
        <f>IF('4C'!B18&lt;&gt;"",'4C'!E18,"")</f>
        <v/>
      </c>
      <c r="F868" s="82">
        <f>IF('4C'!B18&lt;&gt;"",'4C'!F18,"")</f>
        <v/>
      </c>
      <c r="G868" s="82">
        <f>IF('4C'!B18&lt;&gt;"",'4C'!G18,"")</f>
        <v/>
      </c>
      <c r="H868" s="92">
        <f>IF('4C'!B18&lt;&gt;"",'4C'!H18,"")</f>
        <v/>
      </c>
      <c r="I868" s="92">
        <f>IF('4C'!B18&lt;&gt;"",'4C'!I18,"")</f>
        <v/>
      </c>
      <c r="J868" s="82">
        <f>IF('4C'!B18&lt;&gt;"",'4C'!J18,"")</f>
        <v/>
      </c>
    </row>
    <row r="869" ht="15.75" customHeight="1" s="52">
      <c r="A869" s="97">
        <f>IF('4C'!B19&lt;&gt;"","4C","")</f>
        <v/>
      </c>
      <c r="B869" s="78">
        <f>IF('4C'!B19&lt;&gt;"",'4C'!B19,"")</f>
        <v/>
      </c>
      <c r="C869" s="78">
        <f>IF('4C'!B19&lt;&gt;"",'4C'!C19,"")</f>
        <v/>
      </c>
      <c r="D869" s="78">
        <f>IF('4C'!B19&lt;&gt;"",'4C'!D19,"")</f>
        <v/>
      </c>
      <c r="E869" s="78">
        <f>IF('4C'!B19&lt;&gt;"",'4C'!E19,"")</f>
        <v/>
      </c>
      <c r="F869" s="78">
        <f>IF('4C'!B19&lt;&gt;"",'4C'!F19,"")</f>
        <v/>
      </c>
      <c r="G869" s="78">
        <f>IF('4C'!B19&lt;&gt;"",'4C'!G19,"")</f>
        <v/>
      </c>
      <c r="H869" s="97">
        <f>IF('4C'!B19&lt;&gt;"",'4C'!H19,"")</f>
        <v/>
      </c>
      <c r="I869" s="97">
        <f>IF('4C'!B19&lt;&gt;"",'4C'!I19,"")</f>
        <v/>
      </c>
      <c r="J869" s="78">
        <f>IF('4C'!B19&lt;&gt;"",'4C'!J19,"")</f>
        <v/>
      </c>
    </row>
    <row r="870" ht="15.75" customHeight="1" s="52">
      <c r="A870" s="92">
        <f>IF('4C'!B20&lt;&gt;"","4C","")</f>
        <v/>
      </c>
      <c r="B870" s="82">
        <f>IF('4C'!B20&lt;&gt;"",'4C'!B20,"")</f>
        <v/>
      </c>
      <c r="C870" s="82">
        <f>IF('4C'!B20&lt;&gt;"",'4C'!C20,"")</f>
        <v/>
      </c>
      <c r="D870" s="82">
        <f>IF('4C'!B20&lt;&gt;"",'4C'!D20,"")</f>
        <v/>
      </c>
      <c r="E870" s="82">
        <f>IF('4C'!B20&lt;&gt;"",'4C'!E20,"")</f>
        <v/>
      </c>
      <c r="F870" s="82">
        <f>IF('4C'!B20&lt;&gt;"",'4C'!F20,"")</f>
        <v/>
      </c>
      <c r="G870" s="82">
        <f>IF('4C'!B20&lt;&gt;"",'4C'!G20,"")</f>
        <v/>
      </c>
      <c r="H870" s="92">
        <f>IF('4C'!B20&lt;&gt;"",'4C'!H20,"")</f>
        <v/>
      </c>
      <c r="I870" s="92">
        <f>IF('4C'!B20&lt;&gt;"",'4C'!I20,"")</f>
        <v/>
      </c>
      <c r="J870" s="82">
        <f>IF('4C'!B20&lt;&gt;"",'4C'!J20,"")</f>
        <v/>
      </c>
    </row>
    <row r="871" ht="15.75" customHeight="1" s="52">
      <c r="A871" s="97">
        <f>IF('4C'!B21&lt;&gt;"","4C","")</f>
        <v/>
      </c>
      <c r="B871" s="78">
        <f>IF('4C'!B21&lt;&gt;"",'4C'!B21,"")</f>
        <v/>
      </c>
      <c r="C871" s="78">
        <f>IF('4C'!B21&lt;&gt;"",'4C'!C21,"")</f>
        <v/>
      </c>
      <c r="D871" s="78">
        <f>IF('4C'!B21&lt;&gt;"",'4C'!D21,"")</f>
        <v/>
      </c>
      <c r="E871" s="78">
        <f>IF('4C'!B21&lt;&gt;"",'4C'!E21,"")</f>
        <v/>
      </c>
      <c r="F871" s="78">
        <f>IF('4C'!B21&lt;&gt;"",'4C'!F21,"")</f>
        <v/>
      </c>
      <c r="G871" s="78">
        <f>IF('4C'!B21&lt;&gt;"",'4C'!G21,"")</f>
        <v/>
      </c>
      <c r="H871" s="97">
        <f>IF('4C'!B21&lt;&gt;"",'4C'!H21,"")</f>
        <v/>
      </c>
      <c r="I871" s="97">
        <f>IF('4C'!B21&lt;&gt;"",'4C'!I21,"")</f>
        <v/>
      </c>
      <c r="J871" s="78">
        <f>IF('4C'!B21&lt;&gt;"",'4C'!J21,"")</f>
        <v/>
      </c>
    </row>
    <row r="872" ht="15.75" customHeight="1" s="52">
      <c r="A872" s="92">
        <f>IF('4C'!B22&lt;&gt;"","4C","")</f>
        <v/>
      </c>
      <c r="B872" s="82">
        <f>IF('4C'!B22&lt;&gt;"",'4C'!B22,"")</f>
        <v/>
      </c>
      <c r="C872" s="82">
        <f>IF('4C'!B22&lt;&gt;"",'4C'!C22,"")</f>
        <v/>
      </c>
      <c r="D872" s="82">
        <f>IF('4C'!B22&lt;&gt;"",'4C'!D22,"")</f>
        <v/>
      </c>
      <c r="E872" s="82">
        <f>IF('4C'!B22&lt;&gt;"",'4C'!E22,"")</f>
        <v/>
      </c>
      <c r="F872" s="82">
        <f>IF('4C'!B22&lt;&gt;"",'4C'!F22,"")</f>
        <v/>
      </c>
      <c r="G872" s="82">
        <f>IF('4C'!B22&lt;&gt;"",'4C'!G22,"")</f>
        <v/>
      </c>
      <c r="H872" s="92">
        <f>IF('4C'!B22&lt;&gt;"",'4C'!H22,"")</f>
        <v/>
      </c>
      <c r="I872" s="92">
        <f>IF('4C'!B22&lt;&gt;"",'4C'!I22,"")</f>
        <v/>
      </c>
      <c r="J872" s="82">
        <f>IF('4C'!B22&lt;&gt;"",'4C'!J22,"")</f>
        <v/>
      </c>
    </row>
    <row r="873" ht="15.75" customHeight="1" s="52">
      <c r="A873" s="97">
        <f>IF('4C'!B23&lt;&gt;"","4C","")</f>
        <v/>
      </c>
      <c r="B873" s="78">
        <f>IF('4C'!B23&lt;&gt;"",'4C'!B23,"")</f>
        <v/>
      </c>
      <c r="C873" s="78">
        <f>IF('4C'!B23&lt;&gt;"",'4C'!C23,"")</f>
        <v/>
      </c>
      <c r="D873" s="78">
        <f>IF('4C'!B23&lt;&gt;"",'4C'!D23,"")</f>
        <v/>
      </c>
      <c r="E873" s="78">
        <f>IF('4C'!B23&lt;&gt;"",'4C'!E23,"")</f>
        <v/>
      </c>
      <c r="F873" s="78">
        <f>IF('4C'!B23&lt;&gt;"",'4C'!F23,"")</f>
        <v/>
      </c>
      <c r="G873" s="78">
        <f>IF('4C'!B23&lt;&gt;"",'4C'!G23,"")</f>
        <v/>
      </c>
      <c r="H873" s="97">
        <f>IF('4C'!B23&lt;&gt;"",'4C'!H23,"")</f>
        <v/>
      </c>
      <c r="I873" s="97">
        <f>IF('4C'!B23&lt;&gt;"",'4C'!I23,"")</f>
        <v/>
      </c>
      <c r="J873" s="78">
        <f>IF('4C'!B23&lt;&gt;"",'4C'!J23,"")</f>
        <v/>
      </c>
    </row>
    <row r="874" ht="15.75" customHeight="1" s="52">
      <c r="A874" s="92">
        <f>IF('4C'!B24&lt;&gt;"","4C","")</f>
        <v/>
      </c>
      <c r="B874" s="82">
        <f>IF('4C'!B24&lt;&gt;"",'4C'!B24,"")</f>
        <v/>
      </c>
      <c r="C874" s="82">
        <f>IF('4C'!B24&lt;&gt;"",'4C'!C24,"")</f>
        <v/>
      </c>
      <c r="D874" s="82">
        <f>IF('4C'!B24&lt;&gt;"",'4C'!D24,"")</f>
        <v/>
      </c>
      <c r="E874" s="82">
        <f>IF('4C'!B24&lt;&gt;"",'4C'!E24,"")</f>
        <v/>
      </c>
      <c r="F874" s="82">
        <f>IF('4C'!B24&lt;&gt;"",'4C'!F24,"")</f>
        <v/>
      </c>
      <c r="G874" s="82">
        <f>IF('4C'!B24&lt;&gt;"",'4C'!G24,"")</f>
        <v/>
      </c>
      <c r="H874" s="92">
        <f>IF('4C'!B24&lt;&gt;"",'4C'!H24,"")</f>
        <v/>
      </c>
      <c r="I874" s="92">
        <f>IF('4C'!B24&lt;&gt;"",'4C'!I24,"")</f>
        <v/>
      </c>
      <c r="J874" s="82">
        <f>IF('4C'!B24&lt;&gt;"",'4C'!J24,"")</f>
        <v/>
      </c>
    </row>
    <row r="875" ht="15.75" customHeight="1" s="52">
      <c r="A875" s="97">
        <f>IF('4C'!B25&lt;&gt;"","4C","")</f>
        <v/>
      </c>
      <c r="B875" s="78">
        <f>IF('4C'!B25&lt;&gt;"",'4C'!B25,"")</f>
        <v/>
      </c>
      <c r="C875" s="78">
        <f>IF('4C'!B25&lt;&gt;"",'4C'!C25,"")</f>
        <v/>
      </c>
      <c r="D875" s="78">
        <f>IF('4C'!B25&lt;&gt;"",'4C'!D25,"")</f>
        <v/>
      </c>
      <c r="E875" s="78">
        <f>IF('4C'!B25&lt;&gt;"",'4C'!E25,"")</f>
        <v/>
      </c>
      <c r="F875" s="78">
        <f>IF('4C'!B25&lt;&gt;"",'4C'!F25,"")</f>
        <v/>
      </c>
      <c r="G875" s="78">
        <f>IF('4C'!B25&lt;&gt;"",'4C'!G25,"")</f>
        <v/>
      </c>
      <c r="H875" s="97">
        <f>IF('4C'!B25&lt;&gt;"",'4C'!H25,"")</f>
        <v/>
      </c>
      <c r="I875" s="97">
        <f>IF('4C'!B25&lt;&gt;"",'4C'!I25,"")</f>
        <v/>
      </c>
      <c r="J875" s="78">
        <f>IF('4C'!B25&lt;&gt;"",'4C'!J25,"")</f>
        <v/>
      </c>
    </row>
    <row r="876" ht="15.75" customHeight="1" s="52">
      <c r="A876" s="92">
        <f>IF('4C'!B26&lt;&gt;"","4C","")</f>
        <v/>
      </c>
      <c r="B876" s="82">
        <f>IF('4C'!B26&lt;&gt;"",'4C'!B26,"")</f>
        <v/>
      </c>
      <c r="C876" s="82">
        <f>IF('4C'!B26&lt;&gt;"",'4C'!C26,"")</f>
        <v/>
      </c>
      <c r="D876" s="82">
        <f>IF('4C'!B26&lt;&gt;"",'4C'!D26,"")</f>
        <v/>
      </c>
      <c r="E876" s="82">
        <f>IF('4C'!B26&lt;&gt;"",'4C'!E26,"")</f>
        <v/>
      </c>
      <c r="F876" s="82">
        <f>IF('4C'!B26&lt;&gt;"",'4C'!F26,"")</f>
        <v/>
      </c>
      <c r="G876" s="82">
        <f>IF('4C'!B26&lt;&gt;"",'4C'!G26,"")</f>
        <v/>
      </c>
      <c r="H876" s="92">
        <f>IF('4C'!B26&lt;&gt;"",'4C'!H26,"")</f>
        <v/>
      </c>
      <c r="I876" s="92">
        <f>IF('4C'!B26&lt;&gt;"",'4C'!I26,"")</f>
        <v/>
      </c>
      <c r="J876" s="82">
        <f>IF('4C'!B26&lt;&gt;"",'4C'!J26,"")</f>
        <v/>
      </c>
    </row>
    <row r="877" ht="15.75" customHeight="1" s="52">
      <c r="A877" s="97">
        <f>IF('4C'!B27&lt;&gt;"","4C","")</f>
        <v/>
      </c>
      <c r="B877" s="78">
        <f>IF('4C'!B27&lt;&gt;"",'4C'!B27,"")</f>
        <v/>
      </c>
      <c r="C877" s="78">
        <f>IF('4C'!B27&lt;&gt;"",'4C'!C27,"")</f>
        <v/>
      </c>
      <c r="D877" s="78">
        <f>IF('4C'!B27&lt;&gt;"",'4C'!D27,"")</f>
        <v/>
      </c>
      <c r="E877" s="78">
        <f>IF('4C'!B27&lt;&gt;"",'4C'!E27,"")</f>
        <v/>
      </c>
      <c r="F877" s="78">
        <f>IF('4C'!B27&lt;&gt;"",'4C'!F27,"")</f>
        <v/>
      </c>
      <c r="G877" s="78">
        <f>IF('4C'!B27&lt;&gt;"",'4C'!G27,"")</f>
        <v/>
      </c>
      <c r="H877" s="97">
        <f>IF('4C'!B27&lt;&gt;"",'4C'!H27,"")</f>
        <v/>
      </c>
      <c r="I877" s="97">
        <f>IF('4C'!B27&lt;&gt;"",'4C'!I27,"")</f>
        <v/>
      </c>
      <c r="J877" s="78">
        <f>IF('4C'!B27&lt;&gt;"",'4C'!J27,"")</f>
        <v/>
      </c>
    </row>
    <row r="878" ht="15.75" customHeight="1" s="52">
      <c r="A878" s="92">
        <f>IF('4C'!B28&lt;&gt;"","4C","")</f>
        <v/>
      </c>
      <c r="B878" s="82">
        <f>IF('4C'!B28&lt;&gt;"",'4C'!B28,"")</f>
        <v/>
      </c>
      <c r="C878" s="82">
        <f>IF('4C'!B28&lt;&gt;"",'4C'!C28,"")</f>
        <v/>
      </c>
      <c r="D878" s="82">
        <f>IF('4C'!B28&lt;&gt;"",'4C'!D28,"")</f>
        <v/>
      </c>
      <c r="E878" s="82">
        <f>IF('4C'!B28&lt;&gt;"",'4C'!E28,"")</f>
        <v/>
      </c>
      <c r="F878" s="82">
        <f>IF('4C'!B28&lt;&gt;"",'4C'!F28,"")</f>
        <v/>
      </c>
      <c r="G878" s="82">
        <f>IF('4C'!B28&lt;&gt;"",'4C'!G28,"")</f>
        <v/>
      </c>
      <c r="H878" s="92">
        <f>IF('4C'!B28&lt;&gt;"",'4C'!H28,"")</f>
        <v/>
      </c>
      <c r="I878" s="92">
        <f>IF('4C'!B28&lt;&gt;"",'4C'!I28,"")</f>
        <v/>
      </c>
      <c r="J878" s="82">
        <f>IF('4C'!B28&lt;&gt;"",'4C'!J28,"")</f>
        <v/>
      </c>
    </row>
    <row r="879" ht="15.75" customHeight="1" s="52">
      <c r="A879" s="97">
        <f>IF('4C'!B29&lt;&gt;"","4C","")</f>
        <v/>
      </c>
      <c r="B879" s="78">
        <f>IF('4C'!B29&lt;&gt;"",'4C'!B29,"")</f>
        <v/>
      </c>
      <c r="C879" s="78">
        <f>IF('4C'!B29&lt;&gt;"",'4C'!C29,"")</f>
        <v/>
      </c>
      <c r="D879" s="78">
        <f>IF('4C'!B29&lt;&gt;"",'4C'!D29,"")</f>
        <v/>
      </c>
      <c r="E879" s="78">
        <f>IF('4C'!B29&lt;&gt;"",'4C'!E29,"")</f>
        <v/>
      </c>
      <c r="F879" s="78">
        <f>IF('4C'!B29&lt;&gt;"",'4C'!F29,"")</f>
        <v/>
      </c>
      <c r="G879" s="78">
        <f>IF('4C'!B29&lt;&gt;"",'4C'!G29,"")</f>
        <v/>
      </c>
      <c r="H879" s="97">
        <f>IF('4C'!B29&lt;&gt;"",'4C'!H29,"")</f>
        <v/>
      </c>
      <c r="I879" s="97">
        <f>IF('4C'!B29&lt;&gt;"",'4C'!I29,"")</f>
        <v/>
      </c>
      <c r="J879" s="78">
        <f>IF('4C'!B29&lt;&gt;"",'4C'!J29,"")</f>
        <v/>
      </c>
    </row>
    <row r="880" ht="15.75" customHeight="1" s="52">
      <c r="A880" s="92">
        <f>IF('4C'!B30&lt;&gt;"","4C","")</f>
        <v/>
      </c>
      <c r="B880" s="82">
        <f>IF('4C'!B30&lt;&gt;"",'4C'!B30,"")</f>
        <v/>
      </c>
      <c r="C880" s="82">
        <f>IF('4C'!B30&lt;&gt;"",'4C'!C30,"")</f>
        <v/>
      </c>
      <c r="D880" s="82">
        <f>IF('4C'!B30&lt;&gt;"",'4C'!D30,"")</f>
        <v/>
      </c>
      <c r="E880" s="82">
        <f>IF('4C'!B30&lt;&gt;"",'4C'!E30,"")</f>
        <v/>
      </c>
      <c r="F880" s="82">
        <f>IF('4C'!B30&lt;&gt;"",'4C'!F30,"")</f>
        <v/>
      </c>
      <c r="G880" s="82">
        <f>IF('4C'!B30&lt;&gt;"",'4C'!G30,"")</f>
        <v/>
      </c>
      <c r="H880" s="92">
        <f>IF('4C'!B30&lt;&gt;"",'4C'!H30,"")</f>
        <v/>
      </c>
      <c r="I880" s="92">
        <f>IF('4C'!B30&lt;&gt;"",'4C'!I30,"")</f>
        <v/>
      </c>
      <c r="J880" s="82">
        <f>IF('4C'!B30&lt;&gt;"",'4C'!J30,"")</f>
        <v/>
      </c>
    </row>
    <row r="881" ht="15.75" customHeight="1" s="52">
      <c r="A881" s="97">
        <f>IF('4C'!B31&lt;&gt;"","4C","")</f>
        <v/>
      </c>
      <c r="B881" s="78">
        <f>IF('4C'!B31&lt;&gt;"",'4C'!B31,"")</f>
        <v/>
      </c>
      <c r="C881" s="78">
        <f>IF('4C'!B31&lt;&gt;"",'4C'!C31,"")</f>
        <v/>
      </c>
      <c r="D881" s="78">
        <f>IF('4C'!B31&lt;&gt;"",'4C'!D31,"")</f>
        <v/>
      </c>
      <c r="E881" s="78">
        <f>IF('4C'!B31&lt;&gt;"",'4C'!E31,"")</f>
        <v/>
      </c>
      <c r="F881" s="78">
        <f>IF('4C'!B31&lt;&gt;"",'4C'!F31,"")</f>
        <v/>
      </c>
      <c r="G881" s="78">
        <f>IF('4C'!B31&lt;&gt;"",'4C'!G31,"")</f>
        <v/>
      </c>
      <c r="H881" s="97">
        <f>IF('4C'!B31&lt;&gt;"",'4C'!H31,"")</f>
        <v/>
      </c>
      <c r="I881" s="97">
        <f>IF('4C'!B31&lt;&gt;"",'4C'!I31,"")</f>
        <v/>
      </c>
      <c r="J881" s="78">
        <f>IF('4C'!B31&lt;&gt;"",'4C'!J31,"")</f>
        <v/>
      </c>
    </row>
    <row r="882" ht="15.75" customHeight="1" s="52">
      <c r="A882" s="92">
        <f>IF('4C'!B32&lt;&gt;"","4C","")</f>
        <v/>
      </c>
      <c r="B882" s="82">
        <f>IF('4C'!B32&lt;&gt;"",'4C'!B32,"")</f>
        <v/>
      </c>
      <c r="C882" s="82">
        <f>IF('4C'!B32&lt;&gt;"",'4C'!C32,"")</f>
        <v/>
      </c>
      <c r="D882" s="82">
        <f>IF('4C'!B32&lt;&gt;"",'4C'!D32,"")</f>
        <v/>
      </c>
      <c r="E882" s="82">
        <f>IF('4C'!B32&lt;&gt;"",'4C'!E32,"")</f>
        <v/>
      </c>
      <c r="F882" s="82">
        <f>IF('4C'!B32&lt;&gt;"",'4C'!F32,"")</f>
        <v/>
      </c>
      <c r="G882" s="82">
        <f>IF('4C'!B32&lt;&gt;"",'4C'!G32,"")</f>
        <v/>
      </c>
      <c r="H882" s="92">
        <f>IF('4C'!B32&lt;&gt;"",'4C'!H32,"")</f>
        <v/>
      </c>
      <c r="I882" s="92">
        <f>IF('4C'!B32&lt;&gt;"",'4C'!I32,"")</f>
        <v/>
      </c>
      <c r="J882" s="82">
        <f>IF('4C'!B32&lt;&gt;"",'4C'!J32,"")</f>
        <v/>
      </c>
    </row>
    <row r="883" ht="15.75" customHeight="1" s="52">
      <c r="A883" s="97">
        <f>IF('4C'!B33&lt;&gt;"","4C","")</f>
        <v/>
      </c>
      <c r="B883" s="78">
        <f>IF('4C'!B33&lt;&gt;"",'4C'!B33,"")</f>
        <v/>
      </c>
      <c r="C883" s="78">
        <f>IF('4C'!B33&lt;&gt;"",'4C'!C33,"")</f>
        <v/>
      </c>
      <c r="D883" s="78">
        <f>IF('4C'!B33&lt;&gt;"",'4C'!D33,"")</f>
        <v/>
      </c>
      <c r="E883" s="78">
        <f>IF('4C'!B33&lt;&gt;"",'4C'!E33,"")</f>
        <v/>
      </c>
      <c r="F883" s="78">
        <f>IF('4C'!B33&lt;&gt;"",'4C'!F33,"")</f>
        <v/>
      </c>
      <c r="G883" s="78">
        <f>IF('4C'!B33&lt;&gt;"",'4C'!G33,"")</f>
        <v/>
      </c>
      <c r="H883" s="97">
        <f>IF('4C'!B33&lt;&gt;"",'4C'!H33,"")</f>
        <v/>
      </c>
      <c r="I883" s="97">
        <f>IF('4C'!B33&lt;&gt;"",'4C'!I33,"")</f>
        <v/>
      </c>
      <c r="J883" s="78">
        <f>IF('4C'!B33&lt;&gt;"",'4C'!J33,"")</f>
        <v/>
      </c>
    </row>
    <row r="884" ht="15.75" customHeight="1" s="52">
      <c r="A884" s="92">
        <f>IF('4C'!B34&lt;&gt;"","4C","")</f>
        <v/>
      </c>
      <c r="B884" s="82">
        <f>IF('4C'!B34&lt;&gt;"",'4C'!B34,"")</f>
        <v/>
      </c>
      <c r="C884" s="82">
        <f>IF('4C'!B34&lt;&gt;"",'4C'!C34,"")</f>
        <v/>
      </c>
      <c r="D884" s="82">
        <f>IF('4C'!B34&lt;&gt;"",'4C'!D34,"")</f>
        <v/>
      </c>
      <c r="E884" s="82">
        <f>IF('4C'!B34&lt;&gt;"",'4C'!E34,"")</f>
        <v/>
      </c>
      <c r="F884" s="82">
        <f>IF('4C'!B34&lt;&gt;"",'4C'!F34,"")</f>
        <v/>
      </c>
      <c r="G884" s="82">
        <f>IF('4C'!B34&lt;&gt;"",'4C'!G34,"")</f>
        <v/>
      </c>
      <c r="H884" s="92">
        <f>IF('4C'!B34&lt;&gt;"",'4C'!H34,"")</f>
        <v/>
      </c>
      <c r="I884" s="92">
        <f>IF('4C'!B34&lt;&gt;"",'4C'!I34,"")</f>
        <v/>
      </c>
      <c r="J884" s="82">
        <f>IF('4C'!B34&lt;&gt;"",'4C'!J34,"")</f>
        <v/>
      </c>
    </row>
    <row r="885" ht="15.75" customHeight="1" s="52">
      <c r="A885" s="97">
        <f>IF('4C'!B35&lt;&gt;"","4C","")</f>
        <v/>
      </c>
      <c r="B885" s="78">
        <f>IF('4C'!B35&lt;&gt;"",'4C'!B35,"")</f>
        <v/>
      </c>
      <c r="C885" s="78">
        <f>IF('4C'!B35&lt;&gt;"",'4C'!C35,"")</f>
        <v/>
      </c>
      <c r="D885" s="78">
        <f>IF('4C'!B35&lt;&gt;"",'4C'!D35,"")</f>
        <v/>
      </c>
      <c r="E885" s="78">
        <f>IF('4C'!B35&lt;&gt;"",'4C'!E35,"")</f>
        <v/>
      </c>
      <c r="F885" s="78">
        <f>IF('4C'!B35&lt;&gt;"",'4C'!F35,"")</f>
        <v/>
      </c>
      <c r="G885" s="78">
        <f>IF('4C'!B35&lt;&gt;"",'4C'!G35,"")</f>
        <v/>
      </c>
      <c r="H885" s="97">
        <f>IF('4C'!B35&lt;&gt;"",'4C'!H35,"")</f>
        <v/>
      </c>
      <c r="I885" s="97">
        <f>IF('4C'!B35&lt;&gt;"",'4C'!I35,"")</f>
        <v/>
      </c>
      <c r="J885" s="78">
        <f>IF('4C'!B35&lt;&gt;"",'4C'!J35,"")</f>
        <v/>
      </c>
    </row>
    <row r="886" ht="15.75" customHeight="1" s="52">
      <c r="A886" s="92">
        <f>IF('4C'!B36&lt;&gt;"","4C","")</f>
        <v/>
      </c>
      <c r="B886" s="82">
        <f>IF('4C'!B36&lt;&gt;"",'4C'!B36,"")</f>
        <v/>
      </c>
      <c r="C886" s="82">
        <f>IF('4C'!B36&lt;&gt;"",'4C'!C36,"")</f>
        <v/>
      </c>
      <c r="D886" s="82">
        <f>IF('4C'!B36&lt;&gt;"",'4C'!D36,"")</f>
        <v/>
      </c>
      <c r="E886" s="82">
        <f>IF('4C'!B36&lt;&gt;"",'4C'!E36,"")</f>
        <v/>
      </c>
      <c r="F886" s="82">
        <f>IF('4C'!B36&lt;&gt;"",'4C'!F36,"")</f>
        <v/>
      </c>
      <c r="G886" s="82">
        <f>IF('4C'!B36&lt;&gt;"",'4C'!G36,"")</f>
        <v/>
      </c>
      <c r="H886" s="92">
        <f>IF('4C'!B36&lt;&gt;"",'4C'!H36,"")</f>
        <v/>
      </c>
      <c r="I886" s="92">
        <f>IF('4C'!B36&lt;&gt;"",'4C'!I36,"")</f>
        <v/>
      </c>
      <c r="J886" s="82">
        <f>IF('4C'!B36&lt;&gt;"",'4C'!J36,"")</f>
        <v/>
      </c>
    </row>
    <row r="887" ht="15.75" customHeight="1" s="52">
      <c r="A887" s="97">
        <f>IF('4C'!B37&lt;&gt;"","4C","")</f>
        <v/>
      </c>
      <c r="B887" s="78">
        <f>IF('4C'!B37&lt;&gt;"",'4C'!B37,"")</f>
        <v/>
      </c>
      <c r="C887" s="78">
        <f>IF('4C'!B37&lt;&gt;"",'4C'!C37,"")</f>
        <v/>
      </c>
      <c r="D887" s="78">
        <f>IF('4C'!B37&lt;&gt;"",'4C'!D37,"")</f>
        <v/>
      </c>
      <c r="E887" s="78">
        <f>IF('4C'!B37&lt;&gt;"",'4C'!E37,"")</f>
        <v/>
      </c>
      <c r="F887" s="78">
        <f>IF('4C'!B37&lt;&gt;"",'4C'!F37,"")</f>
        <v/>
      </c>
      <c r="G887" s="78">
        <f>IF('4C'!B37&lt;&gt;"",'4C'!G37,"")</f>
        <v/>
      </c>
      <c r="H887" s="97">
        <f>IF('4C'!B37&lt;&gt;"",'4C'!H37,"")</f>
        <v/>
      </c>
      <c r="I887" s="97">
        <f>IF('4C'!B37&lt;&gt;"",'4C'!I37,"")</f>
        <v/>
      </c>
      <c r="J887" s="78">
        <f>IF('4C'!B37&lt;&gt;"",'4C'!J37,"")</f>
        <v/>
      </c>
    </row>
    <row r="888" ht="15.75" customHeight="1" s="52">
      <c r="A888" s="92">
        <f>IF('4C'!B38&lt;&gt;"","4C","")</f>
        <v/>
      </c>
      <c r="B888" s="82">
        <f>IF('4C'!B38&lt;&gt;"",'4C'!B38,"")</f>
        <v/>
      </c>
      <c r="C888" s="82">
        <f>IF('4C'!B38&lt;&gt;"",'4C'!C38,"")</f>
        <v/>
      </c>
      <c r="D888" s="82">
        <f>IF('4C'!B38&lt;&gt;"",'4C'!D38,"")</f>
        <v/>
      </c>
      <c r="E888" s="82">
        <f>IF('4C'!B38&lt;&gt;"",'4C'!E38,"")</f>
        <v/>
      </c>
      <c r="F888" s="82">
        <f>IF('4C'!B38&lt;&gt;"",'4C'!F38,"")</f>
        <v/>
      </c>
      <c r="G888" s="82">
        <f>IF('4C'!B38&lt;&gt;"",'4C'!G38,"")</f>
        <v/>
      </c>
      <c r="H888" s="92">
        <f>IF('4C'!B38&lt;&gt;"",'4C'!H38,"")</f>
        <v/>
      </c>
      <c r="I888" s="92">
        <f>IF('4C'!B38&lt;&gt;"",'4C'!I38,"")</f>
        <v/>
      </c>
      <c r="J888" s="82">
        <f>IF('4C'!B38&lt;&gt;"",'4C'!J38,"")</f>
        <v/>
      </c>
    </row>
    <row r="889" ht="15.75" customHeight="1" s="52">
      <c r="A889" s="97">
        <f>IF('4C'!B39&lt;&gt;"","4C","")</f>
        <v/>
      </c>
      <c r="B889" s="78">
        <f>IF('4C'!B39&lt;&gt;"",'4C'!B39,"")</f>
        <v/>
      </c>
      <c r="C889" s="78">
        <f>IF('4C'!B39&lt;&gt;"",'4C'!C39,"")</f>
        <v/>
      </c>
      <c r="D889" s="78">
        <f>IF('4C'!B39&lt;&gt;"",'4C'!D39,"")</f>
        <v/>
      </c>
      <c r="E889" s="78">
        <f>IF('4C'!B39&lt;&gt;"",'4C'!E39,"")</f>
        <v/>
      </c>
      <c r="F889" s="78">
        <f>IF('4C'!B39&lt;&gt;"",'4C'!F39,"")</f>
        <v/>
      </c>
      <c r="G889" s="78">
        <f>IF('4C'!B39&lt;&gt;"",'4C'!G39,"")</f>
        <v/>
      </c>
      <c r="H889" s="97">
        <f>IF('4C'!B39&lt;&gt;"",'4C'!H39,"")</f>
        <v/>
      </c>
      <c r="I889" s="97">
        <f>IF('4C'!B39&lt;&gt;"",'4C'!I39,"")</f>
        <v/>
      </c>
      <c r="J889" s="78">
        <f>IF('4C'!B39&lt;&gt;"",'4C'!J39,"")</f>
        <v/>
      </c>
    </row>
    <row r="890" ht="15.75" customHeight="1" s="52">
      <c r="A890" s="92">
        <f>IF('4C'!B40&lt;&gt;"","4C","")</f>
        <v/>
      </c>
      <c r="B890" s="82">
        <f>IF('4C'!B40&lt;&gt;"",'4C'!B40,"")</f>
        <v/>
      </c>
      <c r="C890" s="82">
        <f>IF('4C'!B40&lt;&gt;"",'4C'!C40,"")</f>
        <v/>
      </c>
      <c r="D890" s="82">
        <f>IF('4C'!B40&lt;&gt;"",'4C'!D40,"")</f>
        <v/>
      </c>
      <c r="E890" s="82">
        <f>IF('4C'!B40&lt;&gt;"",'4C'!E40,"")</f>
        <v/>
      </c>
      <c r="F890" s="82">
        <f>IF('4C'!B40&lt;&gt;"",'4C'!F40,"")</f>
        <v/>
      </c>
      <c r="G890" s="82">
        <f>IF('4C'!B40&lt;&gt;"",'4C'!G40,"")</f>
        <v/>
      </c>
      <c r="H890" s="92">
        <f>IF('4C'!B40&lt;&gt;"",'4C'!H40,"")</f>
        <v/>
      </c>
      <c r="I890" s="92">
        <f>IF('4C'!B40&lt;&gt;"",'4C'!I40,"")</f>
        <v/>
      </c>
      <c r="J890" s="82">
        <f>IF('4C'!B40&lt;&gt;"",'4C'!J40,"")</f>
        <v/>
      </c>
    </row>
    <row r="891" ht="15.75" customHeight="1" s="52">
      <c r="A891" s="97">
        <f>IF('4C'!B41&lt;&gt;"","4C","")</f>
        <v/>
      </c>
      <c r="B891" s="78">
        <f>IF('4C'!B41&lt;&gt;"",'4C'!B41,"")</f>
        <v/>
      </c>
      <c r="C891" s="78">
        <f>IF('4C'!B41&lt;&gt;"",'4C'!C41,"")</f>
        <v/>
      </c>
      <c r="D891" s="78">
        <f>IF('4C'!B41&lt;&gt;"",'4C'!D41,"")</f>
        <v/>
      </c>
      <c r="E891" s="78">
        <f>IF('4C'!B41&lt;&gt;"",'4C'!E41,"")</f>
        <v/>
      </c>
      <c r="F891" s="78">
        <f>IF('4C'!B41&lt;&gt;"",'4C'!F41,"")</f>
        <v/>
      </c>
      <c r="G891" s="78">
        <f>IF('4C'!B41&lt;&gt;"",'4C'!G41,"")</f>
        <v/>
      </c>
      <c r="H891" s="97">
        <f>IF('4C'!B41&lt;&gt;"",'4C'!H41,"")</f>
        <v/>
      </c>
      <c r="I891" s="97">
        <f>IF('4C'!B41&lt;&gt;"",'4C'!I41,"")</f>
        <v/>
      </c>
      <c r="J891" s="78">
        <f>IF('4C'!B41&lt;&gt;"",'4C'!J41,"")</f>
        <v/>
      </c>
    </row>
    <row r="892" ht="15.75" customHeight="1" s="52">
      <c r="A892" s="92">
        <f>IF('4C'!B42&lt;&gt;"","4C","")</f>
        <v/>
      </c>
      <c r="B892" s="82">
        <f>IF('4C'!B42&lt;&gt;"",'4C'!B42,"")</f>
        <v/>
      </c>
      <c r="C892" s="82">
        <f>IF('4C'!B42&lt;&gt;"",'4C'!C42,"")</f>
        <v/>
      </c>
      <c r="D892" s="82">
        <f>IF('4C'!B42&lt;&gt;"",'4C'!D42,"")</f>
        <v/>
      </c>
      <c r="E892" s="82">
        <f>IF('4C'!B42&lt;&gt;"",'4C'!E42,"")</f>
        <v/>
      </c>
      <c r="F892" s="82">
        <f>IF('4C'!B42&lt;&gt;"",'4C'!F42,"")</f>
        <v/>
      </c>
      <c r="G892" s="82">
        <f>IF('4C'!B42&lt;&gt;"",'4C'!G42,"")</f>
        <v/>
      </c>
      <c r="H892" s="92">
        <f>IF('4C'!B42&lt;&gt;"",'4C'!H42,"")</f>
        <v/>
      </c>
      <c r="I892" s="92">
        <f>IF('4C'!B42&lt;&gt;"",'4C'!I42,"")</f>
        <v/>
      </c>
      <c r="J892" s="82">
        <f>IF('4C'!B42&lt;&gt;"",'4C'!J42,"")</f>
        <v/>
      </c>
    </row>
    <row r="893" ht="15.75" customHeight="1" s="52">
      <c r="A893" s="97">
        <f>IF('4C'!B43&lt;&gt;"","4C","")</f>
        <v/>
      </c>
      <c r="B893" s="78">
        <f>IF('4C'!B43&lt;&gt;"",'4C'!B43,"")</f>
        <v/>
      </c>
      <c r="C893" s="78">
        <f>IF('4C'!B43&lt;&gt;"",'4C'!C43,"")</f>
        <v/>
      </c>
      <c r="D893" s="78">
        <f>IF('4C'!B43&lt;&gt;"",'4C'!D43,"")</f>
        <v/>
      </c>
      <c r="E893" s="78">
        <f>IF('4C'!B43&lt;&gt;"",'4C'!E43,"")</f>
        <v/>
      </c>
      <c r="F893" s="78">
        <f>IF('4C'!B43&lt;&gt;"",'4C'!F43,"")</f>
        <v/>
      </c>
      <c r="G893" s="78">
        <f>IF('4C'!B43&lt;&gt;"",'4C'!G43,"")</f>
        <v/>
      </c>
      <c r="H893" s="97">
        <f>IF('4C'!B43&lt;&gt;"",'4C'!H43,"")</f>
        <v/>
      </c>
      <c r="I893" s="97">
        <f>IF('4C'!B43&lt;&gt;"",'4C'!I43,"")</f>
        <v/>
      </c>
      <c r="J893" s="78">
        <f>IF('4C'!B43&lt;&gt;"",'4C'!J43,"")</f>
        <v/>
      </c>
    </row>
    <row r="894" ht="15.75" customHeight="1" s="52">
      <c r="A894" s="92">
        <f>IF('4C'!B44&lt;&gt;"","4C","")</f>
        <v/>
      </c>
      <c r="B894" s="82">
        <f>IF('4C'!B44&lt;&gt;"",'4C'!B44,"")</f>
        <v/>
      </c>
      <c r="C894" s="82">
        <f>IF('4C'!B44&lt;&gt;"",'4C'!C44,"")</f>
        <v/>
      </c>
      <c r="D894" s="82">
        <f>IF('4C'!B44&lt;&gt;"",'4C'!D44,"")</f>
        <v/>
      </c>
      <c r="E894" s="82">
        <f>IF('4C'!B44&lt;&gt;"",'4C'!E44,"")</f>
        <v/>
      </c>
      <c r="F894" s="82">
        <f>IF('4C'!B44&lt;&gt;"",'4C'!F44,"")</f>
        <v/>
      </c>
      <c r="G894" s="82">
        <f>IF('4C'!B44&lt;&gt;"",'4C'!G44,"")</f>
        <v/>
      </c>
      <c r="H894" s="92">
        <f>IF('4C'!B44&lt;&gt;"",'4C'!H44,"")</f>
        <v/>
      </c>
      <c r="I894" s="92">
        <f>IF('4C'!B44&lt;&gt;"",'4C'!I44,"")</f>
        <v/>
      </c>
      <c r="J894" s="82">
        <f>IF('4C'!B44&lt;&gt;"",'4C'!J44,"")</f>
        <v/>
      </c>
    </row>
    <row r="895" ht="15.75" customHeight="1" s="52">
      <c r="A895" s="97">
        <f>IF('4C'!B45&lt;&gt;"","4C","")</f>
        <v/>
      </c>
      <c r="B895" s="78">
        <f>IF('4C'!B45&lt;&gt;"",'4C'!B45,"")</f>
        <v/>
      </c>
      <c r="C895" s="78">
        <f>IF('4C'!B45&lt;&gt;"",'4C'!C45,"")</f>
        <v/>
      </c>
      <c r="D895" s="78">
        <f>IF('4C'!B45&lt;&gt;"",'4C'!D45,"")</f>
        <v/>
      </c>
      <c r="E895" s="78">
        <f>IF('4C'!B45&lt;&gt;"",'4C'!E45,"")</f>
        <v/>
      </c>
      <c r="F895" s="78">
        <f>IF('4C'!B45&lt;&gt;"",'4C'!F45,"")</f>
        <v/>
      </c>
      <c r="G895" s="78">
        <f>IF('4C'!B45&lt;&gt;"",'4C'!G45,"")</f>
        <v/>
      </c>
      <c r="H895" s="97">
        <f>IF('4C'!B45&lt;&gt;"",'4C'!H45,"")</f>
        <v/>
      </c>
      <c r="I895" s="97">
        <f>IF('4C'!B45&lt;&gt;"",'4C'!I45,"")</f>
        <v/>
      </c>
      <c r="J895" s="78">
        <f>IF('4C'!B45&lt;&gt;"",'4C'!J45,"")</f>
        <v/>
      </c>
    </row>
    <row r="896" ht="15.75" customHeight="1" s="52">
      <c r="A896" s="92">
        <f>IF('4C'!B46&lt;&gt;"","4C","")</f>
        <v/>
      </c>
      <c r="B896" s="82">
        <f>IF('4C'!B46&lt;&gt;"",'4C'!B46,"")</f>
        <v/>
      </c>
      <c r="C896" s="82">
        <f>IF('4C'!B46&lt;&gt;"",'4C'!C46,"")</f>
        <v/>
      </c>
      <c r="D896" s="82">
        <f>IF('4C'!B46&lt;&gt;"",'4C'!D46,"")</f>
        <v/>
      </c>
      <c r="E896" s="82">
        <f>IF('4C'!B46&lt;&gt;"",'4C'!E46,"")</f>
        <v/>
      </c>
      <c r="F896" s="82">
        <f>IF('4C'!B46&lt;&gt;"",'4C'!F46,"")</f>
        <v/>
      </c>
      <c r="G896" s="82">
        <f>IF('4C'!B46&lt;&gt;"",'4C'!G46,"")</f>
        <v/>
      </c>
      <c r="H896" s="92">
        <f>IF('4C'!B46&lt;&gt;"",'4C'!H46,"")</f>
        <v/>
      </c>
      <c r="I896" s="92">
        <f>IF('4C'!B46&lt;&gt;"",'4C'!I46,"")</f>
        <v/>
      </c>
      <c r="J896" s="82">
        <f>IF('4C'!B46&lt;&gt;"",'4C'!J46,"")</f>
        <v/>
      </c>
    </row>
    <row r="897" ht="15.75" customHeight="1" s="52">
      <c r="A897" s="97">
        <f>IF('4C'!B47&lt;&gt;"","4C","")</f>
        <v/>
      </c>
      <c r="B897" s="78">
        <f>IF('4C'!B47&lt;&gt;"",'4C'!B47,"")</f>
        <v/>
      </c>
      <c r="C897" s="78">
        <f>IF('4C'!B47&lt;&gt;"",'4C'!C47,"")</f>
        <v/>
      </c>
      <c r="D897" s="78">
        <f>IF('4C'!B47&lt;&gt;"",'4C'!D47,"")</f>
        <v/>
      </c>
      <c r="E897" s="78">
        <f>IF('4C'!B47&lt;&gt;"",'4C'!E47,"")</f>
        <v/>
      </c>
      <c r="F897" s="78">
        <f>IF('4C'!B47&lt;&gt;"",'4C'!F47,"")</f>
        <v/>
      </c>
      <c r="G897" s="78">
        <f>IF('4C'!B47&lt;&gt;"",'4C'!G47,"")</f>
        <v/>
      </c>
      <c r="H897" s="97">
        <f>IF('4C'!B47&lt;&gt;"",'4C'!H47,"")</f>
        <v/>
      </c>
      <c r="I897" s="97">
        <f>IF('4C'!B47&lt;&gt;"",'4C'!I47,"")</f>
        <v/>
      </c>
      <c r="J897" s="78">
        <f>IF('4C'!B47&lt;&gt;"",'4C'!J47,"")</f>
        <v/>
      </c>
    </row>
    <row r="898" ht="15.75" customHeight="1" s="52">
      <c r="A898" s="92">
        <f>IF('4C'!B48&lt;&gt;"","4C","")</f>
        <v/>
      </c>
      <c r="B898" s="82">
        <f>IF('4C'!B48&lt;&gt;"",'4C'!B48,"")</f>
        <v/>
      </c>
      <c r="C898" s="82">
        <f>IF('4C'!B48&lt;&gt;"",'4C'!C48,"")</f>
        <v/>
      </c>
      <c r="D898" s="82">
        <f>IF('4C'!B48&lt;&gt;"",'4C'!D48,"")</f>
        <v/>
      </c>
      <c r="E898" s="82">
        <f>IF('4C'!B48&lt;&gt;"",'4C'!E48,"")</f>
        <v/>
      </c>
      <c r="F898" s="82">
        <f>IF('4C'!B48&lt;&gt;"",'4C'!F48,"")</f>
        <v/>
      </c>
      <c r="G898" s="82">
        <f>IF('4C'!B48&lt;&gt;"",'4C'!G48,"")</f>
        <v/>
      </c>
      <c r="H898" s="92">
        <f>IF('4C'!B48&lt;&gt;"",'4C'!H48,"")</f>
        <v/>
      </c>
      <c r="I898" s="92">
        <f>IF('4C'!B48&lt;&gt;"",'4C'!I48,"")</f>
        <v/>
      </c>
      <c r="J898" s="82">
        <f>IF('4C'!B48&lt;&gt;"",'4C'!J48,"")</f>
        <v/>
      </c>
    </row>
    <row r="899" ht="15.75" customHeight="1" s="52">
      <c r="A899" s="97">
        <f>IF('4C'!B49&lt;&gt;"","4C","")</f>
        <v/>
      </c>
      <c r="B899" s="78">
        <f>IF('4C'!B49&lt;&gt;"",'4C'!B49,"")</f>
        <v/>
      </c>
      <c r="C899" s="78">
        <f>IF('4C'!B49&lt;&gt;"",'4C'!C49,"")</f>
        <v/>
      </c>
      <c r="D899" s="78">
        <f>IF('4C'!B49&lt;&gt;"",'4C'!D49,"")</f>
        <v/>
      </c>
      <c r="E899" s="78">
        <f>IF('4C'!B49&lt;&gt;"",'4C'!E49,"")</f>
        <v/>
      </c>
      <c r="F899" s="78">
        <f>IF('4C'!B49&lt;&gt;"",'4C'!F49,"")</f>
        <v/>
      </c>
      <c r="G899" s="78">
        <f>IF('4C'!B49&lt;&gt;"",'4C'!G49,"")</f>
        <v/>
      </c>
      <c r="H899" s="97">
        <f>IF('4C'!B49&lt;&gt;"",'4C'!H49,"")</f>
        <v/>
      </c>
      <c r="I899" s="97">
        <f>IF('4C'!B49&lt;&gt;"",'4C'!I49,"")</f>
        <v/>
      </c>
      <c r="J899" s="78">
        <f>IF('4C'!B49&lt;&gt;"",'4C'!J49,"")</f>
        <v/>
      </c>
    </row>
    <row r="900" ht="15.75" customHeight="1" s="52">
      <c r="A900" s="92">
        <f>IF('4C'!B50&lt;&gt;"","4C","")</f>
        <v/>
      </c>
      <c r="B900" s="82">
        <f>IF('4C'!B50&lt;&gt;"",'4C'!B50,"")</f>
        <v/>
      </c>
      <c r="C900" s="82">
        <f>IF('4C'!B50&lt;&gt;"",'4C'!C50,"")</f>
        <v/>
      </c>
      <c r="D900" s="82">
        <f>IF('4C'!B50&lt;&gt;"",'4C'!D50,"")</f>
        <v/>
      </c>
      <c r="E900" s="82">
        <f>IF('4C'!B50&lt;&gt;"",'4C'!E50,"")</f>
        <v/>
      </c>
      <c r="F900" s="82">
        <f>IF('4C'!B50&lt;&gt;"",'4C'!F50,"")</f>
        <v/>
      </c>
      <c r="G900" s="82">
        <f>IF('4C'!B50&lt;&gt;"",'4C'!G50,"")</f>
        <v/>
      </c>
      <c r="H900" s="92">
        <f>IF('4C'!B50&lt;&gt;"",'4C'!H50,"")</f>
        <v/>
      </c>
      <c r="I900" s="92">
        <f>IF('4C'!B50&lt;&gt;"",'4C'!I50,"")</f>
        <v/>
      </c>
      <c r="J900" s="82">
        <f>IF('4C'!B50&lt;&gt;"",'4C'!J50,"")</f>
        <v/>
      </c>
    </row>
    <row r="901" ht="15.75" customHeight="1" s="52">
      <c r="A901" s="97">
        <f>IF('4C'!B51&lt;&gt;"","4C","")</f>
        <v/>
      </c>
      <c r="B901" s="78">
        <f>IF('4C'!B51&lt;&gt;"",'4C'!B51,"")</f>
        <v/>
      </c>
      <c r="C901" s="78">
        <f>IF('4C'!B51&lt;&gt;"",'4C'!C51,"")</f>
        <v/>
      </c>
      <c r="D901" s="78">
        <f>IF('4C'!B51&lt;&gt;"",'4C'!D51,"")</f>
        <v/>
      </c>
      <c r="E901" s="78">
        <f>IF('4C'!B51&lt;&gt;"",'4C'!E51,"")</f>
        <v/>
      </c>
      <c r="F901" s="78">
        <f>IF('4C'!B51&lt;&gt;"",'4C'!F51,"")</f>
        <v/>
      </c>
      <c r="G901" s="78">
        <f>IF('4C'!B51&lt;&gt;"",'4C'!G51,"")</f>
        <v/>
      </c>
      <c r="H901" s="97">
        <f>IF('4C'!B51&lt;&gt;"",'4C'!H51,"")</f>
        <v/>
      </c>
      <c r="I901" s="97">
        <f>IF('4C'!B51&lt;&gt;"",'4C'!I51,"")</f>
        <v/>
      </c>
      <c r="J901" s="78">
        <f>IF('4C'!B51&lt;&gt;"",'4C'!J51,"")</f>
        <v/>
      </c>
    </row>
    <row r="902" ht="15.75" customHeight="1" s="52">
      <c r="A902" s="92">
        <f>IF('4C'!B52&lt;&gt;"","4C","")</f>
        <v/>
      </c>
      <c r="B902" s="82">
        <f>IF('4C'!B52&lt;&gt;"",'4C'!B52,"")</f>
        <v/>
      </c>
      <c r="C902" s="82">
        <f>IF('4C'!B52&lt;&gt;"",'4C'!C52,"")</f>
        <v/>
      </c>
      <c r="D902" s="82">
        <f>IF('4C'!B52&lt;&gt;"",'4C'!D52,"")</f>
        <v/>
      </c>
      <c r="E902" s="82">
        <f>IF('4C'!B52&lt;&gt;"",'4C'!E52,"")</f>
        <v/>
      </c>
      <c r="F902" s="82">
        <f>IF('4C'!B52&lt;&gt;"",'4C'!F52,"")</f>
        <v/>
      </c>
      <c r="G902" s="82">
        <f>IF('4C'!B52&lt;&gt;"",'4C'!G52,"")</f>
        <v/>
      </c>
      <c r="H902" s="92">
        <f>IF('4C'!B52&lt;&gt;"",'4C'!H52,"")</f>
        <v/>
      </c>
      <c r="I902" s="92">
        <f>IF('4C'!B52&lt;&gt;"",'4C'!I52,"")</f>
        <v/>
      </c>
      <c r="J902" s="82">
        <f>IF('4C'!B52&lt;&gt;"",'4C'!J52,"")</f>
        <v/>
      </c>
    </row>
    <row r="903" ht="15.75" customHeight="1" s="52">
      <c r="A903" s="97">
        <f>IF('4C'!B53&lt;&gt;"","4C","")</f>
        <v/>
      </c>
      <c r="B903" s="78">
        <f>IF('4C'!B53&lt;&gt;"",'4C'!B53,"")</f>
        <v/>
      </c>
      <c r="C903" s="78">
        <f>IF('4C'!B53&lt;&gt;"",'4C'!C53,"")</f>
        <v/>
      </c>
      <c r="D903" s="78">
        <f>IF('4C'!B53&lt;&gt;"",'4C'!D53,"")</f>
        <v/>
      </c>
      <c r="E903" s="78">
        <f>IF('4C'!B53&lt;&gt;"",'4C'!E53,"")</f>
        <v/>
      </c>
      <c r="F903" s="78">
        <f>IF('4C'!B53&lt;&gt;"",'4C'!F53,"")</f>
        <v/>
      </c>
      <c r="G903" s="78">
        <f>IF('4C'!B53&lt;&gt;"",'4C'!G53,"")</f>
        <v/>
      </c>
      <c r="H903" s="97">
        <f>IF('4C'!B53&lt;&gt;"",'4C'!H53,"")</f>
        <v/>
      </c>
      <c r="I903" s="97">
        <f>IF('4C'!B53&lt;&gt;"",'4C'!I53,"")</f>
        <v/>
      </c>
      <c r="J903" s="78">
        <f>IF('4C'!B53&lt;&gt;"",'4C'!J53,"")</f>
        <v/>
      </c>
    </row>
    <row r="904" ht="15.75" customHeight="1" s="52">
      <c r="A904" s="92">
        <f>IF('4C'!B54&lt;&gt;"","4C","")</f>
        <v/>
      </c>
      <c r="B904" s="82">
        <f>IF('4C'!B54&lt;&gt;"",'4C'!B54,"")</f>
        <v/>
      </c>
      <c r="C904" s="82">
        <f>IF('4C'!B54&lt;&gt;"",'4C'!C54,"")</f>
        <v/>
      </c>
      <c r="D904" s="82">
        <f>IF('4C'!B54&lt;&gt;"",'4C'!D54,"")</f>
        <v/>
      </c>
      <c r="E904" s="82">
        <f>IF('4C'!B54&lt;&gt;"",'4C'!E54,"")</f>
        <v/>
      </c>
      <c r="F904" s="82">
        <f>IF('4C'!B54&lt;&gt;"",'4C'!F54,"")</f>
        <v/>
      </c>
      <c r="G904" s="82">
        <f>IF('4C'!B54&lt;&gt;"",'4C'!G54,"")</f>
        <v/>
      </c>
      <c r="H904" s="92">
        <f>IF('4C'!B54&lt;&gt;"",'4C'!H54,"")</f>
        <v/>
      </c>
      <c r="I904" s="92">
        <f>IF('4C'!B54&lt;&gt;"",'4C'!I54,"")</f>
        <v/>
      </c>
      <c r="J904" s="82">
        <f>IF('4C'!B54&lt;&gt;"",'4C'!J54,"")</f>
        <v/>
      </c>
    </row>
    <row r="905" ht="15.75" customHeight="1" s="52">
      <c r="A905" s="97">
        <f>IF('5A'!B5&lt;&gt;"","5A","")</f>
        <v/>
      </c>
      <c r="B905" s="78">
        <f>IF('5A'!B5&lt;&gt;"",'5A'!B5,"")</f>
        <v/>
      </c>
      <c r="C905" s="78">
        <f>IF('5A'!B5&lt;&gt;"",'5A'!C5,"")</f>
        <v/>
      </c>
      <c r="D905" s="78">
        <f>IF('5A'!B5&lt;&gt;"",'5A'!D5,"")</f>
        <v/>
      </c>
      <c r="E905" s="78">
        <f>IF('5A'!B5&lt;&gt;"",'5A'!E5,"")</f>
        <v/>
      </c>
      <c r="F905" s="78">
        <f>IF('5A'!B5&lt;&gt;"",'5A'!F5,"")</f>
        <v/>
      </c>
      <c r="G905" s="78">
        <f>IF('5A'!B5&lt;&gt;"",'5A'!G5,"")</f>
        <v/>
      </c>
      <c r="H905" s="97">
        <f>IF('5A'!B5&lt;&gt;"",'5A'!H5,"")</f>
        <v/>
      </c>
      <c r="I905" s="97">
        <f>IF('5A'!B5&lt;&gt;"",'5A'!I5,"")</f>
        <v/>
      </c>
      <c r="J905" s="78">
        <f>IF('5A'!B5&lt;&gt;"",'5A'!J5,"")</f>
        <v/>
      </c>
    </row>
    <row r="906" ht="15.75" customHeight="1" s="52">
      <c r="A906" s="92">
        <f>IF('5A'!B6&lt;&gt;"","5A","")</f>
        <v/>
      </c>
      <c r="B906" s="82">
        <f>IF('5A'!B6&lt;&gt;"",'5A'!B6,"")</f>
        <v/>
      </c>
      <c r="C906" s="82">
        <f>IF('5A'!B6&lt;&gt;"",'5A'!C6,"")</f>
        <v/>
      </c>
      <c r="D906" s="82">
        <f>IF('5A'!B6&lt;&gt;"",'5A'!D6,"")</f>
        <v/>
      </c>
      <c r="E906" s="82">
        <f>IF('5A'!B6&lt;&gt;"",'5A'!E6,"")</f>
        <v/>
      </c>
      <c r="F906" s="82">
        <f>IF('5A'!B6&lt;&gt;"",'5A'!F6,"")</f>
        <v/>
      </c>
      <c r="G906" s="82">
        <f>IF('5A'!B6&lt;&gt;"",'5A'!G6,"")</f>
        <v/>
      </c>
      <c r="H906" s="92">
        <f>IF('5A'!B6&lt;&gt;"",'5A'!H6,"")</f>
        <v/>
      </c>
      <c r="I906" s="92">
        <f>IF('5A'!B6&lt;&gt;"",'5A'!I6,"")</f>
        <v/>
      </c>
      <c r="J906" s="82">
        <f>IF('5A'!B6&lt;&gt;"",'5A'!J6,"")</f>
        <v/>
      </c>
    </row>
    <row r="907" ht="15.75" customHeight="1" s="52">
      <c r="A907" s="97">
        <f>IF('5A'!B7&lt;&gt;"","5A","")</f>
        <v/>
      </c>
      <c r="B907" s="78">
        <f>IF('5A'!B7&lt;&gt;"",'5A'!B7,"")</f>
        <v/>
      </c>
      <c r="C907" s="78">
        <f>IF('5A'!B7&lt;&gt;"",'5A'!C7,"")</f>
        <v/>
      </c>
      <c r="D907" s="78">
        <f>IF('5A'!B7&lt;&gt;"",'5A'!D7,"")</f>
        <v/>
      </c>
      <c r="E907" s="78">
        <f>IF('5A'!B7&lt;&gt;"",'5A'!E7,"")</f>
        <v/>
      </c>
      <c r="F907" s="78">
        <f>IF('5A'!B7&lt;&gt;"",'5A'!F7,"")</f>
        <v/>
      </c>
      <c r="G907" s="78">
        <f>IF('5A'!B7&lt;&gt;"",'5A'!G7,"")</f>
        <v/>
      </c>
      <c r="H907" s="97">
        <f>IF('5A'!B7&lt;&gt;"",'5A'!H7,"")</f>
        <v/>
      </c>
      <c r="I907" s="97">
        <f>IF('5A'!B7&lt;&gt;"",'5A'!I7,"")</f>
        <v/>
      </c>
      <c r="J907" s="78">
        <f>IF('5A'!B7&lt;&gt;"",'5A'!J7,"")</f>
        <v/>
      </c>
    </row>
    <row r="908" ht="15.75" customHeight="1" s="52">
      <c r="A908" s="92">
        <f>IF('5A'!B8&lt;&gt;"","5A","")</f>
        <v/>
      </c>
      <c r="B908" s="82">
        <f>IF('5A'!B8&lt;&gt;"",'5A'!B8,"")</f>
        <v/>
      </c>
      <c r="C908" s="82">
        <f>IF('5A'!B8&lt;&gt;"",'5A'!C8,"")</f>
        <v/>
      </c>
      <c r="D908" s="82">
        <f>IF('5A'!B8&lt;&gt;"",'5A'!D8,"")</f>
        <v/>
      </c>
      <c r="E908" s="82">
        <f>IF('5A'!B8&lt;&gt;"",'5A'!E8,"")</f>
        <v/>
      </c>
      <c r="F908" s="82">
        <f>IF('5A'!B8&lt;&gt;"",'5A'!F8,"")</f>
        <v/>
      </c>
      <c r="G908" s="82">
        <f>IF('5A'!B8&lt;&gt;"",'5A'!G8,"")</f>
        <v/>
      </c>
      <c r="H908" s="92">
        <f>IF('5A'!B8&lt;&gt;"",'5A'!H8,"")</f>
        <v/>
      </c>
      <c r="I908" s="92">
        <f>IF('5A'!B8&lt;&gt;"",'5A'!I8,"")</f>
        <v/>
      </c>
      <c r="J908" s="82">
        <f>IF('5A'!B8&lt;&gt;"",'5A'!J8,"")</f>
        <v/>
      </c>
    </row>
    <row r="909" ht="15.75" customHeight="1" s="52">
      <c r="A909" s="97">
        <f>IF('5A'!B9&lt;&gt;"","5A","")</f>
        <v/>
      </c>
      <c r="B909" s="78">
        <f>IF('5A'!B9&lt;&gt;"",'5A'!B9,"")</f>
        <v/>
      </c>
      <c r="C909" s="78">
        <f>IF('5A'!B9&lt;&gt;"",'5A'!C9,"")</f>
        <v/>
      </c>
      <c r="D909" s="78">
        <f>IF('5A'!B9&lt;&gt;"",'5A'!D9,"")</f>
        <v/>
      </c>
      <c r="E909" s="78">
        <f>IF('5A'!B9&lt;&gt;"",'5A'!E9,"")</f>
        <v/>
      </c>
      <c r="F909" s="78">
        <f>IF('5A'!B9&lt;&gt;"",'5A'!F9,"")</f>
        <v/>
      </c>
      <c r="G909" s="78">
        <f>IF('5A'!B9&lt;&gt;"",'5A'!G9,"")</f>
        <v/>
      </c>
      <c r="H909" s="97">
        <f>IF('5A'!B9&lt;&gt;"",'5A'!H9,"")</f>
        <v/>
      </c>
      <c r="I909" s="97">
        <f>IF('5A'!B9&lt;&gt;"",'5A'!I9,"")</f>
        <v/>
      </c>
      <c r="J909" s="78">
        <f>IF('5A'!B9&lt;&gt;"",'5A'!J9,"")</f>
        <v/>
      </c>
    </row>
    <row r="910" ht="15.75" customHeight="1" s="52">
      <c r="A910" s="92">
        <f>IF('5A'!B10&lt;&gt;"","5A","")</f>
        <v/>
      </c>
      <c r="B910" s="82">
        <f>IF('5A'!B10&lt;&gt;"",'5A'!B10,"")</f>
        <v/>
      </c>
      <c r="C910" s="82">
        <f>IF('5A'!B10&lt;&gt;"",'5A'!C10,"")</f>
        <v/>
      </c>
      <c r="D910" s="82">
        <f>IF('5A'!B10&lt;&gt;"",'5A'!D10,"")</f>
        <v/>
      </c>
      <c r="E910" s="82">
        <f>IF('5A'!B10&lt;&gt;"",'5A'!E10,"")</f>
        <v/>
      </c>
      <c r="F910" s="82">
        <f>IF('5A'!B10&lt;&gt;"",'5A'!F10,"")</f>
        <v/>
      </c>
      <c r="G910" s="82">
        <f>IF('5A'!B10&lt;&gt;"",'5A'!G10,"")</f>
        <v/>
      </c>
      <c r="H910" s="92">
        <f>IF('5A'!B10&lt;&gt;"",'5A'!H10,"")</f>
        <v/>
      </c>
      <c r="I910" s="92">
        <f>IF('5A'!B10&lt;&gt;"",'5A'!I10,"")</f>
        <v/>
      </c>
      <c r="J910" s="82">
        <f>IF('5A'!B10&lt;&gt;"",'5A'!J10,"")</f>
        <v/>
      </c>
    </row>
    <row r="911" ht="15.75" customHeight="1" s="52">
      <c r="A911" s="97">
        <f>IF('5A'!B11&lt;&gt;"","5A","")</f>
        <v/>
      </c>
      <c r="B911" s="78">
        <f>IF('5A'!B11&lt;&gt;"",'5A'!B11,"")</f>
        <v/>
      </c>
      <c r="C911" s="78">
        <f>IF('5A'!B11&lt;&gt;"",'5A'!C11,"")</f>
        <v/>
      </c>
      <c r="D911" s="78">
        <f>IF('5A'!B11&lt;&gt;"",'5A'!D11,"")</f>
        <v/>
      </c>
      <c r="E911" s="78">
        <f>IF('5A'!B11&lt;&gt;"",'5A'!E11,"")</f>
        <v/>
      </c>
      <c r="F911" s="78">
        <f>IF('5A'!B11&lt;&gt;"",'5A'!F11,"")</f>
        <v/>
      </c>
      <c r="G911" s="78">
        <f>IF('5A'!B11&lt;&gt;"",'5A'!G11,"")</f>
        <v/>
      </c>
      <c r="H911" s="97">
        <f>IF('5A'!B11&lt;&gt;"",'5A'!H11,"")</f>
        <v/>
      </c>
      <c r="I911" s="97">
        <f>IF('5A'!B11&lt;&gt;"",'5A'!I11,"")</f>
        <v/>
      </c>
      <c r="J911" s="78">
        <f>IF('5A'!B11&lt;&gt;"",'5A'!J11,"")</f>
        <v/>
      </c>
    </row>
    <row r="912" ht="15.75" customHeight="1" s="52">
      <c r="A912" s="92">
        <f>IF('5A'!B12&lt;&gt;"","5A","")</f>
        <v/>
      </c>
      <c r="B912" s="82">
        <f>IF('5A'!B12&lt;&gt;"",'5A'!B12,"")</f>
        <v/>
      </c>
      <c r="C912" s="82">
        <f>IF('5A'!B12&lt;&gt;"",'5A'!C12,"")</f>
        <v/>
      </c>
      <c r="D912" s="82">
        <f>IF('5A'!B12&lt;&gt;"",'5A'!D12,"")</f>
        <v/>
      </c>
      <c r="E912" s="82">
        <f>IF('5A'!B12&lt;&gt;"",'5A'!E12,"")</f>
        <v/>
      </c>
      <c r="F912" s="82">
        <f>IF('5A'!B12&lt;&gt;"",'5A'!F12,"")</f>
        <v/>
      </c>
      <c r="G912" s="82">
        <f>IF('5A'!B12&lt;&gt;"",'5A'!G12,"")</f>
        <v/>
      </c>
      <c r="H912" s="92">
        <f>IF('5A'!B12&lt;&gt;"",'5A'!H12,"")</f>
        <v/>
      </c>
      <c r="I912" s="92">
        <f>IF('5A'!B12&lt;&gt;"",'5A'!I12,"")</f>
        <v/>
      </c>
      <c r="J912" s="82">
        <f>IF('5A'!B12&lt;&gt;"",'5A'!J12,"")</f>
        <v/>
      </c>
    </row>
    <row r="913" ht="15.75" customHeight="1" s="52">
      <c r="A913" s="97">
        <f>IF('5A'!B13&lt;&gt;"","5A","")</f>
        <v/>
      </c>
      <c r="B913" s="78">
        <f>IF('5A'!B13&lt;&gt;"",'5A'!B13,"")</f>
        <v/>
      </c>
      <c r="C913" s="78">
        <f>IF('5A'!B13&lt;&gt;"",'5A'!C13,"")</f>
        <v/>
      </c>
      <c r="D913" s="78">
        <f>IF('5A'!B13&lt;&gt;"",'5A'!D13,"")</f>
        <v/>
      </c>
      <c r="E913" s="78">
        <f>IF('5A'!B13&lt;&gt;"",'5A'!E13,"")</f>
        <v/>
      </c>
      <c r="F913" s="78">
        <f>IF('5A'!B13&lt;&gt;"",'5A'!F13,"")</f>
        <v/>
      </c>
      <c r="G913" s="78">
        <f>IF('5A'!B13&lt;&gt;"",'5A'!G13,"")</f>
        <v/>
      </c>
      <c r="H913" s="97">
        <f>IF('5A'!B13&lt;&gt;"",'5A'!H13,"")</f>
        <v/>
      </c>
      <c r="I913" s="97">
        <f>IF('5A'!B13&lt;&gt;"",'5A'!I13,"")</f>
        <v/>
      </c>
      <c r="J913" s="78">
        <f>IF('5A'!B13&lt;&gt;"",'5A'!J13,"")</f>
        <v/>
      </c>
    </row>
    <row r="914" ht="15.75" customHeight="1" s="52">
      <c r="A914" s="92">
        <f>IF('5A'!B14&lt;&gt;"","5A","")</f>
        <v/>
      </c>
      <c r="B914" s="82">
        <f>IF('5A'!B14&lt;&gt;"",'5A'!B14,"")</f>
        <v/>
      </c>
      <c r="C914" s="82">
        <f>IF('5A'!B14&lt;&gt;"",'5A'!C14,"")</f>
        <v/>
      </c>
      <c r="D914" s="82">
        <f>IF('5A'!B14&lt;&gt;"",'5A'!D14,"")</f>
        <v/>
      </c>
      <c r="E914" s="82">
        <f>IF('5A'!B14&lt;&gt;"",'5A'!E14,"")</f>
        <v/>
      </c>
      <c r="F914" s="82">
        <f>IF('5A'!B14&lt;&gt;"",'5A'!F14,"")</f>
        <v/>
      </c>
      <c r="G914" s="82">
        <f>IF('5A'!B14&lt;&gt;"",'5A'!G14,"")</f>
        <v/>
      </c>
      <c r="H914" s="92">
        <f>IF('5A'!B14&lt;&gt;"",'5A'!H14,"")</f>
        <v/>
      </c>
      <c r="I914" s="92">
        <f>IF('5A'!B14&lt;&gt;"",'5A'!I14,"")</f>
        <v/>
      </c>
      <c r="J914" s="82">
        <f>IF('5A'!B14&lt;&gt;"",'5A'!J14,"")</f>
        <v/>
      </c>
    </row>
    <row r="915" ht="15.75" customHeight="1" s="52">
      <c r="A915" s="97">
        <f>IF('5A'!B15&lt;&gt;"","5A","")</f>
        <v/>
      </c>
      <c r="B915" s="78">
        <f>IF('5A'!B15&lt;&gt;"",'5A'!B15,"")</f>
        <v/>
      </c>
      <c r="C915" s="78">
        <f>IF('5A'!B15&lt;&gt;"",'5A'!C15,"")</f>
        <v/>
      </c>
      <c r="D915" s="78">
        <f>IF('5A'!B15&lt;&gt;"",'5A'!D15,"")</f>
        <v/>
      </c>
      <c r="E915" s="78">
        <f>IF('5A'!B15&lt;&gt;"",'5A'!E15,"")</f>
        <v/>
      </c>
      <c r="F915" s="78">
        <f>IF('5A'!B15&lt;&gt;"",'5A'!F15,"")</f>
        <v/>
      </c>
      <c r="G915" s="78">
        <f>IF('5A'!B15&lt;&gt;"",'5A'!G15,"")</f>
        <v/>
      </c>
      <c r="H915" s="97">
        <f>IF('5A'!B15&lt;&gt;"",'5A'!H15,"")</f>
        <v/>
      </c>
      <c r="I915" s="97">
        <f>IF('5A'!B15&lt;&gt;"",'5A'!I15,"")</f>
        <v/>
      </c>
      <c r="J915" s="78">
        <f>IF('5A'!B15&lt;&gt;"",'5A'!J15,"")</f>
        <v/>
      </c>
    </row>
    <row r="916" ht="15.75" customHeight="1" s="52">
      <c r="A916" s="92">
        <f>IF('5A'!B16&lt;&gt;"","5A","")</f>
        <v/>
      </c>
      <c r="B916" s="82">
        <f>IF('5A'!B16&lt;&gt;"",'5A'!B16,"")</f>
        <v/>
      </c>
      <c r="C916" s="82">
        <f>IF('5A'!B16&lt;&gt;"",'5A'!C16,"")</f>
        <v/>
      </c>
      <c r="D916" s="82">
        <f>IF('5A'!B16&lt;&gt;"",'5A'!D16,"")</f>
        <v/>
      </c>
      <c r="E916" s="82">
        <f>IF('5A'!B16&lt;&gt;"",'5A'!E16,"")</f>
        <v/>
      </c>
      <c r="F916" s="82">
        <f>IF('5A'!B16&lt;&gt;"",'5A'!F16,"")</f>
        <v/>
      </c>
      <c r="G916" s="82">
        <f>IF('5A'!B16&lt;&gt;"",'5A'!G16,"")</f>
        <v/>
      </c>
      <c r="H916" s="92">
        <f>IF('5A'!B16&lt;&gt;"",'5A'!H16,"")</f>
        <v/>
      </c>
      <c r="I916" s="92">
        <f>IF('5A'!B16&lt;&gt;"",'5A'!I16,"")</f>
        <v/>
      </c>
      <c r="J916" s="82">
        <f>IF('5A'!B16&lt;&gt;"",'5A'!J16,"")</f>
        <v/>
      </c>
    </row>
    <row r="917" ht="15.75" customHeight="1" s="52">
      <c r="A917" s="97">
        <f>IF('5A'!B17&lt;&gt;"","5A","")</f>
        <v/>
      </c>
      <c r="B917" s="78">
        <f>IF('5A'!B17&lt;&gt;"",'5A'!B17,"")</f>
        <v/>
      </c>
      <c r="C917" s="78">
        <f>IF('5A'!B17&lt;&gt;"",'5A'!C17,"")</f>
        <v/>
      </c>
      <c r="D917" s="78">
        <f>IF('5A'!B17&lt;&gt;"",'5A'!D17,"")</f>
        <v/>
      </c>
      <c r="E917" s="78">
        <f>IF('5A'!B17&lt;&gt;"",'5A'!E17,"")</f>
        <v/>
      </c>
      <c r="F917" s="78">
        <f>IF('5A'!B17&lt;&gt;"",'5A'!F17,"")</f>
        <v/>
      </c>
      <c r="G917" s="78">
        <f>IF('5A'!B17&lt;&gt;"",'5A'!G17,"")</f>
        <v/>
      </c>
      <c r="H917" s="97">
        <f>IF('5A'!B17&lt;&gt;"",'5A'!H17,"")</f>
        <v/>
      </c>
      <c r="I917" s="97">
        <f>IF('5A'!B17&lt;&gt;"",'5A'!I17,"")</f>
        <v/>
      </c>
      <c r="J917" s="78">
        <f>IF('5A'!B17&lt;&gt;"",'5A'!J17,"")</f>
        <v/>
      </c>
    </row>
    <row r="918" ht="15.75" customHeight="1" s="52">
      <c r="A918" s="92">
        <f>IF('5A'!B18&lt;&gt;"","5A","")</f>
        <v/>
      </c>
      <c r="B918" s="82">
        <f>IF('5A'!B18&lt;&gt;"",'5A'!B18,"")</f>
        <v/>
      </c>
      <c r="C918" s="82">
        <f>IF('5A'!B18&lt;&gt;"",'5A'!C18,"")</f>
        <v/>
      </c>
      <c r="D918" s="82">
        <f>IF('5A'!B18&lt;&gt;"",'5A'!D18,"")</f>
        <v/>
      </c>
      <c r="E918" s="82">
        <f>IF('5A'!B18&lt;&gt;"",'5A'!E18,"")</f>
        <v/>
      </c>
      <c r="F918" s="82">
        <f>IF('5A'!B18&lt;&gt;"",'5A'!F18,"")</f>
        <v/>
      </c>
      <c r="G918" s="82">
        <f>IF('5A'!B18&lt;&gt;"",'5A'!G18,"")</f>
        <v/>
      </c>
      <c r="H918" s="92">
        <f>IF('5A'!B18&lt;&gt;"",'5A'!H18,"")</f>
        <v/>
      </c>
      <c r="I918" s="92">
        <f>IF('5A'!B18&lt;&gt;"",'5A'!I18,"")</f>
        <v/>
      </c>
      <c r="J918" s="82">
        <f>IF('5A'!B18&lt;&gt;"",'5A'!J18,"")</f>
        <v/>
      </c>
    </row>
    <row r="919" ht="15.75" customHeight="1" s="52">
      <c r="A919" s="97">
        <f>IF('5A'!B19&lt;&gt;"","5A","")</f>
        <v/>
      </c>
      <c r="B919" s="78">
        <f>IF('5A'!B19&lt;&gt;"",'5A'!B19,"")</f>
        <v/>
      </c>
      <c r="C919" s="78">
        <f>IF('5A'!B19&lt;&gt;"",'5A'!C19,"")</f>
        <v/>
      </c>
      <c r="D919" s="78">
        <f>IF('5A'!B19&lt;&gt;"",'5A'!D19,"")</f>
        <v/>
      </c>
      <c r="E919" s="78">
        <f>IF('5A'!B19&lt;&gt;"",'5A'!E19,"")</f>
        <v/>
      </c>
      <c r="F919" s="78">
        <f>IF('5A'!B19&lt;&gt;"",'5A'!F19,"")</f>
        <v/>
      </c>
      <c r="G919" s="78">
        <f>IF('5A'!B19&lt;&gt;"",'5A'!G19,"")</f>
        <v/>
      </c>
      <c r="H919" s="97">
        <f>IF('5A'!B19&lt;&gt;"",'5A'!H19,"")</f>
        <v/>
      </c>
      <c r="I919" s="97">
        <f>IF('5A'!B19&lt;&gt;"",'5A'!I19,"")</f>
        <v/>
      </c>
      <c r="J919" s="78">
        <f>IF('5A'!B19&lt;&gt;"",'5A'!J19,"")</f>
        <v/>
      </c>
    </row>
    <row r="920" ht="15.75" customHeight="1" s="52">
      <c r="A920" s="92">
        <f>IF('5A'!B20&lt;&gt;"","5A","")</f>
        <v/>
      </c>
      <c r="B920" s="82">
        <f>IF('5A'!B20&lt;&gt;"",'5A'!B20,"")</f>
        <v/>
      </c>
      <c r="C920" s="82">
        <f>IF('5A'!B20&lt;&gt;"",'5A'!C20,"")</f>
        <v/>
      </c>
      <c r="D920" s="82">
        <f>IF('5A'!B20&lt;&gt;"",'5A'!D20,"")</f>
        <v/>
      </c>
      <c r="E920" s="82">
        <f>IF('5A'!B20&lt;&gt;"",'5A'!E20,"")</f>
        <v/>
      </c>
      <c r="F920" s="82">
        <f>IF('5A'!B20&lt;&gt;"",'5A'!F20,"")</f>
        <v/>
      </c>
      <c r="G920" s="82">
        <f>IF('5A'!B20&lt;&gt;"",'5A'!G20,"")</f>
        <v/>
      </c>
      <c r="H920" s="92">
        <f>IF('5A'!B20&lt;&gt;"",'5A'!H20,"")</f>
        <v/>
      </c>
      <c r="I920" s="92">
        <f>IF('5A'!B20&lt;&gt;"",'5A'!I20,"")</f>
        <v/>
      </c>
      <c r="J920" s="82">
        <f>IF('5A'!B20&lt;&gt;"",'5A'!J20,"")</f>
        <v/>
      </c>
    </row>
    <row r="921" ht="15.75" customHeight="1" s="52">
      <c r="A921" s="97">
        <f>IF('5A'!B21&lt;&gt;"","5A","")</f>
        <v/>
      </c>
      <c r="B921" s="78">
        <f>IF('5A'!B21&lt;&gt;"",'5A'!B21,"")</f>
        <v/>
      </c>
      <c r="C921" s="78">
        <f>IF('5A'!B21&lt;&gt;"",'5A'!C21,"")</f>
        <v/>
      </c>
      <c r="D921" s="78">
        <f>IF('5A'!B21&lt;&gt;"",'5A'!D21,"")</f>
        <v/>
      </c>
      <c r="E921" s="78">
        <f>IF('5A'!B21&lt;&gt;"",'5A'!E21,"")</f>
        <v/>
      </c>
      <c r="F921" s="78">
        <f>IF('5A'!B21&lt;&gt;"",'5A'!F21,"")</f>
        <v/>
      </c>
      <c r="G921" s="78">
        <f>IF('5A'!B21&lt;&gt;"",'5A'!G21,"")</f>
        <v/>
      </c>
      <c r="H921" s="97">
        <f>IF('5A'!B21&lt;&gt;"",'5A'!H21,"")</f>
        <v/>
      </c>
      <c r="I921" s="97">
        <f>IF('5A'!B21&lt;&gt;"",'5A'!I21,"")</f>
        <v/>
      </c>
      <c r="J921" s="78">
        <f>IF('5A'!B21&lt;&gt;"",'5A'!J21,"")</f>
        <v/>
      </c>
    </row>
    <row r="922" ht="15.75" customHeight="1" s="52">
      <c r="A922" s="92">
        <f>IF('5A'!B22&lt;&gt;"","5A","")</f>
        <v/>
      </c>
      <c r="B922" s="82">
        <f>IF('5A'!B22&lt;&gt;"",'5A'!B22,"")</f>
        <v/>
      </c>
      <c r="C922" s="82">
        <f>IF('5A'!B22&lt;&gt;"",'5A'!C22,"")</f>
        <v/>
      </c>
      <c r="D922" s="82">
        <f>IF('5A'!B22&lt;&gt;"",'5A'!D22,"")</f>
        <v/>
      </c>
      <c r="E922" s="82">
        <f>IF('5A'!B22&lt;&gt;"",'5A'!E22,"")</f>
        <v/>
      </c>
      <c r="F922" s="82">
        <f>IF('5A'!B22&lt;&gt;"",'5A'!F22,"")</f>
        <v/>
      </c>
      <c r="G922" s="82">
        <f>IF('5A'!B22&lt;&gt;"",'5A'!G22,"")</f>
        <v/>
      </c>
      <c r="H922" s="92">
        <f>IF('5A'!B22&lt;&gt;"",'5A'!H22,"")</f>
        <v/>
      </c>
      <c r="I922" s="92">
        <f>IF('5A'!B22&lt;&gt;"",'5A'!I22,"")</f>
        <v/>
      </c>
      <c r="J922" s="82">
        <f>IF('5A'!B22&lt;&gt;"",'5A'!J22,"")</f>
        <v/>
      </c>
    </row>
    <row r="923" ht="15.75" customHeight="1" s="52">
      <c r="A923" s="97">
        <f>IF('5A'!B23&lt;&gt;"","5A","")</f>
        <v/>
      </c>
      <c r="B923" s="78">
        <f>IF('5A'!B23&lt;&gt;"",'5A'!B23,"")</f>
        <v/>
      </c>
      <c r="C923" s="78">
        <f>IF('5A'!B23&lt;&gt;"",'5A'!C23,"")</f>
        <v/>
      </c>
      <c r="D923" s="78">
        <f>IF('5A'!B23&lt;&gt;"",'5A'!D23,"")</f>
        <v/>
      </c>
      <c r="E923" s="78">
        <f>IF('5A'!B23&lt;&gt;"",'5A'!E23,"")</f>
        <v/>
      </c>
      <c r="F923" s="78">
        <f>IF('5A'!B23&lt;&gt;"",'5A'!F23,"")</f>
        <v/>
      </c>
      <c r="G923" s="78">
        <f>IF('5A'!B23&lt;&gt;"",'5A'!G23,"")</f>
        <v/>
      </c>
      <c r="H923" s="97">
        <f>IF('5A'!B23&lt;&gt;"",'5A'!H23,"")</f>
        <v/>
      </c>
      <c r="I923" s="97">
        <f>IF('5A'!B23&lt;&gt;"",'5A'!I23,"")</f>
        <v/>
      </c>
      <c r="J923" s="78">
        <f>IF('5A'!B23&lt;&gt;"",'5A'!J23,"")</f>
        <v/>
      </c>
    </row>
    <row r="924" ht="15.75" customHeight="1" s="52">
      <c r="A924" s="92">
        <f>IF('5A'!B24&lt;&gt;"","5A","")</f>
        <v/>
      </c>
      <c r="B924" s="82">
        <f>IF('5A'!B24&lt;&gt;"",'5A'!B24,"")</f>
        <v/>
      </c>
      <c r="C924" s="82">
        <f>IF('5A'!B24&lt;&gt;"",'5A'!C24,"")</f>
        <v/>
      </c>
      <c r="D924" s="82">
        <f>IF('5A'!B24&lt;&gt;"",'5A'!D24,"")</f>
        <v/>
      </c>
      <c r="E924" s="82">
        <f>IF('5A'!B24&lt;&gt;"",'5A'!E24,"")</f>
        <v/>
      </c>
      <c r="F924" s="82">
        <f>IF('5A'!B24&lt;&gt;"",'5A'!F24,"")</f>
        <v/>
      </c>
      <c r="G924" s="82">
        <f>IF('5A'!B24&lt;&gt;"",'5A'!G24,"")</f>
        <v/>
      </c>
      <c r="H924" s="92">
        <f>IF('5A'!B24&lt;&gt;"",'5A'!H24,"")</f>
        <v/>
      </c>
      <c r="I924" s="92">
        <f>IF('5A'!B24&lt;&gt;"",'5A'!I24,"")</f>
        <v/>
      </c>
      <c r="J924" s="82">
        <f>IF('5A'!B24&lt;&gt;"",'5A'!J24,"")</f>
        <v/>
      </c>
    </row>
    <row r="925" ht="15.75" customHeight="1" s="52">
      <c r="A925" s="97">
        <f>IF('5A'!B25&lt;&gt;"","5A","")</f>
        <v/>
      </c>
      <c r="B925" s="78">
        <f>IF('5A'!B25&lt;&gt;"",'5A'!B25,"")</f>
        <v/>
      </c>
      <c r="C925" s="78">
        <f>IF('5A'!B25&lt;&gt;"",'5A'!C25,"")</f>
        <v/>
      </c>
      <c r="D925" s="78">
        <f>IF('5A'!B25&lt;&gt;"",'5A'!D25,"")</f>
        <v/>
      </c>
      <c r="E925" s="78">
        <f>IF('5A'!B25&lt;&gt;"",'5A'!E25,"")</f>
        <v/>
      </c>
      <c r="F925" s="78">
        <f>IF('5A'!B25&lt;&gt;"",'5A'!F25,"")</f>
        <v/>
      </c>
      <c r="G925" s="78">
        <f>IF('5A'!B25&lt;&gt;"",'5A'!G25,"")</f>
        <v/>
      </c>
      <c r="H925" s="97">
        <f>IF('5A'!B25&lt;&gt;"",'5A'!H25,"")</f>
        <v/>
      </c>
      <c r="I925" s="97">
        <f>IF('5A'!B25&lt;&gt;"",'5A'!I25,"")</f>
        <v/>
      </c>
      <c r="J925" s="78">
        <f>IF('5A'!B25&lt;&gt;"",'5A'!J25,"")</f>
        <v/>
      </c>
    </row>
    <row r="926" ht="15.75" customHeight="1" s="52">
      <c r="A926" s="92">
        <f>IF('5A'!B26&lt;&gt;"","5A","")</f>
        <v/>
      </c>
      <c r="B926" s="82">
        <f>IF('5A'!B26&lt;&gt;"",'5A'!B26,"")</f>
        <v/>
      </c>
      <c r="C926" s="82">
        <f>IF('5A'!B26&lt;&gt;"",'5A'!C26,"")</f>
        <v/>
      </c>
      <c r="D926" s="82">
        <f>IF('5A'!B26&lt;&gt;"",'5A'!D26,"")</f>
        <v/>
      </c>
      <c r="E926" s="82">
        <f>IF('5A'!B26&lt;&gt;"",'5A'!E26,"")</f>
        <v/>
      </c>
      <c r="F926" s="82">
        <f>IF('5A'!B26&lt;&gt;"",'5A'!F26,"")</f>
        <v/>
      </c>
      <c r="G926" s="82">
        <f>IF('5A'!B26&lt;&gt;"",'5A'!G26,"")</f>
        <v/>
      </c>
      <c r="H926" s="92">
        <f>IF('5A'!B26&lt;&gt;"",'5A'!H26,"")</f>
        <v/>
      </c>
      <c r="I926" s="92">
        <f>IF('5A'!B26&lt;&gt;"",'5A'!I26,"")</f>
        <v/>
      </c>
      <c r="J926" s="82">
        <f>IF('5A'!B26&lt;&gt;"",'5A'!J26,"")</f>
        <v/>
      </c>
    </row>
    <row r="927" ht="15.75" customHeight="1" s="52">
      <c r="A927" s="97">
        <f>IF('5A'!B27&lt;&gt;"","5A","")</f>
        <v/>
      </c>
      <c r="B927" s="78">
        <f>IF('5A'!B27&lt;&gt;"",'5A'!B27,"")</f>
        <v/>
      </c>
      <c r="C927" s="78">
        <f>IF('5A'!B27&lt;&gt;"",'5A'!C27,"")</f>
        <v/>
      </c>
      <c r="D927" s="78">
        <f>IF('5A'!B27&lt;&gt;"",'5A'!D27,"")</f>
        <v/>
      </c>
      <c r="E927" s="78">
        <f>IF('5A'!B27&lt;&gt;"",'5A'!E27,"")</f>
        <v/>
      </c>
      <c r="F927" s="78">
        <f>IF('5A'!B27&lt;&gt;"",'5A'!F27,"")</f>
        <v/>
      </c>
      <c r="G927" s="78">
        <f>IF('5A'!B27&lt;&gt;"",'5A'!G27,"")</f>
        <v/>
      </c>
      <c r="H927" s="97">
        <f>IF('5A'!B27&lt;&gt;"",'5A'!H27,"")</f>
        <v/>
      </c>
      <c r="I927" s="97">
        <f>IF('5A'!B27&lt;&gt;"",'5A'!I27,"")</f>
        <v/>
      </c>
      <c r="J927" s="78">
        <f>IF('5A'!B27&lt;&gt;"",'5A'!J27,"")</f>
        <v/>
      </c>
    </row>
    <row r="928" ht="15.75" customHeight="1" s="52">
      <c r="A928" s="92">
        <f>IF('5A'!B28&lt;&gt;"","5A","")</f>
        <v/>
      </c>
      <c r="B928" s="82">
        <f>IF('5A'!B28&lt;&gt;"",'5A'!B28,"")</f>
        <v/>
      </c>
      <c r="C928" s="82">
        <f>IF('5A'!B28&lt;&gt;"",'5A'!C28,"")</f>
        <v/>
      </c>
      <c r="D928" s="82">
        <f>IF('5A'!B28&lt;&gt;"",'5A'!D28,"")</f>
        <v/>
      </c>
      <c r="E928" s="82">
        <f>IF('5A'!B28&lt;&gt;"",'5A'!E28,"")</f>
        <v/>
      </c>
      <c r="F928" s="82">
        <f>IF('5A'!B28&lt;&gt;"",'5A'!F28,"")</f>
        <v/>
      </c>
      <c r="G928" s="82">
        <f>IF('5A'!B28&lt;&gt;"",'5A'!G28,"")</f>
        <v/>
      </c>
      <c r="H928" s="92">
        <f>IF('5A'!B28&lt;&gt;"",'5A'!H28,"")</f>
        <v/>
      </c>
      <c r="I928" s="92">
        <f>IF('5A'!B28&lt;&gt;"",'5A'!I28,"")</f>
        <v/>
      </c>
      <c r="J928" s="82">
        <f>IF('5A'!B28&lt;&gt;"",'5A'!J28,"")</f>
        <v/>
      </c>
    </row>
    <row r="929" ht="15.75" customHeight="1" s="52">
      <c r="A929" s="97">
        <f>IF('5A'!B29&lt;&gt;"","5A","")</f>
        <v/>
      </c>
      <c r="B929" s="78">
        <f>IF('5A'!B29&lt;&gt;"",'5A'!B29,"")</f>
        <v/>
      </c>
      <c r="C929" s="78">
        <f>IF('5A'!B29&lt;&gt;"",'5A'!C29,"")</f>
        <v/>
      </c>
      <c r="D929" s="78">
        <f>IF('5A'!B29&lt;&gt;"",'5A'!D29,"")</f>
        <v/>
      </c>
      <c r="E929" s="78">
        <f>IF('5A'!B29&lt;&gt;"",'5A'!E29,"")</f>
        <v/>
      </c>
      <c r="F929" s="78">
        <f>IF('5A'!B29&lt;&gt;"",'5A'!F29,"")</f>
        <v/>
      </c>
      <c r="G929" s="78">
        <f>IF('5A'!B29&lt;&gt;"",'5A'!G29,"")</f>
        <v/>
      </c>
      <c r="H929" s="97">
        <f>IF('5A'!B29&lt;&gt;"",'5A'!H29,"")</f>
        <v/>
      </c>
      <c r="I929" s="97">
        <f>IF('5A'!B29&lt;&gt;"",'5A'!I29,"")</f>
        <v/>
      </c>
      <c r="J929" s="78">
        <f>IF('5A'!B29&lt;&gt;"",'5A'!J29,"")</f>
        <v/>
      </c>
    </row>
    <row r="930" ht="15.75" customHeight="1" s="52">
      <c r="A930" s="92">
        <f>IF('5A'!B30&lt;&gt;"","5A","")</f>
        <v/>
      </c>
      <c r="B930" s="82">
        <f>IF('5A'!B30&lt;&gt;"",'5A'!B30,"")</f>
        <v/>
      </c>
      <c r="C930" s="82">
        <f>IF('5A'!B30&lt;&gt;"",'5A'!C30,"")</f>
        <v/>
      </c>
      <c r="D930" s="82">
        <f>IF('5A'!B30&lt;&gt;"",'5A'!D30,"")</f>
        <v/>
      </c>
      <c r="E930" s="82">
        <f>IF('5A'!B30&lt;&gt;"",'5A'!E30,"")</f>
        <v/>
      </c>
      <c r="F930" s="82">
        <f>IF('5A'!B30&lt;&gt;"",'5A'!F30,"")</f>
        <v/>
      </c>
      <c r="G930" s="82">
        <f>IF('5A'!B30&lt;&gt;"",'5A'!G30,"")</f>
        <v/>
      </c>
      <c r="H930" s="92">
        <f>IF('5A'!B30&lt;&gt;"",'5A'!H30,"")</f>
        <v/>
      </c>
      <c r="I930" s="92">
        <f>IF('5A'!B30&lt;&gt;"",'5A'!I30,"")</f>
        <v/>
      </c>
      <c r="J930" s="82">
        <f>IF('5A'!B30&lt;&gt;"",'5A'!J30,"")</f>
        <v/>
      </c>
    </row>
    <row r="931" ht="15.75" customHeight="1" s="52">
      <c r="A931" s="97">
        <f>IF('5A'!B31&lt;&gt;"","5A","")</f>
        <v/>
      </c>
      <c r="B931" s="78">
        <f>IF('5A'!B31&lt;&gt;"",'5A'!B31,"")</f>
        <v/>
      </c>
      <c r="C931" s="78">
        <f>IF('5A'!B31&lt;&gt;"",'5A'!C31,"")</f>
        <v/>
      </c>
      <c r="D931" s="78">
        <f>IF('5A'!B31&lt;&gt;"",'5A'!D31,"")</f>
        <v/>
      </c>
      <c r="E931" s="78">
        <f>IF('5A'!B31&lt;&gt;"",'5A'!E31,"")</f>
        <v/>
      </c>
      <c r="F931" s="78">
        <f>IF('5A'!B31&lt;&gt;"",'5A'!F31,"")</f>
        <v/>
      </c>
      <c r="G931" s="78">
        <f>IF('5A'!B31&lt;&gt;"",'5A'!G31,"")</f>
        <v/>
      </c>
      <c r="H931" s="97">
        <f>IF('5A'!B31&lt;&gt;"",'5A'!H31,"")</f>
        <v/>
      </c>
      <c r="I931" s="97">
        <f>IF('5A'!B31&lt;&gt;"",'5A'!I31,"")</f>
        <v/>
      </c>
      <c r="J931" s="78">
        <f>IF('5A'!B31&lt;&gt;"",'5A'!J31,"")</f>
        <v/>
      </c>
    </row>
    <row r="932" ht="15.75" customHeight="1" s="52">
      <c r="A932" s="92">
        <f>IF('5A'!B32&lt;&gt;"","5A","")</f>
        <v/>
      </c>
      <c r="B932" s="82">
        <f>IF('5A'!B32&lt;&gt;"",'5A'!B32,"")</f>
        <v/>
      </c>
      <c r="C932" s="82">
        <f>IF('5A'!B32&lt;&gt;"",'5A'!C32,"")</f>
        <v/>
      </c>
      <c r="D932" s="82">
        <f>IF('5A'!B32&lt;&gt;"",'5A'!D32,"")</f>
        <v/>
      </c>
      <c r="E932" s="82">
        <f>IF('5A'!B32&lt;&gt;"",'5A'!E32,"")</f>
        <v/>
      </c>
      <c r="F932" s="82">
        <f>IF('5A'!B32&lt;&gt;"",'5A'!F32,"")</f>
        <v/>
      </c>
      <c r="G932" s="82">
        <f>IF('5A'!B32&lt;&gt;"",'5A'!G32,"")</f>
        <v/>
      </c>
      <c r="H932" s="92">
        <f>IF('5A'!B32&lt;&gt;"",'5A'!H32,"")</f>
        <v/>
      </c>
      <c r="I932" s="92">
        <f>IF('5A'!B32&lt;&gt;"",'5A'!I32,"")</f>
        <v/>
      </c>
      <c r="J932" s="82">
        <f>IF('5A'!B32&lt;&gt;"",'5A'!J32,"")</f>
        <v/>
      </c>
    </row>
    <row r="933" ht="15.75" customHeight="1" s="52">
      <c r="A933" s="97">
        <f>IF('5A'!B33&lt;&gt;"","5A","")</f>
        <v/>
      </c>
      <c r="B933" s="78">
        <f>IF('5A'!B33&lt;&gt;"",'5A'!B33,"")</f>
        <v/>
      </c>
      <c r="C933" s="78">
        <f>IF('5A'!B33&lt;&gt;"",'5A'!C33,"")</f>
        <v/>
      </c>
      <c r="D933" s="78">
        <f>IF('5A'!B33&lt;&gt;"",'5A'!D33,"")</f>
        <v/>
      </c>
      <c r="E933" s="78">
        <f>IF('5A'!B33&lt;&gt;"",'5A'!E33,"")</f>
        <v/>
      </c>
      <c r="F933" s="78">
        <f>IF('5A'!B33&lt;&gt;"",'5A'!F33,"")</f>
        <v/>
      </c>
      <c r="G933" s="78">
        <f>IF('5A'!B33&lt;&gt;"",'5A'!G33,"")</f>
        <v/>
      </c>
      <c r="H933" s="97">
        <f>IF('5A'!B33&lt;&gt;"",'5A'!H33,"")</f>
        <v/>
      </c>
      <c r="I933" s="97">
        <f>IF('5A'!B33&lt;&gt;"",'5A'!I33,"")</f>
        <v/>
      </c>
      <c r="J933" s="78">
        <f>IF('5A'!B33&lt;&gt;"",'5A'!J33,"")</f>
        <v/>
      </c>
    </row>
    <row r="934" ht="15.75" customHeight="1" s="52">
      <c r="A934" s="92">
        <f>IF('5A'!B34&lt;&gt;"","5A","")</f>
        <v/>
      </c>
      <c r="B934" s="82">
        <f>IF('5A'!B34&lt;&gt;"",'5A'!B34,"")</f>
        <v/>
      </c>
      <c r="C934" s="82">
        <f>IF('5A'!B34&lt;&gt;"",'5A'!C34,"")</f>
        <v/>
      </c>
      <c r="D934" s="82">
        <f>IF('5A'!B34&lt;&gt;"",'5A'!D34,"")</f>
        <v/>
      </c>
      <c r="E934" s="82">
        <f>IF('5A'!B34&lt;&gt;"",'5A'!E34,"")</f>
        <v/>
      </c>
      <c r="F934" s="82">
        <f>IF('5A'!B34&lt;&gt;"",'5A'!F34,"")</f>
        <v/>
      </c>
      <c r="G934" s="82">
        <f>IF('5A'!B34&lt;&gt;"",'5A'!G34,"")</f>
        <v/>
      </c>
      <c r="H934" s="92">
        <f>IF('5A'!B34&lt;&gt;"",'5A'!H34,"")</f>
        <v/>
      </c>
      <c r="I934" s="92">
        <f>IF('5A'!B34&lt;&gt;"",'5A'!I34,"")</f>
        <v/>
      </c>
      <c r="J934" s="82">
        <f>IF('5A'!B34&lt;&gt;"",'5A'!J34,"")</f>
        <v/>
      </c>
    </row>
    <row r="935" ht="15.75" customHeight="1" s="52">
      <c r="A935" s="97">
        <f>IF('5A'!B35&lt;&gt;"","5A","")</f>
        <v/>
      </c>
      <c r="B935" s="78">
        <f>IF('5A'!B35&lt;&gt;"",'5A'!B35,"")</f>
        <v/>
      </c>
      <c r="C935" s="78">
        <f>IF('5A'!B35&lt;&gt;"",'5A'!C35,"")</f>
        <v/>
      </c>
      <c r="D935" s="78">
        <f>IF('5A'!B35&lt;&gt;"",'5A'!D35,"")</f>
        <v/>
      </c>
      <c r="E935" s="78">
        <f>IF('5A'!B35&lt;&gt;"",'5A'!E35,"")</f>
        <v/>
      </c>
      <c r="F935" s="78">
        <f>IF('5A'!B35&lt;&gt;"",'5A'!F35,"")</f>
        <v/>
      </c>
      <c r="G935" s="78">
        <f>IF('5A'!B35&lt;&gt;"",'5A'!G35,"")</f>
        <v/>
      </c>
      <c r="H935" s="97">
        <f>IF('5A'!B35&lt;&gt;"",'5A'!H35,"")</f>
        <v/>
      </c>
      <c r="I935" s="97">
        <f>IF('5A'!B35&lt;&gt;"",'5A'!I35,"")</f>
        <v/>
      </c>
      <c r="J935" s="78">
        <f>IF('5A'!B35&lt;&gt;"",'5A'!J35,"")</f>
        <v/>
      </c>
    </row>
    <row r="936" ht="15.75" customHeight="1" s="52">
      <c r="A936" s="92">
        <f>IF('5A'!B36&lt;&gt;"","5A","")</f>
        <v/>
      </c>
      <c r="B936" s="82">
        <f>IF('5A'!B36&lt;&gt;"",'5A'!B36,"")</f>
        <v/>
      </c>
      <c r="C936" s="82">
        <f>IF('5A'!B36&lt;&gt;"",'5A'!C36,"")</f>
        <v/>
      </c>
      <c r="D936" s="82">
        <f>IF('5A'!B36&lt;&gt;"",'5A'!D36,"")</f>
        <v/>
      </c>
      <c r="E936" s="82">
        <f>IF('5A'!B36&lt;&gt;"",'5A'!E36,"")</f>
        <v/>
      </c>
      <c r="F936" s="82">
        <f>IF('5A'!B36&lt;&gt;"",'5A'!F36,"")</f>
        <v/>
      </c>
      <c r="G936" s="82">
        <f>IF('5A'!B36&lt;&gt;"",'5A'!G36,"")</f>
        <v/>
      </c>
      <c r="H936" s="92">
        <f>IF('5A'!B36&lt;&gt;"",'5A'!H36,"")</f>
        <v/>
      </c>
      <c r="I936" s="92">
        <f>IF('5A'!B36&lt;&gt;"",'5A'!I36,"")</f>
        <v/>
      </c>
      <c r="J936" s="82">
        <f>IF('5A'!B36&lt;&gt;"",'5A'!J36,"")</f>
        <v/>
      </c>
    </row>
    <row r="937" ht="15.75" customHeight="1" s="52">
      <c r="A937" s="97">
        <f>IF('5A'!B37&lt;&gt;"","5A","")</f>
        <v/>
      </c>
      <c r="B937" s="78">
        <f>IF('5A'!B37&lt;&gt;"",'5A'!B37,"")</f>
        <v/>
      </c>
      <c r="C937" s="78">
        <f>IF('5A'!B37&lt;&gt;"",'5A'!C37,"")</f>
        <v/>
      </c>
      <c r="D937" s="78">
        <f>IF('5A'!B37&lt;&gt;"",'5A'!D37,"")</f>
        <v/>
      </c>
      <c r="E937" s="78">
        <f>IF('5A'!B37&lt;&gt;"",'5A'!E37,"")</f>
        <v/>
      </c>
      <c r="F937" s="78">
        <f>IF('5A'!B37&lt;&gt;"",'5A'!F37,"")</f>
        <v/>
      </c>
      <c r="G937" s="78">
        <f>IF('5A'!B37&lt;&gt;"",'5A'!G37,"")</f>
        <v/>
      </c>
      <c r="H937" s="97">
        <f>IF('5A'!B37&lt;&gt;"",'5A'!H37,"")</f>
        <v/>
      </c>
      <c r="I937" s="97">
        <f>IF('5A'!B37&lt;&gt;"",'5A'!I37,"")</f>
        <v/>
      </c>
      <c r="J937" s="78">
        <f>IF('5A'!B37&lt;&gt;"",'5A'!J37,"")</f>
        <v/>
      </c>
    </row>
    <row r="938" ht="15.75" customHeight="1" s="52">
      <c r="A938" s="92">
        <f>IF('5A'!B38&lt;&gt;"","5A","")</f>
        <v/>
      </c>
      <c r="B938" s="82">
        <f>IF('5A'!B38&lt;&gt;"",'5A'!B38,"")</f>
        <v/>
      </c>
      <c r="C938" s="82">
        <f>IF('5A'!B38&lt;&gt;"",'5A'!C38,"")</f>
        <v/>
      </c>
      <c r="D938" s="82">
        <f>IF('5A'!B38&lt;&gt;"",'5A'!D38,"")</f>
        <v/>
      </c>
      <c r="E938" s="82">
        <f>IF('5A'!B38&lt;&gt;"",'5A'!E38,"")</f>
        <v/>
      </c>
      <c r="F938" s="82">
        <f>IF('5A'!B38&lt;&gt;"",'5A'!F38,"")</f>
        <v/>
      </c>
      <c r="G938" s="82">
        <f>IF('5A'!B38&lt;&gt;"",'5A'!G38,"")</f>
        <v/>
      </c>
      <c r="H938" s="92">
        <f>IF('5A'!B38&lt;&gt;"",'5A'!H38,"")</f>
        <v/>
      </c>
      <c r="I938" s="92">
        <f>IF('5A'!B38&lt;&gt;"",'5A'!I38,"")</f>
        <v/>
      </c>
      <c r="J938" s="82">
        <f>IF('5A'!B38&lt;&gt;"",'5A'!J38,"")</f>
        <v/>
      </c>
    </row>
    <row r="939" ht="15.75" customHeight="1" s="52">
      <c r="A939" s="97">
        <f>IF('5A'!B39&lt;&gt;"","5A","")</f>
        <v/>
      </c>
      <c r="B939" s="78">
        <f>IF('5A'!B39&lt;&gt;"",'5A'!B39,"")</f>
        <v/>
      </c>
      <c r="C939" s="78">
        <f>IF('5A'!B39&lt;&gt;"",'5A'!C39,"")</f>
        <v/>
      </c>
      <c r="D939" s="78">
        <f>IF('5A'!B39&lt;&gt;"",'5A'!D39,"")</f>
        <v/>
      </c>
      <c r="E939" s="78">
        <f>IF('5A'!B39&lt;&gt;"",'5A'!E39,"")</f>
        <v/>
      </c>
      <c r="F939" s="78">
        <f>IF('5A'!B39&lt;&gt;"",'5A'!F39,"")</f>
        <v/>
      </c>
      <c r="G939" s="78">
        <f>IF('5A'!B39&lt;&gt;"",'5A'!G39,"")</f>
        <v/>
      </c>
      <c r="H939" s="97">
        <f>IF('5A'!B39&lt;&gt;"",'5A'!H39,"")</f>
        <v/>
      </c>
      <c r="I939" s="97">
        <f>IF('5A'!B39&lt;&gt;"",'5A'!I39,"")</f>
        <v/>
      </c>
      <c r="J939" s="78">
        <f>IF('5A'!B39&lt;&gt;"",'5A'!J39,"")</f>
        <v/>
      </c>
    </row>
    <row r="940" ht="15.75" customHeight="1" s="52">
      <c r="A940" s="92">
        <f>IF('5A'!B40&lt;&gt;"","5A","")</f>
        <v/>
      </c>
      <c r="B940" s="82">
        <f>IF('5A'!B40&lt;&gt;"",'5A'!B40,"")</f>
        <v/>
      </c>
      <c r="C940" s="82">
        <f>IF('5A'!B40&lt;&gt;"",'5A'!C40,"")</f>
        <v/>
      </c>
      <c r="D940" s="82">
        <f>IF('5A'!B40&lt;&gt;"",'5A'!D40,"")</f>
        <v/>
      </c>
      <c r="E940" s="82">
        <f>IF('5A'!B40&lt;&gt;"",'5A'!E40,"")</f>
        <v/>
      </c>
      <c r="F940" s="82">
        <f>IF('5A'!B40&lt;&gt;"",'5A'!F40,"")</f>
        <v/>
      </c>
      <c r="G940" s="82">
        <f>IF('5A'!B40&lt;&gt;"",'5A'!G40,"")</f>
        <v/>
      </c>
      <c r="H940" s="92">
        <f>IF('5A'!B40&lt;&gt;"",'5A'!H40,"")</f>
        <v/>
      </c>
      <c r="I940" s="92">
        <f>IF('5A'!B40&lt;&gt;"",'5A'!I40,"")</f>
        <v/>
      </c>
      <c r="J940" s="82">
        <f>IF('5A'!B40&lt;&gt;"",'5A'!J40,"")</f>
        <v/>
      </c>
    </row>
    <row r="941" ht="15.75" customHeight="1" s="52">
      <c r="A941" s="97">
        <f>IF('5A'!B41&lt;&gt;"","5A","")</f>
        <v/>
      </c>
      <c r="B941" s="78">
        <f>IF('5A'!B41&lt;&gt;"",'5A'!B41,"")</f>
        <v/>
      </c>
      <c r="C941" s="78">
        <f>IF('5A'!B41&lt;&gt;"",'5A'!C41,"")</f>
        <v/>
      </c>
      <c r="D941" s="78">
        <f>IF('5A'!B41&lt;&gt;"",'5A'!D41,"")</f>
        <v/>
      </c>
      <c r="E941" s="78">
        <f>IF('5A'!B41&lt;&gt;"",'5A'!E41,"")</f>
        <v/>
      </c>
      <c r="F941" s="78">
        <f>IF('5A'!B41&lt;&gt;"",'5A'!F41,"")</f>
        <v/>
      </c>
      <c r="G941" s="78">
        <f>IF('5A'!B41&lt;&gt;"",'5A'!G41,"")</f>
        <v/>
      </c>
      <c r="H941" s="97">
        <f>IF('5A'!B41&lt;&gt;"",'5A'!H41,"")</f>
        <v/>
      </c>
      <c r="I941" s="97">
        <f>IF('5A'!B41&lt;&gt;"",'5A'!I41,"")</f>
        <v/>
      </c>
      <c r="J941" s="78">
        <f>IF('5A'!B41&lt;&gt;"",'5A'!J41,"")</f>
        <v/>
      </c>
    </row>
    <row r="942" ht="15.75" customHeight="1" s="52">
      <c r="A942" s="92">
        <f>IF('5A'!B42&lt;&gt;"","5A","")</f>
        <v/>
      </c>
      <c r="B942" s="82">
        <f>IF('5A'!B42&lt;&gt;"",'5A'!B42,"")</f>
        <v/>
      </c>
      <c r="C942" s="82">
        <f>IF('5A'!B42&lt;&gt;"",'5A'!C42,"")</f>
        <v/>
      </c>
      <c r="D942" s="82">
        <f>IF('5A'!B42&lt;&gt;"",'5A'!D42,"")</f>
        <v/>
      </c>
      <c r="E942" s="82">
        <f>IF('5A'!B42&lt;&gt;"",'5A'!E42,"")</f>
        <v/>
      </c>
      <c r="F942" s="82">
        <f>IF('5A'!B42&lt;&gt;"",'5A'!F42,"")</f>
        <v/>
      </c>
      <c r="G942" s="82">
        <f>IF('5A'!B42&lt;&gt;"",'5A'!G42,"")</f>
        <v/>
      </c>
      <c r="H942" s="92">
        <f>IF('5A'!B42&lt;&gt;"",'5A'!H42,"")</f>
        <v/>
      </c>
      <c r="I942" s="92">
        <f>IF('5A'!B42&lt;&gt;"",'5A'!I42,"")</f>
        <v/>
      </c>
      <c r="J942" s="82">
        <f>IF('5A'!B42&lt;&gt;"",'5A'!J42,"")</f>
        <v/>
      </c>
    </row>
    <row r="943" ht="15.75" customHeight="1" s="52">
      <c r="A943" s="97">
        <f>IF('5A'!B43&lt;&gt;"","5A","")</f>
        <v/>
      </c>
      <c r="B943" s="78">
        <f>IF('5A'!B43&lt;&gt;"",'5A'!B43,"")</f>
        <v/>
      </c>
      <c r="C943" s="78">
        <f>IF('5A'!B43&lt;&gt;"",'5A'!C43,"")</f>
        <v/>
      </c>
      <c r="D943" s="78">
        <f>IF('5A'!B43&lt;&gt;"",'5A'!D43,"")</f>
        <v/>
      </c>
      <c r="E943" s="78">
        <f>IF('5A'!B43&lt;&gt;"",'5A'!E43,"")</f>
        <v/>
      </c>
      <c r="F943" s="78">
        <f>IF('5A'!B43&lt;&gt;"",'5A'!F43,"")</f>
        <v/>
      </c>
      <c r="G943" s="78">
        <f>IF('5A'!B43&lt;&gt;"",'5A'!G43,"")</f>
        <v/>
      </c>
      <c r="H943" s="97">
        <f>IF('5A'!B43&lt;&gt;"",'5A'!H43,"")</f>
        <v/>
      </c>
      <c r="I943" s="97">
        <f>IF('5A'!B43&lt;&gt;"",'5A'!I43,"")</f>
        <v/>
      </c>
      <c r="J943" s="78">
        <f>IF('5A'!B43&lt;&gt;"",'5A'!J43,"")</f>
        <v/>
      </c>
    </row>
    <row r="944" ht="15.75" customHeight="1" s="52">
      <c r="A944" s="92">
        <f>IF('5A'!B44&lt;&gt;"","5A","")</f>
        <v/>
      </c>
      <c r="B944" s="82">
        <f>IF('5A'!B44&lt;&gt;"",'5A'!B44,"")</f>
        <v/>
      </c>
      <c r="C944" s="82">
        <f>IF('5A'!B44&lt;&gt;"",'5A'!C44,"")</f>
        <v/>
      </c>
      <c r="D944" s="82">
        <f>IF('5A'!B44&lt;&gt;"",'5A'!D44,"")</f>
        <v/>
      </c>
      <c r="E944" s="82">
        <f>IF('5A'!B44&lt;&gt;"",'5A'!E44,"")</f>
        <v/>
      </c>
      <c r="F944" s="82">
        <f>IF('5A'!B44&lt;&gt;"",'5A'!F44,"")</f>
        <v/>
      </c>
      <c r="G944" s="82">
        <f>IF('5A'!B44&lt;&gt;"",'5A'!G44,"")</f>
        <v/>
      </c>
      <c r="H944" s="92">
        <f>IF('5A'!B44&lt;&gt;"",'5A'!H44,"")</f>
        <v/>
      </c>
      <c r="I944" s="92">
        <f>IF('5A'!B44&lt;&gt;"",'5A'!I44,"")</f>
        <v/>
      </c>
      <c r="J944" s="82">
        <f>IF('5A'!B44&lt;&gt;"",'5A'!J44,"")</f>
        <v/>
      </c>
    </row>
    <row r="945" ht="15.75" customHeight="1" s="52">
      <c r="A945" s="97">
        <f>IF('5A'!B45&lt;&gt;"","5A","")</f>
        <v/>
      </c>
      <c r="B945" s="78">
        <f>IF('5A'!B45&lt;&gt;"",'5A'!B45,"")</f>
        <v/>
      </c>
      <c r="C945" s="78">
        <f>IF('5A'!B45&lt;&gt;"",'5A'!C45,"")</f>
        <v/>
      </c>
      <c r="D945" s="78">
        <f>IF('5A'!B45&lt;&gt;"",'5A'!D45,"")</f>
        <v/>
      </c>
      <c r="E945" s="78">
        <f>IF('5A'!B45&lt;&gt;"",'5A'!E45,"")</f>
        <v/>
      </c>
      <c r="F945" s="78">
        <f>IF('5A'!B45&lt;&gt;"",'5A'!F45,"")</f>
        <v/>
      </c>
      <c r="G945" s="78">
        <f>IF('5A'!B45&lt;&gt;"",'5A'!G45,"")</f>
        <v/>
      </c>
      <c r="H945" s="97">
        <f>IF('5A'!B45&lt;&gt;"",'5A'!H45,"")</f>
        <v/>
      </c>
      <c r="I945" s="97">
        <f>IF('5A'!B45&lt;&gt;"",'5A'!I45,"")</f>
        <v/>
      </c>
      <c r="J945" s="78">
        <f>IF('5A'!B45&lt;&gt;"",'5A'!J45,"")</f>
        <v/>
      </c>
    </row>
    <row r="946" ht="15.75" customHeight="1" s="52">
      <c r="A946" s="92">
        <f>IF('5A'!B46&lt;&gt;"","5A","")</f>
        <v/>
      </c>
      <c r="B946" s="82">
        <f>IF('5A'!B46&lt;&gt;"",'5A'!B46,"")</f>
        <v/>
      </c>
      <c r="C946" s="82">
        <f>IF('5A'!B46&lt;&gt;"",'5A'!C46,"")</f>
        <v/>
      </c>
      <c r="D946" s="82">
        <f>IF('5A'!B46&lt;&gt;"",'5A'!D46,"")</f>
        <v/>
      </c>
      <c r="E946" s="82">
        <f>IF('5A'!B46&lt;&gt;"",'5A'!E46,"")</f>
        <v/>
      </c>
      <c r="F946" s="82">
        <f>IF('5A'!B46&lt;&gt;"",'5A'!F46,"")</f>
        <v/>
      </c>
      <c r="G946" s="82">
        <f>IF('5A'!B46&lt;&gt;"",'5A'!G46,"")</f>
        <v/>
      </c>
      <c r="H946" s="92">
        <f>IF('5A'!B46&lt;&gt;"",'5A'!H46,"")</f>
        <v/>
      </c>
      <c r="I946" s="92">
        <f>IF('5A'!B46&lt;&gt;"",'5A'!I46,"")</f>
        <v/>
      </c>
      <c r="J946" s="82">
        <f>IF('5A'!B46&lt;&gt;"",'5A'!J46,"")</f>
        <v/>
      </c>
    </row>
    <row r="947" ht="15.75" customHeight="1" s="52">
      <c r="A947" s="97">
        <f>IF('5A'!B47&lt;&gt;"","5A","")</f>
        <v/>
      </c>
      <c r="B947" s="78">
        <f>IF('5A'!B47&lt;&gt;"",'5A'!B47,"")</f>
        <v/>
      </c>
      <c r="C947" s="78">
        <f>IF('5A'!B47&lt;&gt;"",'5A'!C47,"")</f>
        <v/>
      </c>
      <c r="D947" s="78">
        <f>IF('5A'!B47&lt;&gt;"",'5A'!D47,"")</f>
        <v/>
      </c>
      <c r="E947" s="78">
        <f>IF('5A'!B47&lt;&gt;"",'5A'!E47,"")</f>
        <v/>
      </c>
      <c r="F947" s="78">
        <f>IF('5A'!B47&lt;&gt;"",'5A'!F47,"")</f>
        <v/>
      </c>
      <c r="G947" s="78">
        <f>IF('5A'!B47&lt;&gt;"",'5A'!G47,"")</f>
        <v/>
      </c>
      <c r="H947" s="97">
        <f>IF('5A'!B47&lt;&gt;"",'5A'!H47,"")</f>
        <v/>
      </c>
      <c r="I947" s="97">
        <f>IF('5A'!B47&lt;&gt;"",'5A'!I47,"")</f>
        <v/>
      </c>
      <c r="J947" s="78">
        <f>IF('5A'!B47&lt;&gt;"",'5A'!J47,"")</f>
        <v/>
      </c>
    </row>
    <row r="948" ht="15.75" customHeight="1" s="52">
      <c r="A948" s="92">
        <f>IF('5A'!B48&lt;&gt;"","5A","")</f>
        <v/>
      </c>
      <c r="B948" s="82">
        <f>IF('5A'!B48&lt;&gt;"",'5A'!B48,"")</f>
        <v/>
      </c>
      <c r="C948" s="82">
        <f>IF('5A'!B48&lt;&gt;"",'5A'!C48,"")</f>
        <v/>
      </c>
      <c r="D948" s="82">
        <f>IF('5A'!B48&lt;&gt;"",'5A'!D48,"")</f>
        <v/>
      </c>
      <c r="E948" s="82">
        <f>IF('5A'!B48&lt;&gt;"",'5A'!E48,"")</f>
        <v/>
      </c>
      <c r="F948" s="82">
        <f>IF('5A'!B48&lt;&gt;"",'5A'!F48,"")</f>
        <v/>
      </c>
      <c r="G948" s="82">
        <f>IF('5A'!B48&lt;&gt;"",'5A'!G48,"")</f>
        <v/>
      </c>
      <c r="H948" s="92">
        <f>IF('5A'!B48&lt;&gt;"",'5A'!H48,"")</f>
        <v/>
      </c>
      <c r="I948" s="92">
        <f>IF('5A'!B48&lt;&gt;"",'5A'!I48,"")</f>
        <v/>
      </c>
      <c r="J948" s="82">
        <f>IF('5A'!B48&lt;&gt;"",'5A'!J48,"")</f>
        <v/>
      </c>
    </row>
    <row r="949" ht="15.75" customHeight="1" s="52">
      <c r="A949" s="97">
        <f>IF('5A'!B49&lt;&gt;"","5A","")</f>
        <v/>
      </c>
      <c r="B949" s="78">
        <f>IF('5A'!B49&lt;&gt;"",'5A'!B49,"")</f>
        <v/>
      </c>
      <c r="C949" s="78">
        <f>IF('5A'!B49&lt;&gt;"",'5A'!C49,"")</f>
        <v/>
      </c>
      <c r="D949" s="78">
        <f>IF('5A'!B49&lt;&gt;"",'5A'!D49,"")</f>
        <v/>
      </c>
      <c r="E949" s="78">
        <f>IF('5A'!B49&lt;&gt;"",'5A'!E49,"")</f>
        <v/>
      </c>
      <c r="F949" s="78">
        <f>IF('5A'!B49&lt;&gt;"",'5A'!F49,"")</f>
        <v/>
      </c>
      <c r="G949" s="78">
        <f>IF('5A'!B49&lt;&gt;"",'5A'!G49,"")</f>
        <v/>
      </c>
      <c r="H949" s="97">
        <f>IF('5A'!B49&lt;&gt;"",'5A'!H49,"")</f>
        <v/>
      </c>
      <c r="I949" s="97">
        <f>IF('5A'!B49&lt;&gt;"",'5A'!I49,"")</f>
        <v/>
      </c>
      <c r="J949" s="78">
        <f>IF('5A'!B49&lt;&gt;"",'5A'!J49,"")</f>
        <v/>
      </c>
    </row>
    <row r="950" ht="15.75" customHeight="1" s="52">
      <c r="A950" s="92">
        <f>IF('5A'!B50&lt;&gt;"","5A","")</f>
        <v/>
      </c>
      <c r="B950" s="82">
        <f>IF('5A'!B50&lt;&gt;"",'5A'!B50,"")</f>
        <v/>
      </c>
      <c r="C950" s="82">
        <f>IF('5A'!B50&lt;&gt;"",'5A'!C50,"")</f>
        <v/>
      </c>
      <c r="D950" s="82">
        <f>IF('5A'!B50&lt;&gt;"",'5A'!D50,"")</f>
        <v/>
      </c>
      <c r="E950" s="82">
        <f>IF('5A'!B50&lt;&gt;"",'5A'!E50,"")</f>
        <v/>
      </c>
      <c r="F950" s="82">
        <f>IF('5A'!B50&lt;&gt;"",'5A'!F50,"")</f>
        <v/>
      </c>
      <c r="G950" s="82">
        <f>IF('5A'!B50&lt;&gt;"",'5A'!G50,"")</f>
        <v/>
      </c>
      <c r="H950" s="92">
        <f>IF('5A'!B50&lt;&gt;"",'5A'!H50,"")</f>
        <v/>
      </c>
      <c r="I950" s="92">
        <f>IF('5A'!B50&lt;&gt;"",'5A'!I50,"")</f>
        <v/>
      </c>
      <c r="J950" s="82">
        <f>IF('5A'!B50&lt;&gt;"",'5A'!J50,"")</f>
        <v/>
      </c>
    </row>
    <row r="951" ht="15.75" customHeight="1" s="52">
      <c r="A951" s="97">
        <f>IF('5A'!B51&lt;&gt;"","5A","")</f>
        <v/>
      </c>
      <c r="B951" s="78">
        <f>IF('5A'!B51&lt;&gt;"",'5A'!B51,"")</f>
        <v/>
      </c>
      <c r="C951" s="78">
        <f>IF('5A'!B51&lt;&gt;"",'5A'!C51,"")</f>
        <v/>
      </c>
      <c r="D951" s="78">
        <f>IF('5A'!B51&lt;&gt;"",'5A'!D51,"")</f>
        <v/>
      </c>
      <c r="E951" s="78">
        <f>IF('5A'!B51&lt;&gt;"",'5A'!E51,"")</f>
        <v/>
      </c>
      <c r="F951" s="78">
        <f>IF('5A'!B51&lt;&gt;"",'5A'!F51,"")</f>
        <v/>
      </c>
      <c r="G951" s="78">
        <f>IF('5A'!B51&lt;&gt;"",'5A'!G51,"")</f>
        <v/>
      </c>
      <c r="H951" s="97">
        <f>IF('5A'!B51&lt;&gt;"",'5A'!H51,"")</f>
        <v/>
      </c>
      <c r="I951" s="97">
        <f>IF('5A'!B51&lt;&gt;"",'5A'!I51,"")</f>
        <v/>
      </c>
      <c r="J951" s="78">
        <f>IF('5A'!B51&lt;&gt;"",'5A'!J51,"")</f>
        <v/>
      </c>
    </row>
    <row r="952" ht="15.75" customHeight="1" s="52">
      <c r="A952" s="92">
        <f>IF('5A'!B52&lt;&gt;"","5A","")</f>
        <v/>
      </c>
      <c r="B952" s="82">
        <f>IF('5A'!B52&lt;&gt;"",'5A'!B52,"")</f>
        <v/>
      </c>
      <c r="C952" s="82">
        <f>IF('5A'!B52&lt;&gt;"",'5A'!C52,"")</f>
        <v/>
      </c>
      <c r="D952" s="82">
        <f>IF('5A'!B52&lt;&gt;"",'5A'!D52,"")</f>
        <v/>
      </c>
      <c r="E952" s="82">
        <f>IF('5A'!B52&lt;&gt;"",'5A'!E52,"")</f>
        <v/>
      </c>
      <c r="F952" s="82">
        <f>IF('5A'!B52&lt;&gt;"",'5A'!F52,"")</f>
        <v/>
      </c>
      <c r="G952" s="82">
        <f>IF('5A'!B52&lt;&gt;"",'5A'!G52,"")</f>
        <v/>
      </c>
      <c r="H952" s="92">
        <f>IF('5A'!B52&lt;&gt;"",'5A'!H52,"")</f>
        <v/>
      </c>
      <c r="I952" s="92">
        <f>IF('5A'!B52&lt;&gt;"",'5A'!I52,"")</f>
        <v/>
      </c>
      <c r="J952" s="82">
        <f>IF('5A'!B52&lt;&gt;"",'5A'!J52,"")</f>
        <v/>
      </c>
    </row>
    <row r="953" ht="15.75" customHeight="1" s="52">
      <c r="A953" s="97">
        <f>IF('5A'!B53&lt;&gt;"","5A","")</f>
        <v/>
      </c>
      <c r="B953" s="78">
        <f>IF('5A'!B53&lt;&gt;"",'5A'!B53,"")</f>
        <v/>
      </c>
      <c r="C953" s="78">
        <f>IF('5A'!B53&lt;&gt;"",'5A'!C53,"")</f>
        <v/>
      </c>
      <c r="D953" s="78">
        <f>IF('5A'!B53&lt;&gt;"",'5A'!D53,"")</f>
        <v/>
      </c>
      <c r="E953" s="78">
        <f>IF('5A'!B53&lt;&gt;"",'5A'!E53,"")</f>
        <v/>
      </c>
      <c r="F953" s="78">
        <f>IF('5A'!B53&lt;&gt;"",'5A'!F53,"")</f>
        <v/>
      </c>
      <c r="G953" s="78">
        <f>IF('5A'!B53&lt;&gt;"",'5A'!G53,"")</f>
        <v/>
      </c>
      <c r="H953" s="97">
        <f>IF('5A'!B53&lt;&gt;"",'5A'!H53,"")</f>
        <v/>
      </c>
      <c r="I953" s="97">
        <f>IF('5A'!B53&lt;&gt;"",'5A'!I53,"")</f>
        <v/>
      </c>
      <c r="J953" s="78">
        <f>IF('5A'!B53&lt;&gt;"",'5A'!J53,"")</f>
        <v/>
      </c>
    </row>
    <row r="954" ht="15.75" customHeight="1" s="52">
      <c r="A954" s="92">
        <f>IF('5A'!B54&lt;&gt;"","5A","")</f>
        <v/>
      </c>
      <c r="B954" s="82">
        <f>IF('5A'!B54&lt;&gt;"",'5A'!B54,"")</f>
        <v/>
      </c>
      <c r="C954" s="82">
        <f>IF('5A'!B54&lt;&gt;"",'5A'!C54,"")</f>
        <v/>
      </c>
      <c r="D954" s="82">
        <f>IF('5A'!B54&lt;&gt;"",'5A'!D54,"")</f>
        <v/>
      </c>
      <c r="E954" s="82">
        <f>IF('5A'!B54&lt;&gt;"",'5A'!E54,"")</f>
        <v/>
      </c>
      <c r="F954" s="82">
        <f>IF('5A'!B54&lt;&gt;"",'5A'!F54,"")</f>
        <v/>
      </c>
      <c r="G954" s="82">
        <f>IF('5A'!B54&lt;&gt;"",'5A'!G54,"")</f>
        <v/>
      </c>
      <c r="H954" s="92">
        <f>IF('5A'!B54&lt;&gt;"",'5A'!H54,"")</f>
        <v/>
      </c>
      <c r="I954" s="92">
        <f>IF('5A'!B54&lt;&gt;"",'5A'!I54,"")</f>
        <v/>
      </c>
      <c r="J954" s="82">
        <f>IF('5A'!B54&lt;&gt;"",'5A'!J54,"")</f>
        <v/>
      </c>
    </row>
    <row r="955" ht="15.75" customHeight="1" s="52">
      <c r="A955" s="97">
        <f>IF('5B'!B5&lt;&gt;"","5B","")</f>
        <v/>
      </c>
      <c r="B955" s="78">
        <f>IF('5B'!B5&lt;&gt;"",'5B'!B5,"")</f>
        <v/>
      </c>
      <c r="C955" s="78">
        <f>IF('5B'!B5&lt;&gt;"",'5B'!C5,"")</f>
        <v/>
      </c>
      <c r="D955" s="78">
        <f>IF('5B'!B5&lt;&gt;"",'5B'!D5,"")</f>
        <v/>
      </c>
      <c r="E955" s="78">
        <f>IF('5B'!B5&lt;&gt;"",'5B'!E5,"")</f>
        <v/>
      </c>
      <c r="F955" s="78">
        <f>IF('5B'!B5&lt;&gt;"",'5B'!F5,"")</f>
        <v/>
      </c>
      <c r="G955" s="78">
        <f>IF('5B'!B5&lt;&gt;"",'5B'!G5,"")</f>
        <v/>
      </c>
      <c r="H955" s="97">
        <f>IF('5B'!B5&lt;&gt;"",'5B'!H5,"")</f>
        <v/>
      </c>
      <c r="I955" s="97">
        <f>IF('5B'!B5&lt;&gt;"",'5B'!I5,"")</f>
        <v/>
      </c>
      <c r="J955" s="78">
        <f>IF('5B'!B5&lt;&gt;"",'5B'!J5,"")</f>
        <v/>
      </c>
    </row>
    <row r="956" ht="15.75" customHeight="1" s="52">
      <c r="A956" s="92">
        <f>IF('5B'!B6&lt;&gt;"","5B","")</f>
        <v/>
      </c>
      <c r="B956" s="82">
        <f>IF('5B'!B6&lt;&gt;"",'5B'!B6,"")</f>
        <v/>
      </c>
      <c r="C956" s="82">
        <f>IF('5B'!B6&lt;&gt;"",'5B'!C6,"")</f>
        <v/>
      </c>
      <c r="D956" s="82">
        <f>IF('5B'!B6&lt;&gt;"",'5B'!D6,"")</f>
        <v/>
      </c>
      <c r="E956" s="82">
        <f>IF('5B'!B6&lt;&gt;"",'5B'!E6,"")</f>
        <v/>
      </c>
      <c r="F956" s="82">
        <f>IF('5B'!B6&lt;&gt;"",'5B'!F6,"")</f>
        <v/>
      </c>
      <c r="G956" s="82">
        <f>IF('5B'!B6&lt;&gt;"",'5B'!G6,"")</f>
        <v/>
      </c>
      <c r="H956" s="92">
        <f>IF('5B'!B6&lt;&gt;"",'5B'!H6,"")</f>
        <v/>
      </c>
      <c r="I956" s="92">
        <f>IF('5B'!B6&lt;&gt;"",'5B'!I6,"")</f>
        <v/>
      </c>
      <c r="J956" s="82">
        <f>IF('5B'!B6&lt;&gt;"",'5B'!J6,"")</f>
        <v/>
      </c>
    </row>
    <row r="957" ht="15.75" customHeight="1" s="52">
      <c r="A957" s="97">
        <f>IF('5B'!B7&lt;&gt;"","5B","")</f>
        <v/>
      </c>
      <c r="B957" s="78">
        <f>IF('5B'!B7&lt;&gt;"",'5B'!B7,"")</f>
        <v/>
      </c>
      <c r="C957" s="78">
        <f>IF('5B'!B7&lt;&gt;"",'5B'!C7,"")</f>
        <v/>
      </c>
      <c r="D957" s="78">
        <f>IF('5B'!B7&lt;&gt;"",'5B'!D7,"")</f>
        <v/>
      </c>
      <c r="E957" s="78">
        <f>IF('5B'!B7&lt;&gt;"",'5B'!E7,"")</f>
        <v/>
      </c>
      <c r="F957" s="78">
        <f>IF('5B'!B7&lt;&gt;"",'5B'!F7,"")</f>
        <v/>
      </c>
      <c r="G957" s="78">
        <f>IF('5B'!B7&lt;&gt;"",'5B'!G7,"")</f>
        <v/>
      </c>
      <c r="H957" s="97">
        <f>IF('5B'!B7&lt;&gt;"",'5B'!H7,"")</f>
        <v/>
      </c>
      <c r="I957" s="97">
        <f>IF('5B'!B7&lt;&gt;"",'5B'!I7,"")</f>
        <v/>
      </c>
      <c r="J957" s="78">
        <f>IF('5B'!B7&lt;&gt;"",'5B'!J7,"")</f>
        <v/>
      </c>
    </row>
    <row r="958" ht="15.75" customHeight="1" s="52">
      <c r="A958" s="92">
        <f>IF('5B'!B8&lt;&gt;"","5B","")</f>
        <v/>
      </c>
      <c r="B958" s="82">
        <f>IF('5B'!B8&lt;&gt;"",'5B'!B8,"")</f>
        <v/>
      </c>
      <c r="C958" s="82">
        <f>IF('5B'!B8&lt;&gt;"",'5B'!C8,"")</f>
        <v/>
      </c>
      <c r="D958" s="82">
        <f>IF('5B'!B8&lt;&gt;"",'5B'!D8,"")</f>
        <v/>
      </c>
      <c r="E958" s="82">
        <f>IF('5B'!B8&lt;&gt;"",'5B'!E8,"")</f>
        <v/>
      </c>
      <c r="F958" s="82">
        <f>IF('5B'!B8&lt;&gt;"",'5B'!F8,"")</f>
        <v/>
      </c>
      <c r="G958" s="82">
        <f>IF('5B'!B8&lt;&gt;"",'5B'!G8,"")</f>
        <v/>
      </c>
      <c r="H958" s="92">
        <f>IF('5B'!B8&lt;&gt;"",'5B'!H8,"")</f>
        <v/>
      </c>
      <c r="I958" s="92">
        <f>IF('5B'!B8&lt;&gt;"",'5B'!I8,"")</f>
        <v/>
      </c>
      <c r="J958" s="82">
        <f>IF('5B'!B8&lt;&gt;"",'5B'!J8,"")</f>
        <v/>
      </c>
    </row>
    <row r="959" ht="15.75" customHeight="1" s="52">
      <c r="A959" s="97">
        <f>IF('5B'!B9&lt;&gt;"","5B","")</f>
        <v/>
      </c>
      <c r="B959" s="78">
        <f>IF('5B'!B9&lt;&gt;"",'5B'!B9,"")</f>
        <v/>
      </c>
      <c r="C959" s="78">
        <f>IF('5B'!B9&lt;&gt;"",'5B'!C9,"")</f>
        <v/>
      </c>
      <c r="D959" s="78">
        <f>IF('5B'!B9&lt;&gt;"",'5B'!D9,"")</f>
        <v/>
      </c>
      <c r="E959" s="78">
        <f>IF('5B'!B9&lt;&gt;"",'5B'!E9,"")</f>
        <v/>
      </c>
      <c r="F959" s="78">
        <f>IF('5B'!B9&lt;&gt;"",'5B'!F9,"")</f>
        <v/>
      </c>
      <c r="G959" s="78">
        <f>IF('5B'!B9&lt;&gt;"",'5B'!G9,"")</f>
        <v/>
      </c>
      <c r="H959" s="97">
        <f>IF('5B'!B9&lt;&gt;"",'5B'!H9,"")</f>
        <v/>
      </c>
      <c r="I959" s="97">
        <f>IF('5B'!B9&lt;&gt;"",'5B'!I9,"")</f>
        <v/>
      </c>
      <c r="J959" s="78">
        <f>IF('5B'!B9&lt;&gt;"",'5B'!J9,"")</f>
        <v/>
      </c>
    </row>
    <row r="960" ht="15.75" customHeight="1" s="52">
      <c r="A960" s="92">
        <f>IF('5B'!B10&lt;&gt;"","5B","")</f>
        <v/>
      </c>
      <c r="B960" s="82">
        <f>IF('5B'!B10&lt;&gt;"",'5B'!B10,"")</f>
        <v/>
      </c>
      <c r="C960" s="82">
        <f>IF('5B'!B10&lt;&gt;"",'5B'!C10,"")</f>
        <v/>
      </c>
      <c r="D960" s="82">
        <f>IF('5B'!B10&lt;&gt;"",'5B'!D10,"")</f>
        <v/>
      </c>
      <c r="E960" s="82">
        <f>IF('5B'!B10&lt;&gt;"",'5B'!E10,"")</f>
        <v/>
      </c>
      <c r="F960" s="82">
        <f>IF('5B'!B10&lt;&gt;"",'5B'!F10,"")</f>
        <v/>
      </c>
      <c r="G960" s="82">
        <f>IF('5B'!B10&lt;&gt;"",'5B'!G10,"")</f>
        <v/>
      </c>
      <c r="H960" s="92">
        <f>IF('5B'!B10&lt;&gt;"",'5B'!H10,"")</f>
        <v/>
      </c>
      <c r="I960" s="92">
        <f>IF('5B'!B10&lt;&gt;"",'5B'!I10,"")</f>
        <v/>
      </c>
      <c r="J960" s="82">
        <f>IF('5B'!B10&lt;&gt;"",'5B'!J10,"")</f>
        <v/>
      </c>
    </row>
    <row r="961" ht="15.75" customHeight="1" s="52">
      <c r="A961" s="97">
        <f>IF('5B'!B11&lt;&gt;"","5B","")</f>
        <v/>
      </c>
      <c r="B961" s="78">
        <f>IF('5B'!B11&lt;&gt;"",'5B'!B11,"")</f>
        <v/>
      </c>
      <c r="C961" s="78">
        <f>IF('5B'!B11&lt;&gt;"",'5B'!C11,"")</f>
        <v/>
      </c>
      <c r="D961" s="78">
        <f>IF('5B'!B11&lt;&gt;"",'5B'!D11,"")</f>
        <v/>
      </c>
      <c r="E961" s="78">
        <f>IF('5B'!B11&lt;&gt;"",'5B'!E11,"")</f>
        <v/>
      </c>
      <c r="F961" s="78">
        <f>IF('5B'!B11&lt;&gt;"",'5B'!F11,"")</f>
        <v/>
      </c>
      <c r="G961" s="78">
        <f>IF('5B'!B11&lt;&gt;"",'5B'!G11,"")</f>
        <v/>
      </c>
      <c r="H961" s="97">
        <f>IF('5B'!B11&lt;&gt;"",'5B'!H11,"")</f>
        <v/>
      </c>
      <c r="I961" s="97">
        <f>IF('5B'!B11&lt;&gt;"",'5B'!I11,"")</f>
        <v/>
      </c>
      <c r="J961" s="78">
        <f>IF('5B'!B11&lt;&gt;"",'5B'!J11,"")</f>
        <v/>
      </c>
    </row>
    <row r="962" ht="15.75" customHeight="1" s="52">
      <c r="A962" s="92">
        <f>IF('5B'!B12&lt;&gt;"","5B","")</f>
        <v/>
      </c>
      <c r="B962" s="82">
        <f>IF('5B'!B12&lt;&gt;"",'5B'!B12,"")</f>
        <v/>
      </c>
      <c r="C962" s="82">
        <f>IF('5B'!B12&lt;&gt;"",'5B'!C12,"")</f>
        <v/>
      </c>
      <c r="D962" s="82">
        <f>IF('5B'!B12&lt;&gt;"",'5B'!D12,"")</f>
        <v/>
      </c>
      <c r="E962" s="82">
        <f>IF('5B'!B12&lt;&gt;"",'5B'!E12,"")</f>
        <v/>
      </c>
      <c r="F962" s="82">
        <f>IF('5B'!B12&lt;&gt;"",'5B'!F12,"")</f>
        <v/>
      </c>
      <c r="G962" s="82">
        <f>IF('5B'!B12&lt;&gt;"",'5B'!G12,"")</f>
        <v/>
      </c>
      <c r="H962" s="92">
        <f>IF('5B'!B12&lt;&gt;"",'5B'!H12,"")</f>
        <v/>
      </c>
      <c r="I962" s="92">
        <f>IF('5B'!B12&lt;&gt;"",'5B'!I12,"")</f>
        <v/>
      </c>
      <c r="J962" s="82">
        <f>IF('5B'!B12&lt;&gt;"",'5B'!J12,"")</f>
        <v/>
      </c>
    </row>
    <row r="963" ht="15.75" customHeight="1" s="52">
      <c r="A963" s="97">
        <f>IF('5B'!B13&lt;&gt;"","5B","")</f>
        <v/>
      </c>
      <c r="B963" s="78">
        <f>IF('5B'!B13&lt;&gt;"",'5B'!B13,"")</f>
        <v/>
      </c>
      <c r="C963" s="78">
        <f>IF('5B'!B13&lt;&gt;"",'5B'!C13,"")</f>
        <v/>
      </c>
      <c r="D963" s="78">
        <f>IF('5B'!B13&lt;&gt;"",'5B'!D13,"")</f>
        <v/>
      </c>
      <c r="E963" s="78">
        <f>IF('5B'!B13&lt;&gt;"",'5B'!E13,"")</f>
        <v/>
      </c>
      <c r="F963" s="78">
        <f>IF('5B'!B13&lt;&gt;"",'5B'!F13,"")</f>
        <v/>
      </c>
      <c r="G963" s="78">
        <f>IF('5B'!B13&lt;&gt;"",'5B'!G13,"")</f>
        <v/>
      </c>
      <c r="H963" s="97">
        <f>IF('5B'!B13&lt;&gt;"",'5B'!H13,"")</f>
        <v/>
      </c>
      <c r="I963" s="97">
        <f>IF('5B'!B13&lt;&gt;"",'5B'!I13,"")</f>
        <v/>
      </c>
      <c r="J963" s="78">
        <f>IF('5B'!B13&lt;&gt;"",'5B'!J13,"")</f>
        <v/>
      </c>
    </row>
    <row r="964" ht="15.75" customHeight="1" s="52">
      <c r="A964" s="92">
        <f>IF('5B'!B14&lt;&gt;"","5B","")</f>
        <v/>
      </c>
      <c r="B964" s="82">
        <f>IF('5B'!B14&lt;&gt;"",'5B'!B14,"")</f>
        <v/>
      </c>
      <c r="C964" s="82">
        <f>IF('5B'!B14&lt;&gt;"",'5B'!C14,"")</f>
        <v/>
      </c>
      <c r="D964" s="82">
        <f>IF('5B'!B14&lt;&gt;"",'5B'!D14,"")</f>
        <v/>
      </c>
      <c r="E964" s="82">
        <f>IF('5B'!B14&lt;&gt;"",'5B'!E14,"")</f>
        <v/>
      </c>
      <c r="F964" s="82">
        <f>IF('5B'!B14&lt;&gt;"",'5B'!F14,"")</f>
        <v/>
      </c>
      <c r="G964" s="82">
        <f>IF('5B'!B14&lt;&gt;"",'5B'!G14,"")</f>
        <v/>
      </c>
      <c r="H964" s="92">
        <f>IF('5B'!B14&lt;&gt;"",'5B'!H14,"")</f>
        <v/>
      </c>
      <c r="I964" s="92">
        <f>IF('5B'!B14&lt;&gt;"",'5B'!I14,"")</f>
        <v/>
      </c>
      <c r="J964" s="82">
        <f>IF('5B'!B14&lt;&gt;"",'5B'!J14,"")</f>
        <v/>
      </c>
    </row>
    <row r="965" ht="15.75" customHeight="1" s="52">
      <c r="A965" s="97">
        <f>IF('5B'!B15&lt;&gt;"","5B","")</f>
        <v/>
      </c>
      <c r="B965" s="78">
        <f>IF('5B'!B15&lt;&gt;"",'5B'!B15,"")</f>
        <v/>
      </c>
      <c r="C965" s="78">
        <f>IF('5B'!B15&lt;&gt;"",'5B'!C15,"")</f>
        <v/>
      </c>
      <c r="D965" s="78">
        <f>IF('5B'!B15&lt;&gt;"",'5B'!D15,"")</f>
        <v/>
      </c>
      <c r="E965" s="78">
        <f>IF('5B'!B15&lt;&gt;"",'5B'!E15,"")</f>
        <v/>
      </c>
      <c r="F965" s="78">
        <f>IF('5B'!B15&lt;&gt;"",'5B'!F15,"")</f>
        <v/>
      </c>
      <c r="G965" s="78">
        <f>IF('5B'!B15&lt;&gt;"",'5B'!G15,"")</f>
        <v/>
      </c>
      <c r="H965" s="97">
        <f>IF('5B'!B15&lt;&gt;"",'5B'!H15,"")</f>
        <v/>
      </c>
      <c r="I965" s="97">
        <f>IF('5B'!B15&lt;&gt;"",'5B'!I15,"")</f>
        <v/>
      </c>
      <c r="J965" s="78">
        <f>IF('5B'!B15&lt;&gt;"",'5B'!J15,"")</f>
        <v/>
      </c>
    </row>
    <row r="966" ht="15.75" customHeight="1" s="52">
      <c r="A966" s="92">
        <f>IF('5B'!B16&lt;&gt;"","5B","")</f>
        <v/>
      </c>
      <c r="B966" s="82">
        <f>IF('5B'!B16&lt;&gt;"",'5B'!B16,"")</f>
        <v/>
      </c>
      <c r="C966" s="82">
        <f>IF('5B'!B16&lt;&gt;"",'5B'!C16,"")</f>
        <v/>
      </c>
      <c r="D966" s="82">
        <f>IF('5B'!B16&lt;&gt;"",'5B'!D16,"")</f>
        <v/>
      </c>
      <c r="E966" s="82">
        <f>IF('5B'!B16&lt;&gt;"",'5B'!E16,"")</f>
        <v/>
      </c>
      <c r="F966" s="82">
        <f>IF('5B'!B16&lt;&gt;"",'5B'!F16,"")</f>
        <v/>
      </c>
      <c r="G966" s="82">
        <f>IF('5B'!B16&lt;&gt;"",'5B'!G16,"")</f>
        <v/>
      </c>
      <c r="H966" s="92">
        <f>IF('5B'!B16&lt;&gt;"",'5B'!H16,"")</f>
        <v/>
      </c>
      <c r="I966" s="92">
        <f>IF('5B'!B16&lt;&gt;"",'5B'!I16,"")</f>
        <v/>
      </c>
      <c r="J966" s="82">
        <f>IF('5B'!B16&lt;&gt;"",'5B'!J16,"")</f>
        <v/>
      </c>
    </row>
    <row r="967" ht="15.75" customHeight="1" s="52">
      <c r="A967" s="97">
        <f>IF('5B'!B17&lt;&gt;"","5B","")</f>
        <v/>
      </c>
      <c r="B967" s="78">
        <f>IF('5B'!B17&lt;&gt;"",'5B'!B17,"")</f>
        <v/>
      </c>
      <c r="C967" s="78">
        <f>IF('5B'!B17&lt;&gt;"",'5B'!C17,"")</f>
        <v/>
      </c>
      <c r="D967" s="78">
        <f>IF('5B'!B17&lt;&gt;"",'5B'!D17,"")</f>
        <v/>
      </c>
      <c r="E967" s="78">
        <f>IF('5B'!B17&lt;&gt;"",'5B'!E17,"")</f>
        <v/>
      </c>
      <c r="F967" s="78">
        <f>IF('5B'!B17&lt;&gt;"",'5B'!F17,"")</f>
        <v/>
      </c>
      <c r="G967" s="78">
        <f>IF('5B'!B17&lt;&gt;"",'5B'!G17,"")</f>
        <v/>
      </c>
      <c r="H967" s="97">
        <f>IF('5B'!B17&lt;&gt;"",'5B'!H17,"")</f>
        <v/>
      </c>
      <c r="I967" s="97">
        <f>IF('5B'!B17&lt;&gt;"",'5B'!I17,"")</f>
        <v/>
      </c>
      <c r="J967" s="78">
        <f>IF('5B'!B17&lt;&gt;"",'5B'!J17,"")</f>
        <v/>
      </c>
    </row>
    <row r="968" ht="15.75" customHeight="1" s="52">
      <c r="A968" s="92">
        <f>IF('5B'!B18&lt;&gt;"","5B","")</f>
        <v/>
      </c>
      <c r="B968" s="82">
        <f>IF('5B'!B18&lt;&gt;"",'5B'!B18,"")</f>
        <v/>
      </c>
      <c r="C968" s="82">
        <f>IF('5B'!B18&lt;&gt;"",'5B'!C18,"")</f>
        <v/>
      </c>
      <c r="D968" s="82">
        <f>IF('5B'!B18&lt;&gt;"",'5B'!D18,"")</f>
        <v/>
      </c>
      <c r="E968" s="82">
        <f>IF('5B'!B18&lt;&gt;"",'5B'!E18,"")</f>
        <v/>
      </c>
      <c r="F968" s="82">
        <f>IF('5B'!B18&lt;&gt;"",'5B'!F18,"")</f>
        <v/>
      </c>
      <c r="G968" s="82">
        <f>IF('5B'!B18&lt;&gt;"",'5B'!G18,"")</f>
        <v/>
      </c>
      <c r="H968" s="92">
        <f>IF('5B'!B18&lt;&gt;"",'5B'!H18,"")</f>
        <v/>
      </c>
      <c r="I968" s="92">
        <f>IF('5B'!B18&lt;&gt;"",'5B'!I18,"")</f>
        <v/>
      </c>
      <c r="J968" s="82">
        <f>IF('5B'!B18&lt;&gt;"",'5B'!J18,"")</f>
        <v/>
      </c>
    </row>
    <row r="969" ht="15.75" customHeight="1" s="52">
      <c r="A969" s="97">
        <f>IF('5B'!B19&lt;&gt;"","5B","")</f>
        <v/>
      </c>
      <c r="B969" s="78">
        <f>IF('5B'!B19&lt;&gt;"",'5B'!B19,"")</f>
        <v/>
      </c>
      <c r="C969" s="78">
        <f>IF('5B'!B19&lt;&gt;"",'5B'!C19,"")</f>
        <v/>
      </c>
      <c r="D969" s="78">
        <f>IF('5B'!B19&lt;&gt;"",'5B'!D19,"")</f>
        <v/>
      </c>
      <c r="E969" s="78">
        <f>IF('5B'!B19&lt;&gt;"",'5B'!E19,"")</f>
        <v/>
      </c>
      <c r="F969" s="78">
        <f>IF('5B'!B19&lt;&gt;"",'5B'!F19,"")</f>
        <v/>
      </c>
      <c r="G969" s="78">
        <f>IF('5B'!B19&lt;&gt;"",'5B'!G19,"")</f>
        <v/>
      </c>
      <c r="H969" s="97">
        <f>IF('5B'!B19&lt;&gt;"",'5B'!H19,"")</f>
        <v/>
      </c>
      <c r="I969" s="97">
        <f>IF('5B'!B19&lt;&gt;"",'5B'!I19,"")</f>
        <v/>
      </c>
      <c r="J969" s="78">
        <f>IF('5B'!B19&lt;&gt;"",'5B'!J19,"")</f>
        <v/>
      </c>
    </row>
    <row r="970" ht="15.75" customHeight="1" s="52">
      <c r="A970" s="92">
        <f>IF('5B'!B20&lt;&gt;"","5B","")</f>
        <v/>
      </c>
      <c r="B970" s="82">
        <f>IF('5B'!B20&lt;&gt;"",'5B'!B20,"")</f>
        <v/>
      </c>
      <c r="C970" s="82">
        <f>IF('5B'!B20&lt;&gt;"",'5B'!C20,"")</f>
        <v/>
      </c>
      <c r="D970" s="82">
        <f>IF('5B'!B20&lt;&gt;"",'5B'!D20,"")</f>
        <v/>
      </c>
      <c r="E970" s="82">
        <f>IF('5B'!B20&lt;&gt;"",'5B'!E20,"")</f>
        <v/>
      </c>
      <c r="F970" s="82">
        <f>IF('5B'!B20&lt;&gt;"",'5B'!F20,"")</f>
        <v/>
      </c>
      <c r="G970" s="82">
        <f>IF('5B'!B20&lt;&gt;"",'5B'!G20,"")</f>
        <v/>
      </c>
      <c r="H970" s="92">
        <f>IF('5B'!B20&lt;&gt;"",'5B'!H20,"")</f>
        <v/>
      </c>
      <c r="I970" s="92">
        <f>IF('5B'!B20&lt;&gt;"",'5B'!I20,"")</f>
        <v/>
      </c>
      <c r="J970" s="82">
        <f>IF('5B'!B20&lt;&gt;"",'5B'!J20,"")</f>
        <v/>
      </c>
    </row>
    <row r="971" ht="15.75" customHeight="1" s="52">
      <c r="A971" s="97">
        <f>IF('5B'!B21&lt;&gt;"","5B","")</f>
        <v/>
      </c>
      <c r="B971" s="78">
        <f>IF('5B'!B21&lt;&gt;"",'5B'!B21,"")</f>
        <v/>
      </c>
      <c r="C971" s="78">
        <f>IF('5B'!B21&lt;&gt;"",'5B'!C21,"")</f>
        <v/>
      </c>
      <c r="D971" s="78">
        <f>IF('5B'!B21&lt;&gt;"",'5B'!D21,"")</f>
        <v/>
      </c>
      <c r="E971" s="78">
        <f>IF('5B'!B21&lt;&gt;"",'5B'!E21,"")</f>
        <v/>
      </c>
      <c r="F971" s="78">
        <f>IF('5B'!B21&lt;&gt;"",'5B'!F21,"")</f>
        <v/>
      </c>
      <c r="G971" s="78">
        <f>IF('5B'!B21&lt;&gt;"",'5B'!G21,"")</f>
        <v/>
      </c>
      <c r="H971" s="97">
        <f>IF('5B'!B21&lt;&gt;"",'5B'!H21,"")</f>
        <v/>
      </c>
      <c r="I971" s="97">
        <f>IF('5B'!B21&lt;&gt;"",'5B'!I21,"")</f>
        <v/>
      </c>
      <c r="J971" s="78">
        <f>IF('5B'!B21&lt;&gt;"",'5B'!J21,"")</f>
        <v/>
      </c>
    </row>
    <row r="972" ht="15.75" customHeight="1" s="52">
      <c r="A972" s="92">
        <f>IF('5B'!B22&lt;&gt;"","5B","")</f>
        <v/>
      </c>
      <c r="B972" s="82">
        <f>IF('5B'!B22&lt;&gt;"",'5B'!B22,"")</f>
        <v/>
      </c>
      <c r="C972" s="82">
        <f>IF('5B'!B22&lt;&gt;"",'5B'!C22,"")</f>
        <v/>
      </c>
      <c r="D972" s="82">
        <f>IF('5B'!B22&lt;&gt;"",'5B'!D22,"")</f>
        <v/>
      </c>
      <c r="E972" s="82">
        <f>IF('5B'!B22&lt;&gt;"",'5B'!E22,"")</f>
        <v/>
      </c>
      <c r="F972" s="82">
        <f>IF('5B'!B22&lt;&gt;"",'5B'!F22,"")</f>
        <v/>
      </c>
      <c r="G972" s="82">
        <f>IF('5B'!B22&lt;&gt;"",'5B'!G22,"")</f>
        <v/>
      </c>
      <c r="H972" s="92">
        <f>IF('5B'!B22&lt;&gt;"",'5B'!H22,"")</f>
        <v/>
      </c>
      <c r="I972" s="92">
        <f>IF('5B'!B22&lt;&gt;"",'5B'!I22,"")</f>
        <v/>
      </c>
      <c r="J972" s="82">
        <f>IF('5B'!B22&lt;&gt;"",'5B'!J22,"")</f>
        <v/>
      </c>
    </row>
    <row r="973" ht="15.75" customHeight="1" s="52">
      <c r="A973" s="97">
        <f>IF('5B'!B23&lt;&gt;"","5B","")</f>
        <v/>
      </c>
      <c r="B973" s="78">
        <f>IF('5B'!B23&lt;&gt;"",'5B'!B23,"")</f>
        <v/>
      </c>
      <c r="C973" s="78">
        <f>IF('5B'!B23&lt;&gt;"",'5B'!C23,"")</f>
        <v/>
      </c>
      <c r="D973" s="78">
        <f>IF('5B'!B23&lt;&gt;"",'5B'!D23,"")</f>
        <v/>
      </c>
      <c r="E973" s="78">
        <f>IF('5B'!B23&lt;&gt;"",'5B'!E23,"")</f>
        <v/>
      </c>
      <c r="F973" s="78">
        <f>IF('5B'!B23&lt;&gt;"",'5B'!F23,"")</f>
        <v/>
      </c>
      <c r="G973" s="78">
        <f>IF('5B'!B23&lt;&gt;"",'5B'!G23,"")</f>
        <v/>
      </c>
      <c r="H973" s="97">
        <f>IF('5B'!B23&lt;&gt;"",'5B'!H23,"")</f>
        <v/>
      </c>
      <c r="I973" s="97">
        <f>IF('5B'!B23&lt;&gt;"",'5B'!I23,"")</f>
        <v/>
      </c>
      <c r="J973" s="78">
        <f>IF('5B'!B23&lt;&gt;"",'5B'!J23,"")</f>
        <v/>
      </c>
    </row>
    <row r="974" ht="15.75" customHeight="1" s="52">
      <c r="A974" s="92">
        <f>IF('5B'!B24&lt;&gt;"","5B","")</f>
        <v/>
      </c>
      <c r="B974" s="82">
        <f>IF('5B'!B24&lt;&gt;"",'5B'!B24,"")</f>
        <v/>
      </c>
      <c r="C974" s="82">
        <f>IF('5B'!B24&lt;&gt;"",'5B'!C24,"")</f>
        <v/>
      </c>
      <c r="D974" s="82">
        <f>IF('5B'!B24&lt;&gt;"",'5B'!D24,"")</f>
        <v/>
      </c>
      <c r="E974" s="82">
        <f>IF('5B'!B24&lt;&gt;"",'5B'!E24,"")</f>
        <v/>
      </c>
      <c r="F974" s="82">
        <f>IF('5B'!B24&lt;&gt;"",'5B'!F24,"")</f>
        <v/>
      </c>
      <c r="G974" s="82">
        <f>IF('5B'!B24&lt;&gt;"",'5B'!G24,"")</f>
        <v/>
      </c>
      <c r="H974" s="92">
        <f>IF('5B'!B24&lt;&gt;"",'5B'!H24,"")</f>
        <v/>
      </c>
      <c r="I974" s="92">
        <f>IF('5B'!B24&lt;&gt;"",'5B'!I24,"")</f>
        <v/>
      </c>
      <c r="J974" s="82">
        <f>IF('5B'!B24&lt;&gt;"",'5B'!J24,"")</f>
        <v/>
      </c>
    </row>
    <row r="975" ht="15.75" customHeight="1" s="52">
      <c r="A975" s="97">
        <f>IF('5B'!B25&lt;&gt;"","5B","")</f>
        <v/>
      </c>
      <c r="B975" s="78">
        <f>IF('5B'!B25&lt;&gt;"",'5B'!B25,"")</f>
        <v/>
      </c>
      <c r="C975" s="78">
        <f>IF('5B'!B25&lt;&gt;"",'5B'!C25,"")</f>
        <v/>
      </c>
      <c r="D975" s="78">
        <f>IF('5B'!B25&lt;&gt;"",'5B'!D25,"")</f>
        <v/>
      </c>
      <c r="E975" s="78">
        <f>IF('5B'!B25&lt;&gt;"",'5B'!E25,"")</f>
        <v/>
      </c>
      <c r="F975" s="78">
        <f>IF('5B'!B25&lt;&gt;"",'5B'!F25,"")</f>
        <v/>
      </c>
      <c r="G975" s="78">
        <f>IF('5B'!B25&lt;&gt;"",'5B'!G25,"")</f>
        <v/>
      </c>
      <c r="H975" s="97">
        <f>IF('5B'!B25&lt;&gt;"",'5B'!H25,"")</f>
        <v/>
      </c>
      <c r="I975" s="97">
        <f>IF('5B'!B25&lt;&gt;"",'5B'!I25,"")</f>
        <v/>
      </c>
      <c r="J975" s="78">
        <f>IF('5B'!B25&lt;&gt;"",'5B'!J25,"")</f>
        <v/>
      </c>
    </row>
    <row r="976" ht="15.75" customHeight="1" s="52">
      <c r="A976" s="92">
        <f>IF('5B'!B26&lt;&gt;"","5B","")</f>
        <v/>
      </c>
      <c r="B976" s="82">
        <f>IF('5B'!B26&lt;&gt;"",'5B'!B26,"")</f>
        <v/>
      </c>
      <c r="C976" s="82">
        <f>IF('5B'!B26&lt;&gt;"",'5B'!C26,"")</f>
        <v/>
      </c>
      <c r="D976" s="82">
        <f>IF('5B'!B26&lt;&gt;"",'5B'!D26,"")</f>
        <v/>
      </c>
      <c r="E976" s="82">
        <f>IF('5B'!B26&lt;&gt;"",'5B'!E26,"")</f>
        <v/>
      </c>
      <c r="F976" s="82">
        <f>IF('5B'!B26&lt;&gt;"",'5B'!F26,"")</f>
        <v/>
      </c>
      <c r="G976" s="82">
        <f>IF('5B'!B26&lt;&gt;"",'5B'!G26,"")</f>
        <v/>
      </c>
      <c r="H976" s="92">
        <f>IF('5B'!B26&lt;&gt;"",'5B'!H26,"")</f>
        <v/>
      </c>
      <c r="I976" s="92">
        <f>IF('5B'!B26&lt;&gt;"",'5B'!I26,"")</f>
        <v/>
      </c>
      <c r="J976" s="82">
        <f>IF('5B'!B26&lt;&gt;"",'5B'!J26,"")</f>
        <v/>
      </c>
    </row>
    <row r="977" ht="15.75" customHeight="1" s="52">
      <c r="A977" s="97">
        <f>IF('5B'!B27&lt;&gt;"","5B","")</f>
        <v/>
      </c>
      <c r="B977" s="78">
        <f>IF('5B'!B27&lt;&gt;"",'5B'!B27,"")</f>
        <v/>
      </c>
      <c r="C977" s="78">
        <f>IF('5B'!B27&lt;&gt;"",'5B'!C27,"")</f>
        <v/>
      </c>
      <c r="D977" s="78">
        <f>IF('5B'!B27&lt;&gt;"",'5B'!D27,"")</f>
        <v/>
      </c>
      <c r="E977" s="78">
        <f>IF('5B'!B27&lt;&gt;"",'5B'!E27,"")</f>
        <v/>
      </c>
      <c r="F977" s="78">
        <f>IF('5B'!B27&lt;&gt;"",'5B'!F27,"")</f>
        <v/>
      </c>
      <c r="G977" s="78">
        <f>IF('5B'!B27&lt;&gt;"",'5B'!G27,"")</f>
        <v/>
      </c>
      <c r="H977" s="97">
        <f>IF('5B'!B27&lt;&gt;"",'5B'!H27,"")</f>
        <v/>
      </c>
      <c r="I977" s="97">
        <f>IF('5B'!B27&lt;&gt;"",'5B'!I27,"")</f>
        <v/>
      </c>
      <c r="J977" s="78">
        <f>IF('5B'!B27&lt;&gt;"",'5B'!J27,"")</f>
        <v/>
      </c>
    </row>
    <row r="978" ht="15.75" customHeight="1" s="52">
      <c r="A978" s="92">
        <f>IF('5B'!B28&lt;&gt;"","5B","")</f>
        <v/>
      </c>
      <c r="B978" s="82">
        <f>IF('5B'!B28&lt;&gt;"",'5B'!B28,"")</f>
        <v/>
      </c>
      <c r="C978" s="82">
        <f>IF('5B'!B28&lt;&gt;"",'5B'!C28,"")</f>
        <v/>
      </c>
      <c r="D978" s="82">
        <f>IF('5B'!B28&lt;&gt;"",'5B'!D28,"")</f>
        <v/>
      </c>
      <c r="E978" s="82">
        <f>IF('5B'!B28&lt;&gt;"",'5B'!E28,"")</f>
        <v/>
      </c>
      <c r="F978" s="82">
        <f>IF('5B'!B28&lt;&gt;"",'5B'!F28,"")</f>
        <v/>
      </c>
      <c r="G978" s="82">
        <f>IF('5B'!B28&lt;&gt;"",'5B'!G28,"")</f>
        <v/>
      </c>
      <c r="H978" s="92">
        <f>IF('5B'!B28&lt;&gt;"",'5B'!H28,"")</f>
        <v/>
      </c>
      <c r="I978" s="92">
        <f>IF('5B'!B28&lt;&gt;"",'5B'!I28,"")</f>
        <v/>
      </c>
      <c r="J978" s="82">
        <f>IF('5B'!B28&lt;&gt;"",'5B'!J28,"")</f>
        <v/>
      </c>
    </row>
    <row r="979" ht="15.75" customHeight="1" s="52">
      <c r="A979" s="97">
        <f>IF('5B'!B29&lt;&gt;"","5B","")</f>
        <v/>
      </c>
      <c r="B979" s="78">
        <f>IF('5B'!B29&lt;&gt;"",'5B'!B29,"")</f>
        <v/>
      </c>
      <c r="C979" s="78">
        <f>IF('5B'!B29&lt;&gt;"",'5B'!C29,"")</f>
        <v/>
      </c>
      <c r="D979" s="78">
        <f>IF('5B'!B29&lt;&gt;"",'5B'!D29,"")</f>
        <v/>
      </c>
      <c r="E979" s="78">
        <f>IF('5B'!B29&lt;&gt;"",'5B'!E29,"")</f>
        <v/>
      </c>
      <c r="F979" s="78">
        <f>IF('5B'!B29&lt;&gt;"",'5B'!F29,"")</f>
        <v/>
      </c>
      <c r="G979" s="78">
        <f>IF('5B'!B29&lt;&gt;"",'5B'!G29,"")</f>
        <v/>
      </c>
      <c r="H979" s="97">
        <f>IF('5B'!B29&lt;&gt;"",'5B'!H29,"")</f>
        <v/>
      </c>
      <c r="I979" s="97">
        <f>IF('5B'!B29&lt;&gt;"",'5B'!I29,"")</f>
        <v/>
      </c>
      <c r="J979" s="78">
        <f>IF('5B'!B29&lt;&gt;"",'5B'!J29,"")</f>
        <v/>
      </c>
    </row>
    <row r="980" ht="15.75" customHeight="1" s="52">
      <c r="A980" s="92">
        <f>IF('5B'!B30&lt;&gt;"","5B","")</f>
        <v/>
      </c>
      <c r="B980" s="82">
        <f>IF('5B'!B30&lt;&gt;"",'5B'!B30,"")</f>
        <v/>
      </c>
      <c r="C980" s="82">
        <f>IF('5B'!B30&lt;&gt;"",'5B'!C30,"")</f>
        <v/>
      </c>
      <c r="D980" s="82">
        <f>IF('5B'!B30&lt;&gt;"",'5B'!D30,"")</f>
        <v/>
      </c>
      <c r="E980" s="82">
        <f>IF('5B'!B30&lt;&gt;"",'5B'!E30,"")</f>
        <v/>
      </c>
      <c r="F980" s="82">
        <f>IF('5B'!B30&lt;&gt;"",'5B'!F30,"")</f>
        <v/>
      </c>
      <c r="G980" s="82">
        <f>IF('5B'!B30&lt;&gt;"",'5B'!G30,"")</f>
        <v/>
      </c>
      <c r="H980" s="92">
        <f>IF('5B'!B30&lt;&gt;"",'5B'!H30,"")</f>
        <v/>
      </c>
      <c r="I980" s="92">
        <f>IF('5B'!B30&lt;&gt;"",'5B'!I30,"")</f>
        <v/>
      </c>
      <c r="J980" s="82">
        <f>IF('5B'!B30&lt;&gt;"",'5B'!J30,"")</f>
        <v/>
      </c>
    </row>
    <row r="981" ht="15.75" customHeight="1" s="52">
      <c r="A981" s="97">
        <f>IF('5B'!B31&lt;&gt;"","5B","")</f>
        <v/>
      </c>
      <c r="B981" s="78">
        <f>IF('5B'!B31&lt;&gt;"",'5B'!B31,"")</f>
        <v/>
      </c>
      <c r="C981" s="78">
        <f>IF('5B'!B31&lt;&gt;"",'5B'!C31,"")</f>
        <v/>
      </c>
      <c r="D981" s="78">
        <f>IF('5B'!B31&lt;&gt;"",'5B'!D31,"")</f>
        <v/>
      </c>
      <c r="E981" s="78">
        <f>IF('5B'!B31&lt;&gt;"",'5B'!E31,"")</f>
        <v/>
      </c>
      <c r="F981" s="78">
        <f>IF('5B'!B31&lt;&gt;"",'5B'!F31,"")</f>
        <v/>
      </c>
      <c r="G981" s="78">
        <f>IF('5B'!B31&lt;&gt;"",'5B'!G31,"")</f>
        <v/>
      </c>
      <c r="H981" s="97">
        <f>IF('5B'!B31&lt;&gt;"",'5B'!H31,"")</f>
        <v/>
      </c>
      <c r="I981" s="97">
        <f>IF('5B'!B31&lt;&gt;"",'5B'!I31,"")</f>
        <v/>
      </c>
      <c r="J981" s="78">
        <f>IF('5B'!B31&lt;&gt;"",'5B'!J31,"")</f>
        <v/>
      </c>
    </row>
    <row r="982" ht="15.75" customHeight="1" s="52">
      <c r="A982" s="92">
        <f>IF('5B'!B32&lt;&gt;"","5B","")</f>
        <v/>
      </c>
      <c r="B982" s="82">
        <f>IF('5B'!B32&lt;&gt;"",'5B'!B32,"")</f>
        <v/>
      </c>
      <c r="C982" s="82">
        <f>IF('5B'!B32&lt;&gt;"",'5B'!C32,"")</f>
        <v/>
      </c>
      <c r="D982" s="82">
        <f>IF('5B'!B32&lt;&gt;"",'5B'!D32,"")</f>
        <v/>
      </c>
      <c r="E982" s="82">
        <f>IF('5B'!B32&lt;&gt;"",'5B'!E32,"")</f>
        <v/>
      </c>
      <c r="F982" s="82">
        <f>IF('5B'!B32&lt;&gt;"",'5B'!F32,"")</f>
        <v/>
      </c>
      <c r="G982" s="82">
        <f>IF('5B'!B32&lt;&gt;"",'5B'!G32,"")</f>
        <v/>
      </c>
      <c r="H982" s="92">
        <f>IF('5B'!B32&lt;&gt;"",'5B'!H32,"")</f>
        <v/>
      </c>
      <c r="I982" s="92">
        <f>IF('5B'!B32&lt;&gt;"",'5B'!I32,"")</f>
        <v/>
      </c>
      <c r="J982" s="82">
        <f>IF('5B'!B32&lt;&gt;"",'5B'!J32,"")</f>
        <v/>
      </c>
    </row>
    <row r="983" ht="15.75" customHeight="1" s="52">
      <c r="A983" s="97">
        <f>IF('5B'!B33&lt;&gt;"","5B","")</f>
        <v/>
      </c>
      <c r="B983" s="78">
        <f>IF('5B'!B33&lt;&gt;"",'5B'!B33,"")</f>
        <v/>
      </c>
      <c r="C983" s="78">
        <f>IF('5B'!B33&lt;&gt;"",'5B'!C33,"")</f>
        <v/>
      </c>
      <c r="D983" s="78">
        <f>IF('5B'!B33&lt;&gt;"",'5B'!D33,"")</f>
        <v/>
      </c>
      <c r="E983" s="78">
        <f>IF('5B'!B33&lt;&gt;"",'5B'!E33,"")</f>
        <v/>
      </c>
      <c r="F983" s="78">
        <f>IF('5B'!B33&lt;&gt;"",'5B'!F33,"")</f>
        <v/>
      </c>
      <c r="G983" s="78">
        <f>IF('5B'!B33&lt;&gt;"",'5B'!G33,"")</f>
        <v/>
      </c>
      <c r="H983" s="97">
        <f>IF('5B'!B33&lt;&gt;"",'5B'!H33,"")</f>
        <v/>
      </c>
      <c r="I983" s="97">
        <f>IF('5B'!B33&lt;&gt;"",'5B'!I33,"")</f>
        <v/>
      </c>
      <c r="J983" s="78">
        <f>IF('5B'!B33&lt;&gt;"",'5B'!J33,"")</f>
        <v/>
      </c>
    </row>
    <row r="984" ht="15.75" customHeight="1" s="52">
      <c r="A984" s="92">
        <f>IF('5B'!B34&lt;&gt;"","5B","")</f>
        <v/>
      </c>
      <c r="B984" s="82">
        <f>IF('5B'!B34&lt;&gt;"",'5B'!B34,"")</f>
        <v/>
      </c>
      <c r="C984" s="82">
        <f>IF('5B'!B34&lt;&gt;"",'5B'!C34,"")</f>
        <v/>
      </c>
      <c r="D984" s="82">
        <f>IF('5B'!B34&lt;&gt;"",'5B'!D34,"")</f>
        <v/>
      </c>
      <c r="E984" s="82">
        <f>IF('5B'!B34&lt;&gt;"",'5B'!E34,"")</f>
        <v/>
      </c>
      <c r="F984" s="82">
        <f>IF('5B'!B34&lt;&gt;"",'5B'!F34,"")</f>
        <v/>
      </c>
      <c r="G984" s="82">
        <f>IF('5B'!B34&lt;&gt;"",'5B'!G34,"")</f>
        <v/>
      </c>
      <c r="H984" s="92">
        <f>IF('5B'!B34&lt;&gt;"",'5B'!H34,"")</f>
        <v/>
      </c>
      <c r="I984" s="92">
        <f>IF('5B'!B34&lt;&gt;"",'5B'!I34,"")</f>
        <v/>
      </c>
      <c r="J984" s="82">
        <f>IF('5B'!B34&lt;&gt;"",'5B'!J34,"")</f>
        <v/>
      </c>
    </row>
    <row r="985" ht="15.75" customHeight="1" s="52">
      <c r="A985" s="97">
        <f>IF('5B'!B35&lt;&gt;"","5B","")</f>
        <v/>
      </c>
      <c r="B985" s="78">
        <f>IF('5B'!B35&lt;&gt;"",'5B'!B35,"")</f>
        <v/>
      </c>
      <c r="C985" s="78">
        <f>IF('5B'!B35&lt;&gt;"",'5B'!C35,"")</f>
        <v/>
      </c>
      <c r="D985" s="78">
        <f>IF('5B'!B35&lt;&gt;"",'5B'!D35,"")</f>
        <v/>
      </c>
      <c r="E985" s="78">
        <f>IF('5B'!B35&lt;&gt;"",'5B'!E35,"")</f>
        <v/>
      </c>
      <c r="F985" s="78">
        <f>IF('5B'!B35&lt;&gt;"",'5B'!F35,"")</f>
        <v/>
      </c>
      <c r="G985" s="78">
        <f>IF('5B'!B35&lt;&gt;"",'5B'!G35,"")</f>
        <v/>
      </c>
      <c r="H985" s="97">
        <f>IF('5B'!B35&lt;&gt;"",'5B'!H35,"")</f>
        <v/>
      </c>
      <c r="I985" s="97">
        <f>IF('5B'!B35&lt;&gt;"",'5B'!I35,"")</f>
        <v/>
      </c>
      <c r="J985" s="78">
        <f>IF('5B'!B35&lt;&gt;"",'5B'!J35,"")</f>
        <v/>
      </c>
    </row>
    <row r="986" ht="15.75" customHeight="1" s="52">
      <c r="A986" s="92">
        <f>IF('5B'!B36&lt;&gt;"","5B","")</f>
        <v/>
      </c>
      <c r="B986" s="82">
        <f>IF('5B'!B36&lt;&gt;"",'5B'!B36,"")</f>
        <v/>
      </c>
      <c r="C986" s="82">
        <f>IF('5B'!B36&lt;&gt;"",'5B'!C36,"")</f>
        <v/>
      </c>
      <c r="D986" s="82">
        <f>IF('5B'!B36&lt;&gt;"",'5B'!D36,"")</f>
        <v/>
      </c>
      <c r="E986" s="82">
        <f>IF('5B'!B36&lt;&gt;"",'5B'!E36,"")</f>
        <v/>
      </c>
      <c r="F986" s="82">
        <f>IF('5B'!B36&lt;&gt;"",'5B'!F36,"")</f>
        <v/>
      </c>
      <c r="G986" s="82">
        <f>IF('5B'!B36&lt;&gt;"",'5B'!G36,"")</f>
        <v/>
      </c>
      <c r="H986" s="92">
        <f>IF('5B'!B36&lt;&gt;"",'5B'!H36,"")</f>
        <v/>
      </c>
      <c r="I986" s="92">
        <f>IF('5B'!B36&lt;&gt;"",'5B'!I36,"")</f>
        <v/>
      </c>
      <c r="J986" s="82">
        <f>IF('5B'!B36&lt;&gt;"",'5B'!J36,"")</f>
        <v/>
      </c>
    </row>
    <row r="987" ht="15.75" customHeight="1" s="52">
      <c r="A987" s="97">
        <f>IF('5B'!B37&lt;&gt;"","5B","")</f>
        <v/>
      </c>
      <c r="B987" s="78">
        <f>IF('5B'!B37&lt;&gt;"",'5B'!B37,"")</f>
        <v/>
      </c>
      <c r="C987" s="78">
        <f>IF('5B'!B37&lt;&gt;"",'5B'!C37,"")</f>
        <v/>
      </c>
      <c r="D987" s="78">
        <f>IF('5B'!B37&lt;&gt;"",'5B'!D37,"")</f>
        <v/>
      </c>
      <c r="E987" s="78">
        <f>IF('5B'!B37&lt;&gt;"",'5B'!E37,"")</f>
        <v/>
      </c>
      <c r="F987" s="78">
        <f>IF('5B'!B37&lt;&gt;"",'5B'!F37,"")</f>
        <v/>
      </c>
      <c r="G987" s="78">
        <f>IF('5B'!B37&lt;&gt;"",'5B'!G37,"")</f>
        <v/>
      </c>
      <c r="H987" s="97">
        <f>IF('5B'!B37&lt;&gt;"",'5B'!H37,"")</f>
        <v/>
      </c>
      <c r="I987" s="97">
        <f>IF('5B'!B37&lt;&gt;"",'5B'!I37,"")</f>
        <v/>
      </c>
      <c r="J987" s="78">
        <f>IF('5B'!B37&lt;&gt;"",'5B'!J37,"")</f>
        <v/>
      </c>
    </row>
    <row r="988" ht="15.75" customHeight="1" s="52">
      <c r="A988" s="92">
        <f>IF('5B'!B38&lt;&gt;"","5B","")</f>
        <v/>
      </c>
      <c r="B988" s="82">
        <f>IF('5B'!B38&lt;&gt;"",'5B'!B38,"")</f>
        <v/>
      </c>
      <c r="C988" s="82">
        <f>IF('5B'!B38&lt;&gt;"",'5B'!C38,"")</f>
        <v/>
      </c>
      <c r="D988" s="82">
        <f>IF('5B'!B38&lt;&gt;"",'5B'!D38,"")</f>
        <v/>
      </c>
      <c r="E988" s="82">
        <f>IF('5B'!B38&lt;&gt;"",'5B'!E38,"")</f>
        <v/>
      </c>
      <c r="F988" s="82">
        <f>IF('5B'!B38&lt;&gt;"",'5B'!F38,"")</f>
        <v/>
      </c>
      <c r="G988" s="82">
        <f>IF('5B'!B38&lt;&gt;"",'5B'!G38,"")</f>
        <v/>
      </c>
      <c r="H988" s="92">
        <f>IF('5B'!B38&lt;&gt;"",'5B'!H38,"")</f>
        <v/>
      </c>
      <c r="I988" s="92">
        <f>IF('5B'!B38&lt;&gt;"",'5B'!I38,"")</f>
        <v/>
      </c>
      <c r="J988" s="82">
        <f>IF('5B'!B38&lt;&gt;"",'5B'!J38,"")</f>
        <v/>
      </c>
    </row>
    <row r="989" ht="15.75" customHeight="1" s="52">
      <c r="A989" s="97">
        <f>IF('5B'!B39&lt;&gt;"","5B","")</f>
        <v/>
      </c>
      <c r="B989" s="78">
        <f>IF('5B'!B39&lt;&gt;"",'5B'!B39,"")</f>
        <v/>
      </c>
      <c r="C989" s="78">
        <f>IF('5B'!B39&lt;&gt;"",'5B'!C39,"")</f>
        <v/>
      </c>
      <c r="D989" s="78">
        <f>IF('5B'!B39&lt;&gt;"",'5B'!D39,"")</f>
        <v/>
      </c>
      <c r="E989" s="78">
        <f>IF('5B'!B39&lt;&gt;"",'5B'!E39,"")</f>
        <v/>
      </c>
      <c r="F989" s="78">
        <f>IF('5B'!B39&lt;&gt;"",'5B'!F39,"")</f>
        <v/>
      </c>
      <c r="G989" s="78">
        <f>IF('5B'!B39&lt;&gt;"",'5B'!G39,"")</f>
        <v/>
      </c>
      <c r="H989" s="97">
        <f>IF('5B'!B39&lt;&gt;"",'5B'!H39,"")</f>
        <v/>
      </c>
      <c r="I989" s="97">
        <f>IF('5B'!B39&lt;&gt;"",'5B'!I39,"")</f>
        <v/>
      </c>
      <c r="J989" s="78">
        <f>IF('5B'!B39&lt;&gt;"",'5B'!J39,"")</f>
        <v/>
      </c>
    </row>
    <row r="990" ht="15.75" customHeight="1" s="52">
      <c r="A990" s="92">
        <f>IF('5B'!B40&lt;&gt;"","5B","")</f>
        <v/>
      </c>
      <c r="B990" s="82">
        <f>IF('5B'!B40&lt;&gt;"",'5B'!B40,"")</f>
        <v/>
      </c>
      <c r="C990" s="82">
        <f>IF('5B'!B40&lt;&gt;"",'5B'!C40,"")</f>
        <v/>
      </c>
      <c r="D990" s="82">
        <f>IF('5B'!B40&lt;&gt;"",'5B'!D40,"")</f>
        <v/>
      </c>
      <c r="E990" s="82">
        <f>IF('5B'!B40&lt;&gt;"",'5B'!E40,"")</f>
        <v/>
      </c>
      <c r="F990" s="82">
        <f>IF('5B'!B40&lt;&gt;"",'5B'!F40,"")</f>
        <v/>
      </c>
      <c r="G990" s="82">
        <f>IF('5B'!B40&lt;&gt;"",'5B'!G40,"")</f>
        <v/>
      </c>
      <c r="H990" s="92">
        <f>IF('5B'!B40&lt;&gt;"",'5B'!H40,"")</f>
        <v/>
      </c>
      <c r="I990" s="92">
        <f>IF('5B'!B40&lt;&gt;"",'5B'!I40,"")</f>
        <v/>
      </c>
      <c r="J990" s="82">
        <f>IF('5B'!B40&lt;&gt;"",'5B'!J40,"")</f>
        <v/>
      </c>
    </row>
    <row r="991" ht="15.75" customHeight="1" s="52">
      <c r="A991" s="97">
        <f>IF('5B'!B41&lt;&gt;"","5B","")</f>
        <v/>
      </c>
      <c r="B991" s="78">
        <f>IF('5B'!B41&lt;&gt;"",'5B'!B41,"")</f>
        <v/>
      </c>
      <c r="C991" s="78">
        <f>IF('5B'!B41&lt;&gt;"",'5B'!C41,"")</f>
        <v/>
      </c>
      <c r="D991" s="78">
        <f>IF('5B'!B41&lt;&gt;"",'5B'!D41,"")</f>
        <v/>
      </c>
      <c r="E991" s="78">
        <f>IF('5B'!B41&lt;&gt;"",'5B'!E41,"")</f>
        <v/>
      </c>
      <c r="F991" s="78">
        <f>IF('5B'!B41&lt;&gt;"",'5B'!F41,"")</f>
        <v/>
      </c>
      <c r="G991" s="78">
        <f>IF('5B'!B41&lt;&gt;"",'5B'!G41,"")</f>
        <v/>
      </c>
      <c r="H991" s="97">
        <f>IF('5B'!B41&lt;&gt;"",'5B'!H41,"")</f>
        <v/>
      </c>
      <c r="I991" s="97">
        <f>IF('5B'!B41&lt;&gt;"",'5B'!I41,"")</f>
        <v/>
      </c>
      <c r="J991" s="78">
        <f>IF('5B'!B41&lt;&gt;"",'5B'!J41,"")</f>
        <v/>
      </c>
    </row>
    <row r="992" ht="15.75" customHeight="1" s="52">
      <c r="A992" s="92">
        <f>IF('5B'!B42&lt;&gt;"","5B","")</f>
        <v/>
      </c>
      <c r="B992" s="82">
        <f>IF('5B'!B42&lt;&gt;"",'5B'!B42,"")</f>
        <v/>
      </c>
      <c r="C992" s="82">
        <f>IF('5B'!B42&lt;&gt;"",'5B'!C42,"")</f>
        <v/>
      </c>
      <c r="D992" s="82">
        <f>IF('5B'!B42&lt;&gt;"",'5B'!D42,"")</f>
        <v/>
      </c>
      <c r="E992" s="82">
        <f>IF('5B'!B42&lt;&gt;"",'5B'!E42,"")</f>
        <v/>
      </c>
      <c r="F992" s="82">
        <f>IF('5B'!B42&lt;&gt;"",'5B'!F42,"")</f>
        <v/>
      </c>
      <c r="G992" s="82">
        <f>IF('5B'!B42&lt;&gt;"",'5B'!G42,"")</f>
        <v/>
      </c>
      <c r="H992" s="92">
        <f>IF('5B'!B42&lt;&gt;"",'5B'!H42,"")</f>
        <v/>
      </c>
      <c r="I992" s="92">
        <f>IF('5B'!B42&lt;&gt;"",'5B'!I42,"")</f>
        <v/>
      </c>
      <c r="J992" s="82">
        <f>IF('5B'!B42&lt;&gt;"",'5B'!J42,"")</f>
        <v/>
      </c>
    </row>
    <row r="993" ht="15.75" customHeight="1" s="52">
      <c r="A993" s="97">
        <f>IF('5B'!B43&lt;&gt;"","5B","")</f>
        <v/>
      </c>
      <c r="B993" s="78">
        <f>IF('5B'!B43&lt;&gt;"",'5B'!B43,"")</f>
        <v/>
      </c>
      <c r="C993" s="78">
        <f>IF('5B'!B43&lt;&gt;"",'5B'!C43,"")</f>
        <v/>
      </c>
      <c r="D993" s="78">
        <f>IF('5B'!B43&lt;&gt;"",'5B'!D43,"")</f>
        <v/>
      </c>
      <c r="E993" s="78">
        <f>IF('5B'!B43&lt;&gt;"",'5B'!E43,"")</f>
        <v/>
      </c>
      <c r="F993" s="78">
        <f>IF('5B'!B43&lt;&gt;"",'5B'!F43,"")</f>
        <v/>
      </c>
      <c r="G993" s="78">
        <f>IF('5B'!B43&lt;&gt;"",'5B'!G43,"")</f>
        <v/>
      </c>
      <c r="H993" s="97">
        <f>IF('5B'!B43&lt;&gt;"",'5B'!H43,"")</f>
        <v/>
      </c>
      <c r="I993" s="97">
        <f>IF('5B'!B43&lt;&gt;"",'5B'!I43,"")</f>
        <v/>
      </c>
      <c r="J993" s="78">
        <f>IF('5B'!B43&lt;&gt;"",'5B'!J43,"")</f>
        <v/>
      </c>
    </row>
    <row r="994" ht="15.75" customHeight="1" s="52">
      <c r="A994" s="92">
        <f>IF('5B'!B44&lt;&gt;"","5B","")</f>
        <v/>
      </c>
      <c r="B994" s="82">
        <f>IF('5B'!B44&lt;&gt;"",'5B'!B44,"")</f>
        <v/>
      </c>
      <c r="C994" s="82">
        <f>IF('5B'!B44&lt;&gt;"",'5B'!C44,"")</f>
        <v/>
      </c>
      <c r="D994" s="82">
        <f>IF('5B'!B44&lt;&gt;"",'5B'!D44,"")</f>
        <v/>
      </c>
      <c r="E994" s="82">
        <f>IF('5B'!B44&lt;&gt;"",'5B'!E44,"")</f>
        <v/>
      </c>
      <c r="F994" s="82">
        <f>IF('5B'!B44&lt;&gt;"",'5B'!F44,"")</f>
        <v/>
      </c>
      <c r="G994" s="82">
        <f>IF('5B'!B44&lt;&gt;"",'5B'!G44,"")</f>
        <v/>
      </c>
      <c r="H994" s="92">
        <f>IF('5B'!B44&lt;&gt;"",'5B'!H44,"")</f>
        <v/>
      </c>
      <c r="I994" s="92">
        <f>IF('5B'!B44&lt;&gt;"",'5B'!I44,"")</f>
        <v/>
      </c>
      <c r="J994" s="82">
        <f>IF('5B'!B44&lt;&gt;"",'5B'!J44,"")</f>
        <v/>
      </c>
    </row>
    <row r="995" ht="15.75" customHeight="1" s="52">
      <c r="A995" s="97">
        <f>IF('5B'!B45&lt;&gt;"","5B","")</f>
        <v/>
      </c>
      <c r="B995" s="78">
        <f>IF('5B'!B45&lt;&gt;"",'5B'!B45,"")</f>
        <v/>
      </c>
      <c r="C995" s="78">
        <f>IF('5B'!B45&lt;&gt;"",'5B'!C45,"")</f>
        <v/>
      </c>
      <c r="D995" s="78">
        <f>IF('5B'!B45&lt;&gt;"",'5B'!D45,"")</f>
        <v/>
      </c>
      <c r="E995" s="78">
        <f>IF('5B'!B45&lt;&gt;"",'5B'!E45,"")</f>
        <v/>
      </c>
      <c r="F995" s="78">
        <f>IF('5B'!B45&lt;&gt;"",'5B'!F45,"")</f>
        <v/>
      </c>
      <c r="G995" s="78">
        <f>IF('5B'!B45&lt;&gt;"",'5B'!G45,"")</f>
        <v/>
      </c>
      <c r="H995" s="97">
        <f>IF('5B'!B45&lt;&gt;"",'5B'!H45,"")</f>
        <v/>
      </c>
      <c r="I995" s="97">
        <f>IF('5B'!B45&lt;&gt;"",'5B'!I45,"")</f>
        <v/>
      </c>
      <c r="J995" s="78">
        <f>IF('5B'!B45&lt;&gt;"",'5B'!J45,"")</f>
        <v/>
      </c>
    </row>
    <row r="996" ht="15.75" customHeight="1" s="52">
      <c r="A996" s="92">
        <f>IF('5B'!B46&lt;&gt;"","5B","")</f>
        <v/>
      </c>
      <c r="B996" s="82">
        <f>IF('5B'!B46&lt;&gt;"",'5B'!B46,"")</f>
        <v/>
      </c>
      <c r="C996" s="82">
        <f>IF('5B'!B46&lt;&gt;"",'5B'!C46,"")</f>
        <v/>
      </c>
      <c r="D996" s="82">
        <f>IF('5B'!B46&lt;&gt;"",'5B'!D46,"")</f>
        <v/>
      </c>
      <c r="E996" s="82">
        <f>IF('5B'!B46&lt;&gt;"",'5B'!E46,"")</f>
        <v/>
      </c>
      <c r="F996" s="82">
        <f>IF('5B'!B46&lt;&gt;"",'5B'!F46,"")</f>
        <v/>
      </c>
      <c r="G996" s="82">
        <f>IF('5B'!B46&lt;&gt;"",'5B'!G46,"")</f>
        <v/>
      </c>
      <c r="H996" s="92">
        <f>IF('5B'!B46&lt;&gt;"",'5B'!H46,"")</f>
        <v/>
      </c>
      <c r="I996" s="92">
        <f>IF('5B'!B46&lt;&gt;"",'5B'!I46,"")</f>
        <v/>
      </c>
      <c r="J996" s="82">
        <f>IF('5B'!B46&lt;&gt;"",'5B'!J46,"")</f>
        <v/>
      </c>
    </row>
    <row r="997" ht="15.75" customHeight="1" s="52">
      <c r="A997" s="97">
        <f>IF('5B'!B47&lt;&gt;"","5B","")</f>
        <v/>
      </c>
      <c r="B997" s="78">
        <f>IF('5B'!B47&lt;&gt;"",'5B'!B47,"")</f>
        <v/>
      </c>
      <c r="C997" s="78">
        <f>IF('5B'!B47&lt;&gt;"",'5B'!C47,"")</f>
        <v/>
      </c>
      <c r="D997" s="78">
        <f>IF('5B'!B47&lt;&gt;"",'5B'!D47,"")</f>
        <v/>
      </c>
      <c r="E997" s="78">
        <f>IF('5B'!B47&lt;&gt;"",'5B'!E47,"")</f>
        <v/>
      </c>
      <c r="F997" s="78">
        <f>IF('5B'!B47&lt;&gt;"",'5B'!F47,"")</f>
        <v/>
      </c>
      <c r="G997" s="78">
        <f>IF('5B'!B47&lt;&gt;"",'5B'!G47,"")</f>
        <v/>
      </c>
      <c r="H997" s="97">
        <f>IF('5B'!B47&lt;&gt;"",'5B'!H47,"")</f>
        <v/>
      </c>
      <c r="I997" s="97">
        <f>IF('5B'!B47&lt;&gt;"",'5B'!I47,"")</f>
        <v/>
      </c>
      <c r="J997" s="78">
        <f>IF('5B'!B47&lt;&gt;"",'5B'!J47,"")</f>
        <v/>
      </c>
    </row>
    <row r="998" ht="15.75" customHeight="1" s="52">
      <c r="A998" s="92">
        <f>IF('5B'!B48&lt;&gt;"","5B","")</f>
        <v/>
      </c>
      <c r="B998" s="82">
        <f>IF('5B'!B48&lt;&gt;"",'5B'!B48,"")</f>
        <v/>
      </c>
      <c r="C998" s="82">
        <f>IF('5B'!B48&lt;&gt;"",'5B'!C48,"")</f>
        <v/>
      </c>
      <c r="D998" s="82">
        <f>IF('5B'!B48&lt;&gt;"",'5B'!D48,"")</f>
        <v/>
      </c>
      <c r="E998" s="82">
        <f>IF('5B'!B48&lt;&gt;"",'5B'!E48,"")</f>
        <v/>
      </c>
      <c r="F998" s="82">
        <f>IF('5B'!B48&lt;&gt;"",'5B'!F48,"")</f>
        <v/>
      </c>
      <c r="G998" s="82">
        <f>IF('5B'!B48&lt;&gt;"",'5B'!G48,"")</f>
        <v/>
      </c>
      <c r="H998" s="92">
        <f>IF('5B'!B48&lt;&gt;"",'5B'!H48,"")</f>
        <v/>
      </c>
      <c r="I998" s="92">
        <f>IF('5B'!B48&lt;&gt;"",'5B'!I48,"")</f>
        <v/>
      </c>
      <c r="J998" s="82">
        <f>IF('5B'!B48&lt;&gt;"",'5B'!J48,"")</f>
        <v/>
      </c>
    </row>
    <row r="999" ht="15.75" customHeight="1" s="52">
      <c r="A999" s="97">
        <f>IF('5B'!B49&lt;&gt;"","5B","")</f>
        <v/>
      </c>
      <c r="B999" s="78">
        <f>IF('5B'!B49&lt;&gt;"",'5B'!B49,"")</f>
        <v/>
      </c>
      <c r="C999" s="78">
        <f>IF('5B'!B49&lt;&gt;"",'5B'!C49,"")</f>
        <v/>
      </c>
      <c r="D999" s="78">
        <f>IF('5B'!B49&lt;&gt;"",'5B'!D49,"")</f>
        <v/>
      </c>
      <c r="E999" s="78">
        <f>IF('5B'!B49&lt;&gt;"",'5B'!E49,"")</f>
        <v/>
      </c>
      <c r="F999" s="78">
        <f>IF('5B'!B49&lt;&gt;"",'5B'!F49,"")</f>
        <v/>
      </c>
      <c r="G999" s="78">
        <f>IF('5B'!B49&lt;&gt;"",'5B'!G49,"")</f>
        <v/>
      </c>
      <c r="H999" s="97">
        <f>IF('5B'!B49&lt;&gt;"",'5B'!H49,"")</f>
        <v/>
      </c>
      <c r="I999" s="97">
        <f>IF('5B'!B49&lt;&gt;"",'5B'!I49,"")</f>
        <v/>
      </c>
      <c r="J999" s="78">
        <f>IF('5B'!B49&lt;&gt;"",'5B'!J49,"")</f>
        <v/>
      </c>
    </row>
    <row r="1000" ht="15.75" customHeight="1" s="52">
      <c r="A1000" s="92">
        <f>IF('5B'!B50&lt;&gt;"","5B","")</f>
        <v/>
      </c>
      <c r="B1000" s="82">
        <f>IF('5B'!B50&lt;&gt;"",'5B'!B50,"")</f>
        <v/>
      </c>
      <c r="C1000" s="82">
        <f>IF('5B'!B50&lt;&gt;"",'5B'!C50,"")</f>
        <v/>
      </c>
      <c r="D1000" s="82">
        <f>IF('5B'!B50&lt;&gt;"",'5B'!D50,"")</f>
        <v/>
      </c>
      <c r="E1000" s="82">
        <f>IF('5B'!B50&lt;&gt;"",'5B'!E50,"")</f>
        <v/>
      </c>
      <c r="F1000" s="82">
        <f>IF('5B'!B50&lt;&gt;"",'5B'!F50,"")</f>
        <v/>
      </c>
      <c r="G1000" s="82">
        <f>IF('5B'!B50&lt;&gt;"",'5B'!G50,"")</f>
        <v/>
      </c>
      <c r="H1000" s="92">
        <f>IF('5B'!B50&lt;&gt;"",'5B'!H50,"")</f>
        <v/>
      </c>
      <c r="I1000" s="92">
        <f>IF('5B'!B50&lt;&gt;"",'5B'!I50,"")</f>
        <v/>
      </c>
      <c r="J1000" s="82">
        <f>IF('5B'!B50&lt;&gt;"",'5B'!J50,"")</f>
        <v/>
      </c>
    </row>
    <row r="1001" ht="15.75" customHeight="1" s="52">
      <c r="A1001" s="97">
        <f>IF('5B'!B51&lt;&gt;"","5B","")</f>
        <v/>
      </c>
      <c r="B1001" s="78">
        <f>IF('5B'!B51&lt;&gt;"",'5B'!B51,"")</f>
        <v/>
      </c>
      <c r="C1001" s="78">
        <f>IF('5B'!B51&lt;&gt;"",'5B'!C51,"")</f>
        <v/>
      </c>
      <c r="D1001" s="78">
        <f>IF('5B'!B51&lt;&gt;"",'5B'!D51,"")</f>
        <v/>
      </c>
      <c r="E1001" s="78">
        <f>IF('5B'!B51&lt;&gt;"",'5B'!E51,"")</f>
        <v/>
      </c>
      <c r="F1001" s="78">
        <f>IF('5B'!B51&lt;&gt;"",'5B'!F51,"")</f>
        <v/>
      </c>
      <c r="G1001" s="78">
        <f>IF('5B'!B51&lt;&gt;"",'5B'!G51,"")</f>
        <v/>
      </c>
      <c r="H1001" s="97">
        <f>IF('5B'!B51&lt;&gt;"",'5B'!H51,"")</f>
        <v/>
      </c>
      <c r="I1001" s="97">
        <f>IF('5B'!B51&lt;&gt;"",'5B'!I51,"")</f>
        <v/>
      </c>
      <c r="J1001" s="78">
        <f>IF('5B'!B51&lt;&gt;"",'5B'!J51,"")</f>
        <v/>
      </c>
    </row>
    <row r="1002" ht="15.75" customHeight="1" s="52">
      <c r="A1002" s="92">
        <f>IF('5B'!B52&lt;&gt;"","5B","")</f>
        <v/>
      </c>
      <c r="B1002" s="82">
        <f>IF('5B'!B52&lt;&gt;"",'5B'!B52,"")</f>
        <v/>
      </c>
      <c r="C1002" s="82">
        <f>IF('5B'!B52&lt;&gt;"",'5B'!C52,"")</f>
        <v/>
      </c>
      <c r="D1002" s="82">
        <f>IF('5B'!B52&lt;&gt;"",'5B'!D52,"")</f>
        <v/>
      </c>
      <c r="E1002" s="82">
        <f>IF('5B'!B52&lt;&gt;"",'5B'!E52,"")</f>
        <v/>
      </c>
      <c r="F1002" s="82">
        <f>IF('5B'!B52&lt;&gt;"",'5B'!F52,"")</f>
        <v/>
      </c>
      <c r="G1002" s="82">
        <f>IF('5B'!B52&lt;&gt;"",'5B'!G52,"")</f>
        <v/>
      </c>
      <c r="H1002" s="92">
        <f>IF('5B'!B52&lt;&gt;"",'5B'!H52,"")</f>
        <v/>
      </c>
      <c r="I1002" s="92">
        <f>IF('5B'!B52&lt;&gt;"",'5B'!I52,"")</f>
        <v/>
      </c>
      <c r="J1002" s="82">
        <f>IF('5B'!B52&lt;&gt;"",'5B'!J52,"")</f>
        <v/>
      </c>
    </row>
    <row r="1003" ht="15.75" customHeight="1" s="52">
      <c r="A1003" s="97">
        <f>IF('5B'!B53&lt;&gt;"","5B","")</f>
        <v/>
      </c>
      <c r="B1003" s="78">
        <f>IF('5B'!B53&lt;&gt;"",'5B'!B53,"")</f>
        <v/>
      </c>
      <c r="C1003" s="78">
        <f>IF('5B'!B53&lt;&gt;"",'5B'!C53,"")</f>
        <v/>
      </c>
      <c r="D1003" s="78">
        <f>IF('5B'!B53&lt;&gt;"",'5B'!D53,"")</f>
        <v/>
      </c>
      <c r="E1003" s="78">
        <f>IF('5B'!B53&lt;&gt;"",'5B'!E53,"")</f>
        <v/>
      </c>
      <c r="F1003" s="78">
        <f>IF('5B'!B53&lt;&gt;"",'5B'!F53,"")</f>
        <v/>
      </c>
      <c r="G1003" s="78">
        <f>IF('5B'!B53&lt;&gt;"",'5B'!G53,"")</f>
        <v/>
      </c>
      <c r="H1003" s="97">
        <f>IF('5B'!B53&lt;&gt;"",'5B'!H53,"")</f>
        <v/>
      </c>
      <c r="I1003" s="97">
        <f>IF('5B'!B53&lt;&gt;"",'5B'!I53,"")</f>
        <v/>
      </c>
      <c r="J1003" s="78">
        <f>IF('5B'!B53&lt;&gt;"",'5B'!J53,"")</f>
        <v/>
      </c>
    </row>
    <row r="1004" ht="15.75" customHeight="1" s="52">
      <c r="A1004" s="92">
        <f>IF('5B'!B54&lt;&gt;"","5B","")</f>
        <v/>
      </c>
      <c r="B1004" s="82">
        <f>IF('5B'!B54&lt;&gt;"",'5B'!B54,"")</f>
        <v/>
      </c>
      <c r="C1004" s="82">
        <f>IF('5B'!B54&lt;&gt;"",'5B'!C54,"")</f>
        <v/>
      </c>
      <c r="D1004" s="82">
        <f>IF('5B'!B54&lt;&gt;"",'5B'!D54,"")</f>
        <v/>
      </c>
      <c r="E1004" s="82">
        <f>IF('5B'!B54&lt;&gt;"",'5B'!E54,"")</f>
        <v/>
      </c>
      <c r="F1004" s="82">
        <f>IF('5B'!B54&lt;&gt;"",'5B'!F54,"")</f>
        <v/>
      </c>
      <c r="G1004" s="82">
        <f>IF('5B'!B54&lt;&gt;"",'5B'!G54,"")</f>
        <v/>
      </c>
      <c r="H1004" s="92">
        <f>IF('5B'!B54&lt;&gt;"",'5B'!H54,"")</f>
        <v/>
      </c>
      <c r="I1004" s="92">
        <f>IF('5B'!B54&lt;&gt;"",'5B'!I54,"")</f>
        <v/>
      </c>
      <c r="J1004" s="82">
        <f>IF('5B'!B54&lt;&gt;"",'5B'!J54,"")</f>
        <v/>
      </c>
    </row>
    <row r="1005" ht="15.75" customHeight="1" s="52">
      <c r="A1005" s="97">
        <f>IF('5C'!B5&lt;&gt;"","5C","")</f>
        <v/>
      </c>
      <c r="B1005" s="78">
        <f>IF('5C'!B5&lt;&gt;"",'5C'!B5,"")</f>
        <v/>
      </c>
      <c r="C1005" s="78">
        <f>IF('5C'!B5&lt;&gt;"",'5C'!C5,"")</f>
        <v/>
      </c>
      <c r="D1005" s="78">
        <f>IF('5C'!B5&lt;&gt;"",'5C'!D5,"")</f>
        <v/>
      </c>
      <c r="E1005" s="78">
        <f>IF('5C'!B5&lt;&gt;"",'5C'!E5,"")</f>
        <v/>
      </c>
      <c r="F1005" s="78">
        <f>IF('5C'!B5&lt;&gt;"",'5C'!F5,"")</f>
        <v/>
      </c>
      <c r="G1005" s="78">
        <f>IF('5C'!B5&lt;&gt;"",'5C'!G5,"")</f>
        <v/>
      </c>
      <c r="H1005" s="97">
        <f>IF('5C'!B5&lt;&gt;"",'5C'!H5,"")</f>
        <v/>
      </c>
      <c r="I1005" s="97">
        <f>IF('5C'!B5&lt;&gt;"",'5C'!I5,"")</f>
        <v/>
      </c>
      <c r="J1005" s="78">
        <f>IF('5C'!B5&lt;&gt;"",'5C'!J5,"")</f>
        <v/>
      </c>
    </row>
    <row r="1006" ht="15.75" customHeight="1" s="52">
      <c r="A1006" s="92">
        <f>IF('5C'!B6&lt;&gt;"","5C","")</f>
        <v/>
      </c>
      <c r="B1006" s="82">
        <f>IF('5C'!B6&lt;&gt;"",'5C'!B6,"")</f>
        <v/>
      </c>
      <c r="C1006" s="82">
        <f>IF('5C'!B6&lt;&gt;"",'5C'!C6,"")</f>
        <v/>
      </c>
      <c r="D1006" s="82">
        <f>IF('5C'!B6&lt;&gt;"",'5C'!D6,"")</f>
        <v/>
      </c>
      <c r="E1006" s="82">
        <f>IF('5C'!B6&lt;&gt;"",'5C'!E6,"")</f>
        <v/>
      </c>
      <c r="F1006" s="82">
        <f>IF('5C'!B6&lt;&gt;"",'5C'!F6,"")</f>
        <v/>
      </c>
      <c r="G1006" s="82">
        <f>IF('5C'!B6&lt;&gt;"",'5C'!G6,"")</f>
        <v/>
      </c>
      <c r="H1006" s="92">
        <f>IF('5C'!B6&lt;&gt;"",'5C'!H6,"")</f>
        <v/>
      </c>
      <c r="I1006" s="92">
        <f>IF('5C'!B6&lt;&gt;"",'5C'!I6,"")</f>
        <v/>
      </c>
      <c r="J1006" s="82">
        <f>IF('5C'!B6&lt;&gt;"",'5C'!J6,"")</f>
        <v/>
      </c>
    </row>
    <row r="1007" ht="15.75" customHeight="1" s="52">
      <c r="A1007" s="97">
        <f>IF('5C'!B7&lt;&gt;"","5C","")</f>
        <v/>
      </c>
      <c r="B1007" s="78">
        <f>IF('5C'!B7&lt;&gt;"",'5C'!B7,"")</f>
        <v/>
      </c>
      <c r="C1007" s="78">
        <f>IF('5C'!B7&lt;&gt;"",'5C'!C7,"")</f>
        <v/>
      </c>
      <c r="D1007" s="78">
        <f>IF('5C'!B7&lt;&gt;"",'5C'!D7,"")</f>
        <v/>
      </c>
      <c r="E1007" s="78">
        <f>IF('5C'!B7&lt;&gt;"",'5C'!E7,"")</f>
        <v/>
      </c>
      <c r="F1007" s="78">
        <f>IF('5C'!B7&lt;&gt;"",'5C'!F7,"")</f>
        <v/>
      </c>
      <c r="G1007" s="78">
        <f>IF('5C'!B7&lt;&gt;"",'5C'!G7,"")</f>
        <v/>
      </c>
      <c r="H1007" s="97">
        <f>IF('5C'!B7&lt;&gt;"",'5C'!H7,"")</f>
        <v/>
      </c>
      <c r="I1007" s="97">
        <f>IF('5C'!B7&lt;&gt;"",'5C'!I7,"")</f>
        <v/>
      </c>
      <c r="J1007" s="78">
        <f>IF('5C'!B7&lt;&gt;"",'5C'!J7,"")</f>
        <v/>
      </c>
    </row>
    <row r="1008" ht="15.75" customHeight="1" s="52">
      <c r="A1008" s="92">
        <f>IF('5C'!B8&lt;&gt;"","5C","")</f>
        <v/>
      </c>
      <c r="B1008" s="82">
        <f>IF('5C'!B8&lt;&gt;"",'5C'!B8,"")</f>
        <v/>
      </c>
      <c r="C1008" s="82">
        <f>IF('5C'!B8&lt;&gt;"",'5C'!C8,"")</f>
        <v/>
      </c>
      <c r="D1008" s="82">
        <f>IF('5C'!B8&lt;&gt;"",'5C'!D8,"")</f>
        <v/>
      </c>
      <c r="E1008" s="82">
        <f>IF('5C'!B8&lt;&gt;"",'5C'!E8,"")</f>
        <v/>
      </c>
      <c r="F1008" s="82">
        <f>IF('5C'!B8&lt;&gt;"",'5C'!F8,"")</f>
        <v/>
      </c>
      <c r="G1008" s="82">
        <f>IF('5C'!B8&lt;&gt;"",'5C'!G8,"")</f>
        <v/>
      </c>
      <c r="H1008" s="92">
        <f>IF('5C'!B8&lt;&gt;"",'5C'!H8,"")</f>
        <v/>
      </c>
      <c r="I1008" s="92">
        <f>IF('5C'!B8&lt;&gt;"",'5C'!I8,"")</f>
        <v/>
      </c>
      <c r="J1008" s="82">
        <f>IF('5C'!B8&lt;&gt;"",'5C'!J8,"")</f>
        <v/>
      </c>
    </row>
    <row r="1009" ht="15.75" customHeight="1" s="52">
      <c r="A1009" s="97">
        <f>IF('5C'!B9&lt;&gt;"","5C","")</f>
        <v/>
      </c>
      <c r="B1009" s="78">
        <f>IF('5C'!B9&lt;&gt;"",'5C'!B9,"")</f>
        <v/>
      </c>
      <c r="C1009" s="78">
        <f>IF('5C'!B9&lt;&gt;"",'5C'!C9,"")</f>
        <v/>
      </c>
      <c r="D1009" s="78">
        <f>IF('5C'!B9&lt;&gt;"",'5C'!D9,"")</f>
        <v/>
      </c>
      <c r="E1009" s="78">
        <f>IF('5C'!B9&lt;&gt;"",'5C'!E9,"")</f>
        <v/>
      </c>
      <c r="F1009" s="78">
        <f>IF('5C'!B9&lt;&gt;"",'5C'!F9,"")</f>
        <v/>
      </c>
      <c r="G1009" s="78">
        <f>IF('5C'!B9&lt;&gt;"",'5C'!G9,"")</f>
        <v/>
      </c>
      <c r="H1009" s="97">
        <f>IF('5C'!B9&lt;&gt;"",'5C'!H9,"")</f>
        <v/>
      </c>
      <c r="I1009" s="97">
        <f>IF('5C'!B9&lt;&gt;"",'5C'!I9,"")</f>
        <v/>
      </c>
      <c r="J1009" s="78">
        <f>IF('5C'!B9&lt;&gt;"",'5C'!J9,"")</f>
        <v/>
      </c>
    </row>
    <row r="1010" ht="15.75" customHeight="1" s="52">
      <c r="A1010" s="92">
        <f>IF('5C'!B10&lt;&gt;"","5C","")</f>
        <v/>
      </c>
      <c r="B1010" s="82">
        <f>IF('5C'!B10&lt;&gt;"",'5C'!B10,"")</f>
        <v/>
      </c>
      <c r="C1010" s="82">
        <f>IF('5C'!B10&lt;&gt;"",'5C'!C10,"")</f>
        <v/>
      </c>
      <c r="D1010" s="82">
        <f>IF('5C'!B10&lt;&gt;"",'5C'!D10,"")</f>
        <v/>
      </c>
      <c r="E1010" s="82">
        <f>IF('5C'!B10&lt;&gt;"",'5C'!E10,"")</f>
        <v/>
      </c>
      <c r="F1010" s="82">
        <f>IF('5C'!B10&lt;&gt;"",'5C'!F10,"")</f>
        <v/>
      </c>
      <c r="G1010" s="82">
        <f>IF('5C'!B10&lt;&gt;"",'5C'!G10,"")</f>
        <v/>
      </c>
      <c r="H1010" s="92">
        <f>IF('5C'!B10&lt;&gt;"",'5C'!H10,"")</f>
        <v/>
      </c>
      <c r="I1010" s="92">
        <f>IF('5C'!B10&lt;&gt;"",'5C'!I10,"")</f>
        <v/>
      </c>
      <c r="J1010" s="82">
        <f>IF('5C'!B10&lt;&gt;"",'5C'!J10,"")</f>
        <v/>
      </c>
    </row>
    <row r="1011" ht="15.75" customHeight="1" s="52">
      <c r="A1011" s="97">
        <f>IF('5C'!B11&lt;&gt;"","5C","")</f>
        <v/>
      </c>
      <c r="B1011" s="78">
        <f>IF('5C'!B11&lt;&gt;"",'5C'!B11,"")</f>
        <v/>
      </c>
      <c r="C1011" s="78">
        <f>IF('5C'!B11&lt;&gt;"",'5C'!C11,"")</f>
        <v/>
      </c>
      <c r="D1011" s="78">
        <f>IF('5C'!B11&lt;&gt;"",'5C'!D11,"")</f>
        <v/>
      </c>
      <c r="E1011" s="78">
        <f>IF('5C'!B11&lt;&gt;"",'5C'!E11,"")</f>
        <v/>
      </c>
      <c r="F1011" s="78">
        <f>IF('5C'!B11&lt;&gt;"",'5C'!F11,"")</f>
        <v/>
      </c>
      <c r="G1011" s="78">
        <f>IF('5C'!B11&lt;&gt;"",'5C'!G11,"")</f>
        <v/>
      </c>
      <c r="H1011" s="97">
        <f>IF('5C'!B11&lt;&gt;"",'5C'!H11,"")</f>
        <v/>
      </c>
      <c r="I1011" s="97">
        <f>IF('5C'!B11&lt;&gt;"",'5C'!I11,"")</f>
        <v/>
      </c>
      <c r="J1011" s="78">
        <f>IF('5C'!B11&lt;&gt;"",'5C'!J11,"")</f>
        <v/>
      </c>
    </row>
    <row r="1012" ht="15.75" customHeight="1" s="52">
      <c r="A1012" s="92">
        <f>IF('5C'!B12&lt;&gt;"","5C","")</f>
        <v/>
      </c>
      <c r="B1012" s="82">
        <f>IF('5C'!B12&lt;&gt;"",'5C'!B12,"")</f>
        <v/>
      </c>
      <c r="C1012" s="82">
        <f>IF('5C'!B12&lt;&gt;"",'5C'!C12,"")</f>
        <v/>
      </c>
      <c r="D1012" s="82">
        <f>IF('5C'!B12&lt;&gt;"",'5C'!D12,"")</f>
        <v/>
      </c>
      <c r="E1012" s="82">
        <f>IF('5C'!B12&lt;&gt;"",'5C'!E12,"")</f>
        <v/>
      </c>
      <c r="F1012" s="82">
        <f>IF('5C'!B12&lt;&gt;"",'5C'!F12,"")</f>
        <v/>
      </c>
      <c r="G1012" s="82">
        <f>IF('5C'!B12&lt;&gt;"",'5C'!G12,"")</f>
        <v/>
      </c>
      <c r="H1012" s="92">
        <f>IF('5C'!B12&lt;&gt;"",'5C'!H12,"")</f>
        <v/>
      </c>
      <c r="I1012" s="92">
        <f>IF('5C'!B12&lt;&gt;"",'5C'!I12,"")</f>
        <v/>
      </c>
      <c r="J1012" s="82">
        <f>IF('5C'!B12&lt;&gt;"",'5C'!J12,"")</f>
        <v/>
      </c>
    </row>
    <row r="1013" ht="15.75" customHeight="1" s="52">
      <c r="A1013" s="97">
        <f>IF('5C'!B13&lt;&gt;"","5C","")</f>
        <v/>
      </c>
      <c r="B1013" s="78">
        <f>IF('5C'!B13&lt;&gt;"",'5C'!B13,"")</f>
        <v/>
      </c>
      <c r="C1013" s="78">
        <f>IF('5C'!B13&lt;&gt;"",'5C'!C13,"")</f>
        <v/>
      </c>
      <c r="D1013" s="78">
        <f>IF('5C'!B13&lt;&gt;"",'5C'!D13,"")</f>
        <v/>
      </c>
      <c r="E1013" s="78">
        <f>IF('5C'!B13&lt;&gt;"",'5C'!E13,"")</f>
        <v/>
      </c>
      <c r="F1013" s="78">
        <f>IF('5C'!B13&lt;&gt;"",'5C'!F13,"")</f>
        <v/>
      </c>
      <c r="G1013" s="78">
        <f>IF('5C'!B13&lt;&gt;"",'5C'!G13,"")</f>
        <v/>
      </c>
      <c r="H1013" s="97">
        <f>IF('5C'!B13&lt;&gt;"",'5C'!H13,"")</f>
        <v/>
      </c>
      <c r="I1013" s="97">
        <f>IF('5C'!B13&lt;&gt;"",'5C'!I13,"")</f>
        <v/>
      </c>
      <c r="J1013" s="78">
        <f>IF('5C'!B13&lt;&gt;"",'5C'!J13,"")</f>
        <v/>
      </c>
    </row>
    <row r="1014" ht="15.75" customHeight="1" s="52">
      <c r="A1014" s="92">
        <f>IF('5C'!B14&lt;&gt;"","5C","")</f>
        <v/>
      </c>
      <c r="B1014" s="82">
        <f>IF('5C'!B14&lt;&gt;"",'5C'!B14,"")</f>
        <v/>
      </c>
      <c r="C1014" s="82">
        <f>IF('5C'!B14&lt;&gt;"",'5C'!C14,"")</f>
        <v/>
      </c>
      <c r="D1014" s="82">
        <f>IF('5C'!B14&lt;&gt;"",'5C'!D14,"")</f>
        <v/>
      </c>
      <c r="E1014" s="82">
        <f>IF('5C'!B14&lt;&gt;"",'5C'!E14,"")</f>
        <v/>
      </c>
      <c r="F1014" s="82">
        <f>IF('5C'!B14&lt;&gt;"",'5C'!F14,"")</f>
        <v/>
      </c>
      <c r="G1014" s="82">
        <f>IF('5C'!B14&lt;&gt;"",'5C'!G14,"")</f>
        <v/>
      </c>
      <c r="H1014" s="92">
        <f>IF('5C'!B14&lt;&gt;"",'5C'!H14,"")</f>
        <v/>
      </c>
      <c r="I1014" s="92">
        <f>IF('5C'!B14&lt;&gt;"",'5C'!I14,"")</f>
        <v/>
      </c>
      <c r="J1014" s="82">
        <f>IF('5C'!B14&lt;&gt;"",'5C'!J14,"")</f>
        <v/>
      </c>
    </row>
    <row r="1015" ht="15.75" customHeight="1" s="52">
      <c r="A1015" s="97">
        <f>IF('5C'!B15&lt;&gt;"","5C","")</f>
        <v/>
      </c>
      <c r="B1015" s="78">
        <f>IF('5C'!B15&lt;&gt;"",'5C'!B15,"")</f>
        <v/>
      </c>
      <c r="C1015" s="78">
        <f>IF('5C'!B15&lt;&gt;"",'5C'!C15,"")</f>
        <v/>
      </c>
      <c r="D1015" s="78">
        <f>IF('5C'!B15&lt;&gt;"",'5C'!D15,"")</f>
        <v/>
      </c>
      <c r="E1015" s="78">
        <f>IF('5C'!B15&lt;&gt;"",'5C'!E15,"")</f>
        <v/>
      </c>
      <c r="F1015" s="78">
        <f>IF('5C'!B15&lt;&gt;"",'5C'!F15,"")</f>
        <v/>
      </c>
      <c r="G1015" s="78">
        <f>IF('5C'!B15&lt;&gt;"",'5C'!G15,"")</f>
        <v/>
      </c>
      <c r="H1015" s="97">
        <f>IF('5C'!B15&lt;&gt;"",'5C'!H15,"")</f>
        <v/>
      </c>
      <c r="I1015" s="97">
        <f>IF('5C'!B15&lt;&gt;"",'5C'!I15,"")</f>
        <v/>
      </c>
      <c r="J1015" s="78">
        <f>IF('5C'!B15&lt;&gt;"",'5C'!J15,"")</f>
        <v/>
      </c>
    </row>
    <row r="1016" ht="15.75" customHeight="1" s="52">
      <c r="A1016" s="92">
        <f>IF('5C'!B16&lt;&gt;"","5C","")</f>
        <v/>
      </c>
      <c r="B1016" s="82">
        <f>IF('5C'!B16&lt;&gt;"",'5C'!B16,"")</f>
        <v/>
      </c>
      <c r="C1016" s="82">
        <f>IF('5C'!B16&lt;&gt;"",'5C'!C16,"")</f>
        <v/>
      </c>
      <c r="D1016" s="82">
        <f>IF('5C'!B16&lt;&gt;"",'5C'!D16,"")</f>
        <v/>
      </c>
      <c r="E1016" s="82">
        <f>IF('5C'!B16&lt;&gt;"",'5C'!E16,"")</f>
        <v/>
      </c>
      <c r="F1016" s="82">
        <f>IF('5C'!B16&lt;&gt;"",'5C'!F16,"")</f>
        <v/>
      </c>
      <c r="G1016" s="82">
        <f>IF('5C'!B16&lt;&gt;"",'5C'!G16,"")</f>
        <v/>
      </c>
      <c r="H1016" s="92">
        <f>IF('5C'!B16&lt;&gt;"",'5C'!H16,"")</f>
        <v/>
      </c>
      <c r="I1016" s="92">
        <f>IF('5C'!B16&lt;&gt;"",'5C'!I16,"")</f>
        <v/>
      </c>
      <c r="J1016" s="82">
        <f>IF('5C'!B16&lt;&gt;"",'5C'!J16,"")</f>
        <v/>
      </c>
    </row>
    <row r="1017" ht="15.75" customHeight="1" s="52">
      <c r="A1017" s="97">
        <f>IF('5C'!B17&lt;&gt;"","5C","")</f>
        <v/>
      </c>
      <c r="B1017" s="78">
        <f>IF('5C'!B17&lt;&gt;"",'5C'!B17,"")</f>
        <v/>
      </c>
      <c r="C1017" s="78">
        <f>IF('5C'!B17&lt;&gt;"",'5C'!C17,"")</f>
        <v/>
      </c>
      <c r="D1017" s="78">
        <f>IF('5C'!B17&lt;&gt;"",'5C'!D17,"")</f>
        <v/>
      </c>
      <c r="E1017" s="78">
        <f>IF('5C'!B17&lt;&gt;"",'5C'!E17,"")</f>
        <v/>
      </c>
      <c r="F1017" s="78">
        <f>IF('5C'!B17&lt;&gt;"",'5C'!F17,"")</f>
        <v/>
      </c>
      <c r="G1017" s="78">
        <f>IF('5C'!B17&lt;&gt;"",'5C'!G17,"")</f>
        <v/>
      </c>
      <c r="H1017" s="97">
        <f>IF('5C'!B17&lt;&gt;"",'5C'!H17,"")</f>
        <v/>
      </c>
      <c r="I1017" s="97">
        <f>IF('5C'!B17&lt;&gt;"",'5C'!I17,"")</f>
        <v/>
      </c>
      <c r="J1017" s="78">
        <f>IF('5C'!B17&lt;&gt;"",'5C'!J17,"")</f>
        <v/>
      </c>
    </row>
    <row r="1018" ht="15.75" customHeight="1" s="52">
      <c r="A1018" s="92">
        <f>IF('5C'!B18&lt;&gt;"","5C","")</f>
        <v/>
      </c>
      <c r="B1018" s="82">
        <f>IF('5C'!B18&lt;&gt;"",'5C'!B18,"")</f>
        <v/>
      </c>
      <c r="C1018" s="82">
        <f>IF('5C'!B18&lt;&gt;"",'5C'!C18,"")</f>
        <v/>
      </c>
      <c r="D1018" s="82">
        <f>IF('5C'!B18&lt;&gt;"",'5C'!D18,"")</f>
        <v/>
      </c>
      <c r="E1018" s="82">
        <f>IF('5C'!B18&lt;&gt;"",'5C'!E18,"")</f>
        <v/>
      </c>
      <c r="F1018" s="82">
        <f>IF('5C'!B18&lt;&gt;"",'5C'!F18,"")</f>
        <v/>
      </c>
      <c r="G1018" s="82">
        <f>IF('5C'!B18&lt;&gt;"",'5C'!G18,"")</f>
        <v/>
      </c>
      <c r="H1018" s="92">
        <f>IF('5C'!B18&lt;&gt;"",'5C'!H18,"")</f>
        <v/>
      </c>
      <c r="I1018" s="92">
        <f>IF('5C'!B18&lt;&gt;"",'5C'!I18,"")</f>
        <v/>
      </c>
      <c r="J1018" s="82">
        <f>IF('5C'!B18&lt;&gt;"",'5C'!J18,"")</f>
        <v/>
      </c>
    </row>
    <row r="1019" ht="15.75" customHeight="1" s="52">
      <c r="A1019" s="97">
        <f>IF('5C'!B19&lt;&gt;"","5C","")</f>
        <v/>
      </c>
      <c r="B1019" s="78">
        <f>IF('5C'!B19&lt;&gt;"",'5C'!B19,"")</f>
        <v/>
      </c>
      <c r="C1019" s="78">
        <f>IF('5C'!B19&lt;&gt;"",'5C'!C19,"")</f>
        <v/>
      </c>
      <c r="D1019" s="78">
        <f>IF('5C'!B19&lt;&gt;"",'5C'!D19,"")</f>
        <v/>
      </c>
      <c r="E1019" s="78">
        <f>IF('5C'!B19&lt;&gt;"",'5C'!E19,"")</f>
        <v/>
      </c>
      <c r="F1019" s="78">
        <f>IF('5C'!B19&lt;&gt;"",'5C'!F19,"")</f>
        <v/>
      </c>
      <c r="G1019" s="78">
        <f>IF('5C'!B19&lt;&gt;"",'5C'!G19,"")</f>
        <v/>
      </c>
      <c r="H1019" s="97">
        <f>IF('5C'!B19&lt;&gt;"",'5C'!H19,"")</f>
        <v/>
      </c>
      <c r="I1019" s="97">
        <f>IF('5C'!B19&lt;&gt;"",'5C'!I19,"")</f>
        <v/>
      </c>
      <c r="J1019" s="78">
        <f>IF('5C'!B19&lt;&gt;"",'5C'!J19,"")</f>
        <v/>
      </c>
    </row>
    <row r="1020" ht="15.75" customHeight="1" s="52">
      <c r="A1020" s="92">
        <f>IF('5C'!B20&lt;&gt;"","5C","")</f>
        <v/>
      </c>
      <c r="B1020" s="82">
        <f>IF('5C'!B20&lt;&gt;"",'5C'!B20,"")</f>
        <v/>
      </c>
      <c r="C1020" s="82">
        <f>IF('5C'!B20&lt;&gt;"",'5C'!C20,"")</f>
        <v/>
      </c>
      <c r="D1020" s="82">
        <f>IF('5C'!B20&lt;&gt;"",'5C'!D20,"")</f>
        <v/>
      </c>
      <c r="E1020" s="82">
        <f>IF('5C'!B20&lt;&gt;"",'5C'!E20,"")</f>
        <v/>
      </c>
      <c r="F1020" s="82">
        <f>IF('5C'!B20&lt;&gt;"",'5C'!F20,"")</f>
        <v/>
      </c>
      <c r="G1020" s="82">
        <f>IF('5C'!B20&lt;&gt;"",'5C'!G20,"")</f>
        <v/>
      </c>
      <c r="H1020" s="92">
        <f>IF('5C'!B20&lt;&gt;"",'5C'!H20,"")</f>
        <v/>
      </c>
      <c r="I1020" s="92">
        <f>IF('5C'!B20&lt;&gt;"",'5C'!I20,"")</f>
        <v/>
      </c>
      <c r="J1020" s="82">
        <f>IF('5C'!B20&lt;&gt;"",'5C'!J20,"")</f>
        <v/>
      </c>
    </row>
    <row r="1021" ht="15.75" customHeight="1" s="52">
      <c r="A1021" s="97">
        <f>IF('5C'!B21&lt;&gt;"","5C","")</f>
        <v/>
      </c>
      <c r="B1021" s="78">
        <f>IF('5C'!B21&lt;&gt;"",'5C'!B21,"")</f>
        <v/>
      </c>
      <c r="C1021" s="78">
        <f>IF('5C'!B21&lt;&gt;"",'5C'!C21,"")</f>
        <v/>
      </c>
      <c r="D1021" s="78">
        <f>IF('5C'!B21&lt;&gt;"",'5C'!D21,"")</f>
        <v/>
      </c>
      <c r="E1021" s="78">
        <f>IF('5C'!B21&lt;&gt;"",'5C'!E21,"")</f>
        <v/>
      </c>
      <c r="F1021" s="78">
        <f>IF('5C'!B21&lt;&gt;"",'5C'!F21,"")</f>
        <v/>
      </c>
      <c r="G1021" s="78">
        <f>IF('5C'!B21&lt;&gt;"",'5C'!G21,"")</f>
        <v/>
      </c>
      <c r="H1021" s="97">
        <f>IF('5C'!B21&lt;&gt;"",'5C'!H21,"")</f>
        <v/>
      </c>
      <c r="I1021" s="97">
        <f>IF('5C'!B21&lt;&gt;"",'5C'!I21,"")</f>
        <v/>
      </c>
      <c r="J1021" s="78">
        <f>IF('5C'!B21&lt;&gt;"",'5C'!J21,"")</f>
        <v/>
      </c>
    </row>
    <row r="1022" ht="15.75" customHeight="1" s="52">
      <c r="A1022" s="92">
        <f>IF('5C'!B22&lt;&gt;"","5C","")</f>
        <v/>
      </c>
      <c r="B1022" s="82">
        <f>IF('5C'!B22&lt;&gt;"",'5C'!B22,"")</f>
        <v/>
      </c>
      <c r="C1022" s="82">
        <f>IF('5C'!B22&lt;&gt;"",'5C'!C22,"")</f>
        <v/>
      </c>
      <c r="D1022" s="82">
        <f>IF('5C'!B22&lt;&gt;"",'5C'!D22,"")</f>
        <v/>
      </c>
      <c r="E1022" s="82">
        <f>IF('5C'!B22&lt;&gt;"",'5C'!E22,"")</f>
        <v/>
      </c>
      <c r="F1022" s="82">
        <f>IF('5C'!B22&lt;&gt;"",'5C'!F22,"")</f>
        <v/>
      </c>
      <c r="G1022" s="82">
        <f>IF('5C'!B22&lt;&gt;"",'5C'!G22,"")</f>
        <v/>
      </c>
      <c r="H1022" s="92">
        <f>IF('5C'!B22&lt;&gt;"",'5C'!H22,"")</f>
        <v/>
      </c>
      <c r="I1022" s="92">
        <f>IF('5C'!B22&lt;&gt;"",'5C'!I22,"")</f>
        <v/>
      </c>
      <c r="J1022" s="82">
        <f>IF('5C'!B22&lt;&gt;"",'5C'!J22,"")</f>
        <v/>
      </c>
    </row>
    <row r="1023" ht="15.75" customHeight="1" s="52">
      <c r="A1023" s="97">
        <f>IF('5C'!B23&lt;&gt;"","5C","")</f>
        <v/>
      </c>
      <c r="B1023" s="78">
        <f>IF('5C'!B23&lt;&gt;"",'5C'!B23,"")</f>
        <v/>
      </c>
      <c r="C1023" s="78">
        <f>IF('5C'!B23&lt;&gt;"",'5C'!C23,"")</f>
        <v/>
      </c>
      <c r="D1023" s="78">
        <f>IF('5C'!B23&lt;&gt;"",'5C'!D23,"")</f>
        <v/>
      </c>
      <c r="E1023" s="78">
        <f>IF('5C'!B23&lt;&gt;"",'5C'!E23,"")</f>
        <v/>
      </c>
      <c r="F1023" s="78">
        <f>IF('5C'!B23&lt;&gt;"",'5C'!F23,"")</f>
        <v/>
      </c>
      <c r="G1023" s="78">
        <f>IF('5C'!B23&lt;&gt;"",'5C'!G23,"")</f>
        <v/>
      </c>
      <c r="H1023" s="97">
        <f>IF('5C'!B23&lt;&gt;"",'5C'!H23,"")</f>
        <v/>
      </c>
      <c r="I1023" s="97">
        <f>IF('5C'!B23&lt;&gt;"",'5C'!I23,"")</f>
        <v/>
      </c>
      <c r="J1023" s="78">
        <f>IF('5C'!B23&lt;&gt;"",'5C'!J23,"")</f>
        <v/>
      </c>
    </row>
    <row r="1024" ht="15.75" customHeight="1" s="52">
      <c r="A1024" s="92">
        <f>IF('5C'!B24&lt;&gt;"","5C","")</f>
        <v/>
      </c>
      <c r="B1024" s="82">
        <f>IF('5C'!B24&lt;&gt;"",'5C'!B24,"")</f>
        <v/>
      </c>
      <c r="C1024" s="82">
        <f>IF('5C'!B24&lt;&gt;"",'5C'!C24,"")</f>
        <v/>
      </c>
      <c r="D1024" s="82">
        <f>IF('5C'!B24&lt;&gt;"",'5C'!D24,"")</f>
        <v/>
      </c>
      <c r="E1024" s="82">
        <f>IF('5C'!B24&lt;&gt;"",'5C'!E24,"")</f>
        <v/>
      </c>
      <c r="F1024" s="82">
        <f>IF('5C'!B24&lt;&gt;"",'5C'!F24,"")</f>
        <v/>
      </c>
      <c r="G1024" s="82">
        <f>IF('5C'!B24&lt;&gt;"",'5C'!G24,"")</f>
        <v/>
      </c>
      <c r="H1024" s="92">
        <f>IF('5C'!B24&lt;&gt;"",'5C'!H24,"")</f>
        <v/>
      </c>
      <c r="I1024" s="92">
        <f>IF('5C'!B24&lt;&gt;"",'5C'!I24,"")</f>
        <v/>
      </c>
      <c r="J1024" s="82">
        <f>IF('5C'!B24&lt;&gt;"",'5C'!J24,"")</f>
        <v/>
      </c>
    </row>
    <row r="1025" ht="15.75" customHeight="1" s="52">
      <c r="A1025" s="97">
        <f>IF('5C'!B25&lt;&gt;"","5C","")</f>
        <v/>
      </c>
      <c r="B1025" s="78">
        <f>IF('5C'!B25&lt;&gt;"",'5C'!B25,"")</f>
        <v/>
      </c>
      <c r="C1025" s="78">
        <f>IF('5C'!B25&lt;&gt;"",'5C'!C25,"")</f>
        <v/>
      </c>
      <c r="D1025" s="78">
        <f>IF('5C'!B25&lt;&gt;"",'5C'!D25,"")</f>
        <v/>
      </c>
      <c r="E1025" s="78">
        <f>IF('5C'!B25&lt;&gt;"",'5C'!E25,"")</f>
        <v/>
      </c>
      <c r="F1025" s="78">
        <f>IF('5C'!B25&lt;&gt;"",'5C'!F25,"")</f>
        <v/>
      </c>
      <c r="G1025" s="78">
        <f>IF('5C'!B25&lt;&gt;"",'5C'!G25,"")</f>
        <v/>
      </c>
      <c r="H1025" s="97">
        <f>IF('5C'!B25&lt;&gt;"",'5C'!H25,"")</f>
        <v/>
      </c>
      <c r="I1025" s="97">
        <f>IF('5C'!B25&lt;&gt;"",'5C'!I25,"")</f>
        <v/>
      </c>
      <c r="J1025" s="78">
        <f>IF('5C'!B25&lt;&gt;"",'5C'!J25,"")</f>
        <v/>
      </c>
    </row>
    <row r="1026" ht="15.75" customHeight="1" s="52">
      <c r="A1026" s="92">
        <f>IF('5C'!B26&lt;&gt;"","5C","")</f>
        <v/>
      </c>
      <c r="B1026" s="82">
        <f>IF('5C'!B26&lt;&gt;"",'5C'!B26,"")</f>
        <v/>
      </c>
      <c r="C1026" s="82">
        <f>IF('5C'!B26&lt;&gt;"",'5C'!C26,"")</f>
        <v/>
      </c>
      <c r="D1026" s="82">
        <f>IF('5C'!B26&lt;&gt;"",'5C'!D26,"")</f>
        <v/>
      </c>
      <c r="E1026" s="82">
        <f>IF('5C'!B26&lt;&gt;"",'5C'!E26,"")</f>
        <v/>
      </c>
      <c r="F1026" s="82">
        <f>IF('5C'!B26&lt;&gt;"",'5C'!F26,"")</f>
        <v/>
      </c>
      <c r="G1026" s="82">
        <f>IF('5C'!B26&lt;&gt;"",'5C'!G26,"")</f>
        <v/>
      </c>
      <c r="H1026" s="92">
        <f>IF('5C'!B26&lt;&gt;"",'5C'!H26,"")</f>
        <v/>
      </c>
      <c r="I1026" s="92">
        <f>IF('5C'!B26&lt;&gt;"",'5C'!I26,"")</f>
        <v/>
      </c>
      <c r="J1026" s="82">
        <f>IF('5C'!B26&lt;&gt;"",'5C'!J26,"")</f>
        <v/>
      </c>
    </row>
    <row r="1027" ht="15.75" customHeight="1" s="52">
      <c r="A1027" s="97">
        <f>IF('5C'!B27&lt;&gt;"","5C","")</f>
        <v/>
      </c>
      <c r="B1027" s="78">
        <f>IF('5C'!B27&lt;&gt;"",'5C'!B27,"")</f>
        <v/>
      </c>
      <c r="C1027" s="78">
        <f>IF('5C'!B27&lt;&gt;"",'5C'!C27,"")</f>
        <v/>
      </c>
      <c r="D1027" s="78">
        <f>IF('5C'!B27&lt;&gt;"",'5C'!D27,"")</f>
        <v/>
      </c>
      <c r="E1027" s="78">
        <f>IF('5C'!B27&lt;&gt;"",'5C'!E27,"")</f>
        <v/>
      </c>
      <c r="F1027" s="78">
        <f>IF('5C'!B27&lt;&gt;"",'5C'!F27,"")</f>
        <v/>
      </c>
      <c r="G1027" s="78">
        <f>IF('5C'!B27&lt;&gt;"",'5C'!G27,"")</f>
        <v/>
      </c>
      <c r="H1027" s="97">
        <f>IF('5C'!B27&lt;&gt;"",'5C'!H27,"")</f>
        <v/>
      </c>
      <c r="I1027" s="97">
        <f>IF('5C'!B27&lt;&gt;"",'5C'!I27,"")</f>
        <v/>
      </c>
      <c r="J1027" s="78">
        <f>IF('5C'!B27&lt;&gt;"",'5C'!J27,"")</f>
        <v/>
      </c>
    </row>
    <row r="1028" ht="15.75" customHeight="1" s="52">
      <c r="A1028" s="92">
        <f>IF('5C'!B28&lt;&gt;"","5C","")</f>
        <v/>
      </c>
      <c r="B1028" s="82">
        <f>IF('5C'!B28&lt;&gt;"",'5C'!B28,"")</f>
        <v/>
      </c>
      <c r="C1028" s="82">
        <f>IF('5C'!B28&lt;&gt;"",'5C'!C28,"")</f>
        <v/>
      </c>
      <c r="D1028" s="82">
        <f>IF('5C'!B28&lt;&gt;"",'5C'!D28,"")</f>
        <v/>
      </c>
      <c r="E1028" s="82">
        <f>IF('5C'!B28&lt;&gt;"",'5C'!E28,"")</f>
        <v/>
      </c>
      <c r="F1028" s="82">
        <f>IF('5C'!B28&lt;&gt;"",'5C'!F28,"")</f>
        <v/>
      </c>
      <c r="G1028" s="82">
        <f>IF('5C'!B28&lt;&gt;"",'5C'!G28,"")</f>
        <v/>
      </c>
      <c r="H1028" s="92">
        <f>IF('5C'!B28&lt;&gt;"",'5C'!H28,"")</f>
        <v/>
      </c>
      <c r="I1028" s="92">
        <f>IF('5C'!B28&lt;&gt;"",'5C'!I28,"")</f>
        <v/>
      </c>
      <c r="J1028" s="82">
        <f>IF('5C'!B28&lt;&gt;"",'5C'!J28,"")</f>
        <v/>
      </c>
    </row>
    <row r="1029" ht="15.75" customHeight="1" s="52">
      <c r="A1029" s="97">
        <f>IF('5C'!B29&lt;&gt;"","5C","")</f>
        <v/>
      </c>
      <c r="B1029" s="78">
        <f>IF('5C'!B29&lt;&gt;"",'5C'!B29,"")</f>
        <v/>
      </c>
      <c r="C1029" s="78">
        <f>IF('5C'!B29&lt;&gt;"",'5C'!C29,"")</f>
        <v/>
      </c>
      <c r="D1029" s="78">
        <f>IF('5C'!B29&lt;&gt;"",'5C'!D29,"")</f>
        <v/>
      </c>
      <c r="E1029" s="78">
        <f>IF('5C'!B29&lt;&gt;"",'5C'!E29,"")</f>
        <v/>
      </c>
      <c r="F1029" s="78">
        <f>IF('5C'!B29&lt;&gt;"",'5C'!F29,"")</f>
        <v/>
      </c>
      <c r="G1029" s="78">
        <f>IF('5C'!B29&lt;&gt;"",'5C'!G29,"")</f>
        <v/>
      </c>
      <c r="H1029" s="97">
        <f>IF('5C'!B29&lt;&gt;"",'5C'!H29,"")</f>
        <v/>
      </c>
      <c r="I1029" s="97">
        <f>IF('5C'!B29&lt;&gt;"",'5C'!I29,"")</f>
        <v/>
      </c>
      <c r="J1029" s="78">
        <f>IF('5C'!B29&lt;&gt;"",'5C'!J29,"")</f>
        <v/>
      </c>
    </row>
    <row r="1030" ht="15.75" customHeight="1" s="52">
      <c r="A1030" s="92">
        <f>IF('5C'!B30&lt;&gt;"","5C","")</f>
        <v/>
      </c>
      <c r="B1030" s="82">
        <f>IF('5C'!B30&lt;&gt;"",'5C'!B30,"")</f>
        <v/>
      </c>
      <c r="C1030" s="82">
        <f>IF('5C'!B30&lt;&gt;"",'5C'!C30,"")</f>
        <v/>
      </c>
      <c r="D1030" s="82">
        <f>IF('5C'!B30&lt;&gt;"",'5C'!D30,"")</f>
        <v/>
      </c>
      <c r="E1030" s="82">
        <f>IF('5C'!B30&lt;&gt;"",'5C'!E30,"")</f>
        <v/>
      </c>
      <c r="F1030" s="82">
        <f>IF('5C'!B30&lt;&gt;"",'5C'!F30,"")</f>
        <v/>
      </c>
      <c r="G1030" s="82">
        <f>IF('5C'!B30&lt;&gt;"",'5C'!G30,"")</f>
        <v/>
      </c>
      <c r="H1030" s="92">
        <f>IF('5C'!B30&lt;&gt;"",'5C'!H30,"")</f>
        <v/>
      </c>
      <c r="I1030" s="92">
        <f>IF('5C'!B30&lt;&gt;"",'5C'!I30,"")</f>
        <v/>
      </c>
      <c r="J1030" s="82">
        <f>IF('5C'!B30&lt;&gt;"",'5C'!J30,"")</f>
        <v/>
      </c>
    </row>
    <row r="1031" ht="15.75" customHeight="1" s="52">
      <c r="A1031" s="97">
        <f>IF('5C'!B31&lt;&gt;"","5C","")</f>
        <v/>
      </c>
      <c r="B1031" s="78">
        <f>IF('5C'!B31&lt;&gt;"",'5C'!B31,"")</f>
        <v/>
      </c>
      <c r="C1031" s="78">
        <f>IF('5C'!B31&lt;&gt;"",'5C'!C31,"")</f>
        <v/>
      </c>
      <c r="D1031" s="78">
        <f>IF('5C'!B31&lt;&gt;"",'5C'!D31,"")</f>
        <v/>
      </c>
      <c r="E1031" s="78">
        <f>IF('5C'!B31&lt;&gt;"",'5C'!E31,"")</f>
        <v/>
      </c>
      <c r="F1031" s="78">
        <f>IF('5C'!B31&lt;&gt;"",'5C'!F31,"")</f>
        <v/>
      </c>
      <c r="G1031" s="78">
        <f>IF('5C'!B31&lt;&gt;"",'5C'!G31,"")</f>
        <v/>
      </c>
      <c r="H1031" s="97">
        <f>IF('5C'!B31&lt;&gt;"",'5C'!H31,"")</f>
        <v/>
      </c>
      <c r="I1031" s="97">
        <f>IF('5C'!B31&lt;&gt;"",'5C'!I31,"")</f>
        <v/>
      </c>
      <c r="J1031" s="78">
        <f>IF('5C'!B31&lt;&gt;"",'5C'!J31,"")</f>
        <v/>
      </c>
    </row>
    <row r="1032" ht="15.75" customHeight="1" s="52">
      <c r="A1032" s="92">
        <f>IF('5C'!B32&lt;&gt;"","5C","")</f>
        <v/>
      </c>
      <c r="B1032" s="82">
        <f>IF('5C'!B32&lt;&gt;"",'5C'!B32,"")</f>
        <v/>
      </c>
      <c r="C1032" s="82">
        <f>IF('5C'!B32&lt;&gt;"",'5C'!C32,"")</f>
        <v/>
      </c>
      <c r="D1032" s="82">
        <f>IF('5C'!B32&lt;&gt;"",'5C'!D32,"")</f>
        <v/>
      </c>
      <c r="E1032" s="82">
        <f>IF('5C'!B32&lt;&gt;"",'5C'!E32,"")</f>
        <v/>
      </c>
      <c r="F1032" s="82">
        <f>IF('5C'!B32&lt;&gt;"",'5C'!F32,"")</f>
        <v/>
      </c>
      <c r="G1032" s="82">
        <f>IF('5C'!B32&lt;&gt;"",'5C'!G32,"")</f>
        <v/>
      </c>
      <c r="H1032" s="92">
        <f>IF('5C'!B32&lt;&gt;"",'5C'!H32,"")</f>
        <v/>
      </c>
      <c r="I1032" s="92">
        <f>IF('5C'!B32&lt;&gt;"",'5C'!I32,"")</f>
        <v/>
      </c>
      <c r="J1032" s="82">
        <f>IF('5C'!B32&lt;&gt;"",'5C'!J32,"")</f>
        <v/>
      </c>
    </row>
    <row r="1033" ht="15.75" customHeight="1" s="52">
      <c r="A1033" s="97">
        <f>IF('5C'!B33&lt;&gt;"","5C","")</f>
        <v/>
      </c>
      <c r="B1033" s="78">
        <f>IF('5C'!B33&lt;&gt;"",'5C'!B33,"")</f>
        <v/>
      </c>
      <c r="C1033" s="78">
        <f>IF('5C'!B33&lt;&gt;"",'5C'!C33,"")</f>
        <v/>
      </c>
      <c r="D1033" s="78">
        <f>IF('5C'!B33&lt;&gt;"",'5C'!D33,"")</f>
        <v/>
      </c>
      <c r="E1033" s="78">
        <f>IF('5C'!B33&lt;&gt;"",'5C'!E33,"")</f>
        <v/>
      </c>
      <c r="F1033" s="78">
        <f>IF('5C'!B33&lt;&gt;"",'5C'!F33,"")</f>
        <v/>
      </c>
      <c r="G1033" s="78">
        <f>IF('5C'!B33&lt;&gt;"",'5C'!G33,"")</f>
        <v/>
      </c>
      <c r="H1033" s="97">
        <f>IF('5C'!B33&lt;&gt;"",'5C'!H33,"")</f>
        <v/>
      </c>
      <c r="I1033" s="97">
        <f>IF('5C'!B33&lt;&gt;"",'5C'!I33,"")</f>
        <v/>
      </c>
      <c r="J1033" s="78">
        <f>IF('5C'!B33&lt;&gt;"",'5C'!J33,"")</f>
        <v/>
      </c>
    </row>
    <row r="1034" ht="15.75" customHeight="1" s="52">
      <c r="A1034" s="92">
        <f>IF('5C'!B34&lt;&gt;"","5C","")</f>
        <v/>
      </c>
      <c r="B1034" s="82">
        <f>IF('5C'!B34&lt;&gt;"",'5C'!B34,"")</f>
        <v/>
      </c>
      <c r="C1034" s="82">
        <f>IF('5C'!B34&lt;&gt;"",'5C'!C34,"")</f>
        <v/>
      </c>
      <c r="D1034" s="82">
        <f>IF('5C'!B34&lt;&gt;"",'5C'!D34,"")</f>
        <v/>
      </c>
      <c r="E1034" s="82">
        <f>IF('5C'!B34&lt;&gt;"",'5C'!E34,"")</f>
        <v/>
      </c>
      <c r="F1034" s="82">
        <f>IF('5C'!B34&lt;&gt;"",'5C'!F34,"")</f>
        <v/>
      </c>
      <c r="G1034" s="82">
        <f>IF('5C'!B34&lt;&gt;"",'5C'!G34,"")</f>
        <v/>
      </c>
      <c r="H1034" s="92">
        <f>IF('5C'!B34&lt;&gt;"",'5C'!H34,"")</f>
        <v/>
      </c>
      <c r="I1034" s="92">
        <f>IF('5C'!B34&lt;&gt;"",'5C'!I34,"")</f>
        <v/>
      </c>
      <c r="J1034" s="82">
        <f>IF('5C'!B34&lt;&gt;"",'5C'!J34,"")</f>
        <v/>
      </c>
    </row>
    <row r="1035" ht="15.75" customHeight="1" s="52">
      <c r="A1035" s="97">
        <f>IF('5C'!B35&lt;&gt;"","5C","")</f>
        <v/>
      </c>
      <c r="B1035" s="78">
        <f>IF('5C'!B35&lt;&gt;"",'5C'!B35,"")</f>
        <v/>
      </c>
      <c r="C1035" s="78">
        <f>IF('5C'!B35&lt;&gt;"",'5C'!C35,"")</f>
        <v/>
      </c>
      <c r="D1035" s="78">
        <f>IF('5C'!B35&lt;&gt;"",'5C'!D35,"")</f>
        <v/>
      </c>
      <c r="E1035" s="78">
        <f>IF('5C'!B35&lt;&gt;"",'5C'!E35,"")</f>
        <v/>
      </c>
      <c r="F1035" s="78">
        <f>IF('5C'!B35&lt;&gt;"",'5C'!F35,"")</f>
        <v/>
      </c>
      <c r="G1035" s="78">
        <f>IF('5C'!B35&lt;&gt;"",'5C'!G35,"")</f>
        <v/>
      </c>
      <c r="H1035" s="97">
        <f>IF('5C'!B35&lt;&gt;"",'5C'!H35,"")</f>
        <v/>
      </c>
      <c r="I1035" s="97">
        <f>IF('5C'!B35&lt;&gt;"",'5C'!I35,"")</f>
        <v/>
      </c>
      <c r="J1035" s="78">
        <f>IF('5C'!B35&lt;&gt;"",'5C'!J35,"")</f>
        <v/>
      </c>
    </row>
    <row r="1036" ht="15.75" customHeight="1" s="52">
      <c r="A1036" s="92">
        <f>IF('5C'!B36&lt;&gt;"","5C","")</f>
        <v/>
      </c>
      <c r="B1036" s="82">
        <f>IF('5C'!B36&lt;&gt;"",'5C'!B36,"")</f>
        <v/>
      </c>
      <c r="C1036" s="82">
        <f>IF('5C'!B36&lt;&gt;"",'5C'!C36,"")</f>
        <v/>
      </c>
      <c r="D1036" s="82">
        <f>IF('5C'!B36&lt;&gt;"",'5C'!D36,"")</f>
        <v/>
      </c>
      <c r="E1036" s="82">
        <f>IF('5C'!B36&lt;&gt;"",'5C'!E36,"")</f>
        <v/>
      </c>
      <c r="F1036" s="82">
        <f>IF('5C'!B36&lt;&gt;"",'5C'!F36,"")</f>
        <v/>
      </c>
      <c r="G1036" s="82">
        <f>IF('5C'!B36&lt;&gt;"",'5C'!G36,"")</f>
        <v/>
      </c>
      <c r="H1036" s="92">
        <f>IF('5C'!B36&lt;&gt;"",'5C'!H36,"")</f>
        <v/>
      </c>
      <c r="I1036" s="92">
        <f>IF('5C'!B36&lt;&gt;"",'5C'!I36,"")</f>
        <v/>
      </c>
      <c r="J1036" s="82">
        <f>IF('5C'!B36&lt;&gt;"",'5C'!J36,"")</f>
        <v/>
      </c>
    </row>
    <row r="1037" ht="15.75" customHeight="1" s="52">
      <c r="A1037" s="97">
        <f>IF('5C'!B37&lt;&gt;"","5C","")</f>
        <v/>
      </c>
      <c r="B1037" s="78">
        <f>IF('5C'!B37&lt;&gt;"",'5C'!B37,"")</f>
        <v/>
      </c>
      <c r="C1037" s="78">
        <f>IF('5C'!B37&lt;&gt;"",'5C'!C37,"")</f>
        <v/>
      </c>
      <c r="D1037" s="78">
        <f>IF('5C'!B37&lt;&gt;"",'5C'!D37,"")</f>
        <v/>
      </c>
      <c r="E1037" s="78">
        <f>IF('5C'!B37&lt;&gt;"",'5C'!E37,"")</f>
        <v/>
      </c>
      <c r="F1037" s="78">
        <f>IF('5C'!B37&lt;&gt;"",'5C'!F37,"")</f>
        <v/>
      </c>
      <c r="G1037" s="78">
        <f>IF('5C'!B37&lt;&gt;"",'5C'!G37,"")</f>
        <v/>
      </c>
      <c r="H1037" s="97">
        <f>IF('5C'!B37&lt;&gt;"",'5C'!H37,"")</f>
        <v/>
      </c>
      <c r="I1037" s="97">
        <f>IF('5C'!B37&lt;&gt;"",'5C'!I37,"")</f>
        <v/>
      </c>
      <c r="J1037" s="78">
        <f>IF('5C'!B37&lt;&gt;"",'5C'!J37,"")</f>
        <v/>
      </c>
    </row>
    <row r="1038" ht="15.75" customHeight="1" s="52">
      <c r="A1038" s="92">
        <f>IF('5C'!B38&lt;&gt;"","5C","")</f>
        <v/>
      </c>
      <c r="B1038" s="82">
        <f>IF('5C'!B38&lt;&gt;"",'5C'!B38,"")</f>
        <v/>
      </c>
      <c r="C1038" s="82">
        <f>IF('5C'!B38&lt;&gt;"",'5C'!C38,"")</f>
        <v/>
      </c>
      <c r="D1038" s="82">
        <f>IF('5C'!B38&lt;&gt;"",'5C'!D38,"")</f>
        <v/>
      </c>
      <c r="E1038" s="82">
        <f>IF('5C'!B38&lt;&gt;"",'5C'!E38,"")</f>
        <v/>
      </c>
      <c r="F1038" s="82">
        <f>IF('5C'!B38&lt;&gt;"",'5C'!F38,"")</f>
        <v/>
      </c>
      <c r="G1038" s="82">
        <f>IF('5C'!B38&lt;&gt;"",'5C'!G38,"")</f>
        <v/>
      </c>
      <c r="H1038" s="92">
        <f>IF('5C'!B38&lt;&gt;"",'5C'!H38,"")</f>
        <v/>
      </c>
      <c r="I1038" s="92">
        <f>IF('5C'!B38&lt;&gt;"",'5C'!I38,"")</f>
        <v/>
      </c>
      <c r="J1038" s="82">
        <f>IF('5C'!B38&lt;&gt;"",'5C'!J38,"")</f>
        <v/>
      </c>
    </row>
    <row r="1039" ht="15.75" customHeight="1" s="52">
      <c r="A1039" s="97">
        <f>IF('5C'!B39&lt;&gt;"","5C","")</f>
        <v/>
      </c>
      <c r="B1039" s="78">
        <f>IF('5C'!B39&lt;&gt;"",'5C'!B39,"")</f>
        <v/>
      </c>
      <c r="C1039" s="78">
        <f>IF('5C'!B39&lt;&gt;"",'5C'!C39,"")</f>
        <v/>
      </c>
      <c r="D1039" s="78">
        <f>IF('5C'!B39&lt;&gt;"",'5C'!D39,"")</f>
        <v/>
      </c>
      <c r="E1039" s="78">
        <f>IF('5C'!B39&lt;&gt;"",'5C'!E39,"")</f>
        <v/>
      </c>
      <c r="F1039" s="78">
        <f>IF('5C'!B39&lt;&gt;"",'5C'!F39,"")</f>
        <v/>
      </c>
      <c r="G1039" s="78">
        <f>IF('5C'!B39&lt;&gt;"",'5C'!G39,"")</f>
        <v/>
      </c>
      <c r="H1039" s="97">
        <f>IF('5C'!B39&lt;&gt;"",'5C'!H39,"")</f>
        <v/>
      </c>
      <c r="I1039" s="97">
        <f>IF('5C'!B39&lt;&gt;"",'5C'!I39,"")</f>
        <v/>
      </c>
      <c r="J1039" s="78">
        <f>IF('5C'!B39&lt;&gt;"",'5C'!J39,"")</f>
        <v/>
      </c>
    </row>
    <row r="1040" ht="15.75" customHeight="1" s="52">
      <c r="A1040" s="92">
        <f>IF('5C'!B40&lt;&gt;"","5C","")</f>
        <v/>
      </c>
      <c r="B1040" s="82">
        <f>IF('5C'!B40&lt;&gt;"",'5C'!B40,"")</f>
        <v/>
      </c>
      <c r="C1040" s="82">
        <f>IF('5C'!B40&lt;&gt;"",'5C'!C40,"")</f>
        <v/>
      </c>
      <c r="D1040" s="82">
        <f>IF('5C'!B40&lt;&gt;"",'5C'!D40,"")</f>
        <v/>
      </c>
      <c r="E1040" s="82">
        <f>IF('5C'!B40&lt;&gt;"",'5C'!E40,"")</f>
        <v/>
      </c>
      <c r="F1040" s="82">
        <f>IF('5C'!B40&lt;&gt;"",'5C'!F40,"")</f>
        <v/>
      </c>
      <c r="G1040" s="82">
        <f>IF('5C'!B40&lt;&gt;"",'5C'!G40,"")</f>
        <v/>
      </c>
      <c r="H1040" s="92">
        <f>IF('5C'!B40&lt;&gt;"",'5C'!H40,"")</f>
        <v/>
      </c>
      <c r="I1040" s="92">
        <f>IF('5C'!B40&lt;&gt;"",'5C'!I40,"")</f>
        <v/>
      </c>
      <c r="J1040" s="82">
        <f>IF('5C'!B40&lt;&gt;"",'5C'!J40,"")</f>
        <v/>
      </c>
    </row>
    <row r="1041" ht="15.75" customHeight="1" s="52">
      <c r="A1041" s="97">
        <f>IF('5C'!B41&lt;&gt;"","5C","")</f>
        <v/>
      </c>
      <c r="B1041" s="78">
        <f>IF('5C'!B41&lt;&gt;"",'5C'!B41,"")</f>
        <v/>
      </c>
      <c r="C1041" s="78">
        <f>IF('5C'!B41&lt;&gt;"",'5C'!C41,"")</f>
        <v/>
      </c>
      <c r="D1041" s="78">
        <f>IF('5C'!B41&lt;&gt;"",'5C'!D41,"")</f>
        <v/>
      </c>
      <c r="E1041" s="78">
        <f>IF('5C'!B41&lt;&gt;"",'5C'!E41,"")</f>
        <v/>
      </c>
      <c r="F1041" s="78">
        <f>IF('5C'!B41&lt;&gt;"",'5C'!F41,"")</f>
        <v/>
      </c>
      <c r="G1041" s="78">
        <f>IF('5C'!B41&lt;&gt;"",'5C'!G41,"")</f>
        <v/>
      </c>
      <c r="H1041" s="97">
        <f>IF('5C'!B41&lt;&gt;"",'5C'!H41,"")</f>
        <v/>
      </c>
      <c r="I1041" s="97">
        <f>IF('5C'!B41&lt;&gt;"",'5C'!I41,"")</f>
        <v/>
      </c>
      <c r="J1041" s="78">
        <f>IF('5C'!B41&lt;&gt;"",'5C'!J41,"")</f>
        <v/>
      </c>
    </row>
    <row r="1042" ht="15.75" customHeight="1" s="52">
      <c r="A1042" s="92">
        <f>IF('5C'!B42&lt;&gt;"","5C","")</f>
        <v/>
      </c>
      <c r="B1042" s="82">
        <f>IF('5C'!B42&lt;&gt;"",'5C'!B42,"")</f>
        <v/>
      </c>
      <c r="C1042" s="82">
        <f>IF('5C'!B42&lt;&gt;"",'5C'!C42,"")</f>
        <v/>
      </c>
      <c r="D1042" s="82">
        <f>IF('5C'!B42&lt;&gt;"",'5C'!D42,"")</f>
        <v/>
      </c>
      <c r="E1042" s="82">
        <f>IF('5C'!B42&lt;&gt;"",'5C'!E42,"")</f>
        <v/>
      </c>
      <c r="F1042" s="82">
        <f>IF('5C'!B42&lt;&gt;"",'5C'!F42,"")</f>
        <v/>
      </c>
      <c r="G1042" s="82">
        <f>IF('5C'!B42&lt;&gt;"",'5C'!G42,"")</f>
        <v/>
      </c>
      <c r="H1042" s="92">
        <f>IF('5C'!B42&lt;&gt;"",'5C'!H42,"")</f>
        <v/>
      </c>
      <c r="I1042" s="92">
        <f>IF('5C'!B42&lt;&gt;"",'5C'!I42,"")</f>
        <v/>
      </c>
      <c r="J1042" s="82">
        <f>IF('5C'!B42&lt;&gt;"",'5C'!J42,"")</f>
        <v/>
      </c>
    </row>
    <row r="1043" ht="15.75" customHeight="1" s="52">
      <c r="A1043" s="97">
        <f>IF('5C'!B43&lt;&gt;"","5C","")</f>
        <v/>
      </c>
      <c r="B1043" s="78">
        <f>IF('5C'!B43&lt;&gt;"",'5C'!B43,"")</f>
        <v/>
      </c>
      <c r="C1043" s="78">
        <f>IF('5C'!B43&lt;&gt;"",'5C'!C43,"")</f>
        <v/>
      </c>
      <c r="D1043" s="78">
        <f>IF('5C'!B43&lt;&gt;"",'5C'!D43,"")</f>
        <v/>
      </c>
      <c r="E1043" s="78">
        <f>IF('5C'!B43&lt;&gt;"",'5C'!E43,"")</f>
        <v/>
      </c>
      <c r="F1043" s="78">
        <f>IF('5C'!B43&lt;&gt;"",'5C'!F43,"")</f>
        <v/>
      </c>
      <c r="G1043" s="78">
        <f>IF('5C'!B43&lt;&gt;"",'5C'!G43,"")</f>
        <v/>
      </c>
      <c r="H1043" s="97">
        <f>IF('5C'!B43&lt;&gt;"",'5C'!H43,"")</f>
        <v/>
      </c>
      <c r="I1043" s="97">
        <f>IF('5C'!B43&lt;&gt;"",'5C'!I43,"")</f>
        <v/>
      </c>
      <c r="J1043" s="78">
        <f>IF('5C'!B43&lt;&gt;"",'5C'!J43,"")</f>
        <v/>
      </c>
    </row>
    <row r="1044" ht="15.75" customHeight="1" s="52">
      <c r="A1044" s="92">
        <f>IF('5C'!B44&lt;&gt;"","5C","")</f>
        <v/>
      </c>
      <c r="B1044" s="82">
        <f>IF('5C'!B44&lt;&gt;"",'5C'!B44,"")</f>
        <v/>
      </c>
      <c r="C1044" s="82">
        <f>IF('5C'!B44&lt;&gt;"",'5C'!C44,"")</f>
        <v/>
      </c>
      <c r="D1044" s="82">
        <f>IF('5C'!B44&lt;&gt;"",'5C'!D44,"")</f>
        <v/>
      </c>
      <c r="E1044" s="82">
        <f>IF('5C'!B44&lt;&gt;"",'5C'!E44,"")</f>
        <v/>
      </c>
      <c r="F1044" s="82">
        <f>IF('5C'!B44&lt;&gt;"",'5C'!F44,"")</f>
        <v/>
      </c>
      <c r="G1044" s="82">
        <f>IF('5C'!B44&lt;&gt;"",'5C'!G44,"")</f>
        <v/>
      </c>
      <c r="H1044" s="92">
        <f>IF('5C'!B44&lt;&gt;"",'5C'!H44,"")</f>
        <v/>
      </c>
      <c r="I1044" s="92">
        <f>IF('5C'!B44&lt;&gt;"",'5C'!I44,"")</f>
        <v/>
      </c>
      <c r="J1044" s="82">
        <f>IF('5C'!B44&lt;&gt;"",'5C'!J44,"")</f>
        <v/>
      </c>
    </row>
    <row r="1045" ht="15.75" customHeight="1" s="52">
      <c r="A1045" s="97">
        <f>IF('5C'!B45&lt;&gt;"","5C","")</f>
        <v/>
      </c>
      <c r="B1045" s="78">
        <f>IF('5C'!B45&lt;&gt;"",'5C'!B45,"")</f>
        <v/>
      </c>
      <c r="C1045" s="78">
        <f>IF('5C'!B45&lt;&gt;"",'5C'!C45,"")</f>
        <v/>
      </c>
      <c r="D1045" s="78">
        <f>IF('5C'!B45&lt;&gt;"",'5C'!D45,"")</f>
        <v/>
      </c>
      <c r="E1045" s="78">
        <f>IF('5C'!B45&lt;&gt;"",'5C'!E45,"")</f>
        <v/>
      </c>
      <c r="F1045" s="78">
        <f>IF('5C'!B45&lt;&gt;"",'5C'!F45,"")</f>
        <v/>
      </c>
      <c r="G1045" s="78">
        <f>IF('5C'!B45&lt;&gt;"",'5C'!G45,"")</f>
        <v/>
      </c>
      <c r="H1045" s="97">
        <f>IF('5C'!B45&lt;&gt;"",'5C'!H45,"")</f>
        <v/>
      </c>
      <c r="I1045" s="97">
        <f>IF('5C'!B45&lt;&gt;"",'5C'!I45,"")</f>
        <v/>
      </c>
      <c r="J1045" s="78">
        <f>IF('5C'!B45&lt;&gt;"",'5C'!J45,"")</f>
        <v/>
      </c>
    </row>
    <row r="1046" ht="15.75" customHeight="1" s="52">
      <c r="A1046" s="92">
        <f>IF('5C'!B46&lt;&gt;"","5C","")</f>
        <v/>
      </c>
      <c r="B1046" s="82">
        <f>IF('5C'!B46&lt;&gt;"",'5C'!B46,"")</f>
        <v/>
      </c>
      <c r="C1046" s="82">
        <f>IF('5C'!B46&lt;&gt;"",'5C'!C46,"")</f>
        <v/>
      </c>
      <c r="D1046" s="82">
        <f>IF('5C'!B46&lt;&gt;"",'5C'!D46,"")</f>
        <v/>
      </c>
      <c r="E1046" s="82">
        <f>IF('5C'!B46&lt;&gt;"",'5C'!E46,"")</f>
        <v/>
      </c>
      <c r="F1046" s="82">
        <f>IF('5C'!B46&lt;&gt;"",'5C'!F46,"")</f>
        <v/>
      </c>
      <c r="G1046" s="82">
        <f>IF('5C'!B46&lt;&gt;"",'5C'!G46,"")</f>
        <v/>
      </c>
      <c r="H1046" s="92">
        <f>IF('5C'!B46&lt;&gt;"",'5C'!H46,"")</f>
        <v/>
      </c>
      <c r="I1046" s="92">
        <f>IF('5C'!B46&lt;&gt;"",'5C'!I46,"")</f>
        <v/>
      </c>
      <c r="J1046" s="82">
        <f>IF('5C'!B46&lt;&gt;"",'5C'!J46,"")</f>
        <v/>
      </c>
    </row>
    <row r="1047" ht="15.75" customHeight="1" s="52">
      <c r="A1047" s="97">
        <f>IF('5C'!B47&lt;&gt;"","5C","")</f>
        <v/>
      </c>
      <c r="B1047" s="78">
        <f>IF('5C'!B47&lt;&gt;"",'5C'!B47,"")</f>
        <v/>
      </c>
      <c r="C1047" s="78">
        <f>IF('5C'!B47&lt;&gt;"",'5C'!C47,"")</f>
        <v/>
      </c>
      <c r="D1047" s="78">
        <f>IF('5C'!B47&lt;&gt;"",'5C'!D47,"")</f>
        <v/>
      </c>
      <c r="E1047" s="78">
        <f>IF('5C'!B47&lt;&gt;"",'5C'!E47,"")</f>
        <v/>
      </c>
      <c r="F1047" s="78">
        <f>IF('5C'!B47&lt;&gt;"",'5C'!F47,"")</f>
        <v/>
      </c>
      <c r="G1047" s="78">
        <f>IF('5C'!B47&lt;&gt;"",'5C'!G47,"")</f>
        <v/>
      </c>
      <c r="H1047" s="97">
        <f>IF('5C'!B47&lt;&gt;"",'5C'!H47,"")</f>
        <v/>
      </c>
      <c r="I1047" s="97">
        <f>IF('5C'!B47&lt;&gt;"",'5C'!I47,"")</f>
        <v/>
      </c>
      <c r="J1047" s="78">
        <f>IF('5C'!B47&lt;&gt;"",'5C'!J47,"")</f>
        <v/>
      </c>
    </row>
    <row r="1048" ht="15.75" customHeight="1" s="52">
      <c r="A1048" s="92">
        <f>IF('5C'!B48&lt;&gt;"","5C","")</f>
        <v/>
      </c>
      <c r="B1048" s="82">
        <f>IF('5C'!B48&lt;&gt;"",'5C'!B48,"")</f>
        <v/>
      </c>
      <c r="C1048" s="82">
        <f>IF('5C'!B48&lt;&gt;"",'5C'!C48,"")</f>
        <v/>
      </c>
      <c r="D1048" s="82">
        <f>IF('5C'!B48&lt;&gt;"",'5C'!D48,"")</f>
        <v/>
      </c>
      <c r="E1048" s="82">
        <f>IF('5C'!B48&lt;&gt;"",'5C'!E48,"")</f>
        <v/>
      </c>
      <c r="F1048" s="82">
        <f>IF('5C'!B48&lt;&gt;"",'5C'!F48,"")</f>
        <v/>
      </c>
      <c r="G1048" s="82">
        <f>IF('5C'!B48&lt;&gt;"",'5C'!G48,"")</f>
        <v/>
      </c>
      <c r="H1048" s="92">
        <f>IF('5C'!B48&lt;&gt;"",'5C'!H48,"")</f>
        <v/>
      </c>
      <c r="I1048" s="92">
        <f>IF('5C'!B48&lt;&gt;"",'5C'!I48,"")</f>
        <v/>
      </c>
      <c r="J1048" s="82">
        <f>IF('5C'!B48&lt;&gt;"",'5C'!J48,"")</f>
        <v/>
      </c>
    </row>
    <row r="1049" ht="15.75" customHeight="1" s="52">
      <c r="A1049" s="97">
        <f>IF('5C'!B49&lt;&gt;"","5C","")</f>
        <v/>
      </c>
      <c r="B1049" s="78">
        <f>IF('5C'!B49&lt;&gt;"",'5C'!B49,"")</f>
        <v/>
      </c>
      <c r="C1049" s="78">
        <f>IF('5C'!B49&lt;&gt;"",'5C'!C49,"")</f>
        <v/>
      </c>
      <c r="D1049" s="78">
        <f>IF('5C'!B49&lt;&gt;"",'5C'!D49,"")</f>
        <v/>
      </c>
      <c r="E1049" s="78">
        <f>IF('5C'!B49&lt;&gt;"",'5C'!E49,"")</f>
        <v/>
      </c>
      <c r="F1049" s="78">
        <f>IF('5C'!B49&lt;&gt;"",'5C'!F49,"")</f>
        <v/>
      </c>
      <c r="G1049" s="78">
        <f>IF('5C'!B49&lt;&gt;"",'5C'!G49,"")</f>
        <v/>
      </c>
      <c r="H1049" s="97">
        <f>IF('5C'!B49&lt;&gt;"",'5C'!H49,"")</f>
        <v/>
      </c>
      <c r="I1049" s="97">
        <f>IF('5C'!B49&lt;&gt;"",'5C'!I49,"")</f>
        <v/>
      </c>
      <c r="J1049" s="78">
        <f>IF('5C'!B49&lt;&gt;"",'5C'!J49,"")</f>
        <v/>
      </c>
    </row>
    <row r="1050" ht="15.75" customHeight="1" s="52">
      <c r="A1050" s="92">
        <f>IF('5C'!B50&lt;&gt;"","5C","")</f>
        <v/>
      </c>
      <c r="B1050" s="82">
        <f>IF('5C'!B50&lt;&gt;"",'5C'!B50,"")</f>
        <v/>
      </c>
      <c r="C1050" s="82">
        <f>IF('5C'!B50&lt;&gt;"",'5C'!C50,"")</f>
        <v/>
      </c>
      <c r="D1050" s="82">
        <f>IF('5C'!B50&lt;&gt;"",'5C'!D50,"")</f>
        <v/>
      </c>
      <c r="E1050" s="82">
        <f>IF('5C'!B50&lt;&gt;"",'5C'!E50,"")</f>
        <v/>
      </c>
      <c r="F1050" s="82">
        <f>IF('5C'!B50&lt;&gt;"",'5C'!F50,"")</f>
        <v/>
      </c>
      <c r="G1050" s="82">
        <f>IF('5C'!B50&lt;&gt;"",'5C'!G50,"")</f>
        <v/>
      </c>
      <c r="H1050" s="92">
        <f>IF('5C'!B50&lt;&gt;"",'5C'!H50,"")</f>
        <v/>
      </c>
      <c r="I1050" s="92">
        <f>IF('5C'!B50&lt;&gt;"",'5C'!I50,"")</f>
        <v/>
      </c>
      <c r="J1050" s="82">
        <f>IF('5C'!B50&lt;&gt;"",'5C'!J50,"")</f>
        <v/>
      </c>
    </row>
    <row r="1051" ht="15.75" customHeight="1" s="52">
      <c r="A1051" s="97">
        <f>IF('5C'!B51&lt;&gt;"","5C","")</f>
        <v/>
      </c>
      <c r="B1051" s="78">
        <f>IF('5C'!B51&lt;&gt;"",'5C'!B51,"")</f>
        <v/>
      </c>
      <c r="C1051" s="78">
        <f>IF('5C'!B51&lt;&gt;"",'5C'!C51,"")</f>
        <v/>
      </c>
      <c r="D1051" s="78">
        <f>IF('5C'!B51&lt;&gt;"",'5C'!D51,"")</f>
        <v/>
      </c>
      <c r="E1051" s="78">
        <f>IF('5C'!B51&lt;&gt;"",'5C'!E51,"")</f>
        <v/>
      </c>
      <c r="F1051" s="78">
        <f>IF('5C'!B51&lt;&gt;"",'5C'!F51,"")</f>
        <v/>
      </c>
      <c r="G1051" s="78">
        <f>IF('5C'!B51&lt;&gt;"",'5C'!G51,"")</f>
        <v/>
      </c>
      <c r="H1051" s="97">
        <f>IF('5C'!B51&lt;&gt;"",'5C'!H51,"")</f>
        <v/>
      </c>
      <c r="I1051" s="97">
        <f>IF('5C'!B51&lt;&gt;"",'5C'!I51,"")</f>
        <v/>
      </c>
      <c r="J1051" s="78">
        <f>IF('5C'!B51&lt;&gt;"",'5C'!J51,"")</f>
        <v/>
      </c>
    </row>
    <row r="1052" ht="15.75" customHeight="1" s="52">
      <c r="A1052" s="92">
        <f>IF('5C'!B52&lt;&gt;"","5C","")</f>
        <v/>
      </c>
      <c r="B1052" s="82">
        <f>IF('5C'!B52&lt;&gt;"",'5C'!B52,"")</f>
        <v/>
      </c>
      <c r="C1052" s="82">
        <f>IF('5C'!B52&lt;&gt;"",'5C'!C52,"")</f>
        <v/>
      </c>
      <c r="D1052" s="82">
        <f>IF('5C'!B52&lt;&gt;"",'5C'!D52,"")</f>
        <v/>
      </c>
      <c r="E1052" s="82">
        <f>IF('5C'!B52&lt;&gt;"",'5C'!E52,"")</f>
        <v/>
      </c>
      <c r="F1052" s="82">
        <f>IF('5C'!B52&lt;&gt;"",'5C'!F52,"")</f>
        <v/>
      </c>
      <c r="G1052" s="82">
        <f>IF('5C'!B52&lt;&gt;"",'5C'!G52,"")</f>
        <v/>
      </c>
      <c r="H1052" s="92">
        <f>IF('5C'!B52&lt;&gt;"",'5C'!H52,"")</f>
        <v/>
      </c>
      <c r="I1052" s="92">
        <f>IF('5C'!B52&lt;&gt;"",'5C'!I52,"")</f>
        <v/>
      </c>
      <c r="J1052" s="82">
        <f>IF('5C'!B52&lt;&gt;"",'5C'!J52,"")</f>
        <v/>
      </c>
    </row>
    <row r="1053" ht="15.75" customHeight="1" s="52">
      <c r="A1053" s="97">
        <f>IF('5C'!B53&lt;&gt;"","5C","")</f>
        <v/>
      </c>
      <c r="B1053" s="78">
        <f>IF('5C'!B53&lt;&gt;"",'5C'!B53,"")</f>
        <v/>
      </c>
      <c r="C1053" s="78">
        <f>IF('5C'!B53&lt;&gt;"",'5C'!C53,"")</f>
        <v/>
      </c>
      <c r="D1053" s="78">
        <f>IF('5C'!B53&lt;&gt;"",'5C'!D53,"")</f>
        <v/>
      </c>
      <c r="E1053" s="78">
        <f>IF('5C'!B53&lt;&gt;"",'5C'!E53,"")</f>
        <v/>
      </c>
      <c r="F1053" s="78">
        <f>IF('5C'!B53&lt;&gt;"",'5C'!F53,"")</f>
        <v/>
      </c>
      <c r="G1053" s="78">
        <f>IF('5C'!B53&lt;&gt;"",'5C'!G53,"")</f>
        <v/>
      </c>
      <c r="H1053" s="97">
        <f>IF('5C'!B53&lt;&gt;"",'5C'!H53,"")</f>
        <v/>
      </c>
      <c r="I1053" s="97">
        <f>IF('5C'!B53&lt;&gt;"",'5C'!I53,"")</f>
        <v/>
      </c>
      <c r="J1053" s="78">
        <f>IF('5C'!B53&lt;&gt;"",'5C'!J53,"")</f>
        <v/>
      </c>
    </row>
    <row r="1054" ht="15.75" customHeight="1" s="52">
      <c r="A1054" s="92">
        <f>IF('5C'!B54&lt;&gt;"","5C","")</f>
        <v/>
      </c>
      <c r="B1054" s="82">
        <f>IF('5C'!B54&lt;&gt;"",'5C'!B54,"")</f>
        <v/>
      </c>
      <c r="C1054" s="82">
        <f>IF('5C'!B54&lt;&gt;"",'5C'!C54,"")</f>
        <v/>
      </c>
      <c r="D1054" s="82">
        <f>IF('5C'!B54&lt;&gt;"",'5C'!D54,"")</f>
        <v/>
      </c>
      <c r="E1054" s="82">
        <f>IF('5C'!B54&lt;&gt;"",'5C'!E54,"")</f>
        <v/>
      </c>
      <c r="F1054" s="82">
        <f>IF('5C'!B54&lt;&gt;"",'5C'!F54,"")</f>
        <v/>
      </c>
      <c r="G1054" s="82">
        <f>IF('5C'!B54&lt;&gt;"",'5C'!G54,"")</f>
        <v/>
      </c>
      <c r="H1054" s="92">
        <f>IF('5C'!B54&lt;&gt;"",'5C'!H54,"")</f>
        <v/>
      </c>
      <c r="I1054" s="92">
        <f>IF('5C'!B54&lt;&gt;"",'5C'!I54,"")</f>
        <v/>
      </c>
      <c r="J1054" s="82">
        <f>IF('5C'!B54&lt;&gt;"",'5C'!J54,"")</f>
        <v/>
      </c>
    </row>
    <row r="1055" ht="15.75" customHeight="1" s="52">
      <c r="A1055" s="97">
        <f>IF('6A'!B5&lt;&gt;"","6A","")</f>
        <v/>
      </c>
      <c r="B1055" s="78">
        <f>IF('6A'!B5&lt;&gt;"",'6A'!B5,"")</f>
        <v/>
      </c>
      <c r="C1055" s="78">
        <f>IF('6A'!B5&lt;&gt;"",'6A'!C5,"")</f>
        <v/>
      </c>
      <c r="D1055" s="78">
        <f>IF('6A'!B5&lt;&gt;"",'6A'!D5,"")</f>
        <v/>
      </c>
      <c r="E1055" s="78">
        <f>IF('6A'!B5&lt;&gt;"",'6A'!E5,"")</f>
        <v/>
      </c>
      <c r="F1055" s="78">
        <f>IF('6A'!B5&lt;&gt;"",'6A'!F5,"")</f>
        <v/>
      </c>
      <c r="G1055" s="78">
        <f>IF('6A'!B5&lt;&gt;"",'6A'!G5,"")</f>
        <v/>
      </c>
      <c r="H1055" s="97">
        <f>IF('6A'!B5&lt;&gt;"",'6A'!H5,"")</f>
        <v/>
      </c>
      <c r="I1055" s="97">
        <f>IF('6A'!B5&lt;&gt;"",'6A'!I5,"")</f>
        <v/>
      </c>
      <c r="J1055" s="78">
        <f>IF('6A'!B5&lt;&gt;"",'6A'!J5,"")</f>
        <v/>
      </c>
    </row>
    <row r="1056" ht="15.75" customHeight="1" s="52">
      <c r="A1056" s="92">
        <f>IF('6A'!B6&lt;&gt;"","6A","")</f>
        <v/>
      </c>
      <c r="B1056" s="82">
        <f>IF('6A'!B6&lt;&gt;"",'6A'!B6,"")</f>
        <v/>
      </c>
      <c r="C1056" s="82">
        <f>IF('6A'!B6&lt;&gt;"",'6A'!C6,"")</f>
        <v/>
      </c>
      <c r="D1056" s="82">
        <f>IF('6A'!B6&lt;&gt;"",'6A'!D6,"")</f>
        <v/>
      </c>
      <c r="E1056" s="82">
        <f>IF('6A'!B6&lt;&gt;"",'6A'!E6,"")</f>
        <v/>
      </c>
      <c r="F1056" s="82">
        <f>IF('6A'!B6&lt;&gt;"",'6A'!F6,"")</f>
        <v/>
      </c>
      <c r="G1056" s="82">
        <f>IF('6A'!B6&lt;&gt;"",'6A'!G6,"")</f>
        <v/>
      </c>
      <c r="H1056" s="92">
        <f>IF('6A'!B6&lt;&gt;"",'6A'!H6,"")</f>
        <v/>
      </c>
      <c r="I1056" s="92">
        <f>IF('6A'!B6&lt;&gt;"",'6A'!I6,"")</f>
        <v/>
      </c>
      <c r="J1056" s="82">
        <f>IF('6A'!B6&lt;&gt;"",'6A'!J6,"")</f>
        <v/>
      </c>
    </row>
    <row r="1057" ht="15.75" customHeight="1" s="52">
      <c r="A1057" s="97">
        <f>IF('6A'!B7&lt;&gt;"","6A","")</f>
        <v/>
      </c>
      <c r="B1057" s="78">
        <f>IF('6A'!B7&lt;&gt;"",'6A'!B7,"")</f>
        <v/>
      </c>
      <c r="C1057" s="78">
        <f>IF('6A'!B7&lt;&gt;"",'6A'!C7,"")</f>
        <v/>
      </c>
      <c r="D1057" s="78">
        <f>IF('6A'!B7&lt;&gt;"",'6A'!D7,"")</f>
        <v/>
      </c>
      <c r="E1057" s="78">
        <f>IF('6A'!B7&lt;&gt;"",'6A'!E7,"")</f>
        <v/>
      </c>
      <c r="F1057" s="78">
        <f>IF('6A'!B7&lt;&gt;"",'6A'!F7,"")</f>
        <v/>
      </c>
      <c r="G1057" s="78">
        <f>IF('6A'!B7&lt;&gt;"",'6A'!G7,"")</f>
        <v/>
      </c>
      <c r="H1057" s="97">
        <f>IF('6A'!B7&lt;&gt;"",'6A'!H7,"")</f>
        <v/>
      </c>
      <c r="I1057" s="97">
        <f>IF('6A'!B7&lt;&gt;"",'6A'!I7,"")</f>
        <v/>
      </c>
      <c r="J1057" s="78">
        <f>IF('6A'!B7&lt;&gt;"",'6A'!J7,"")</f>
        <v/>
      </c>
    </row>
    <row r="1058" ht="15.75" customHeight="1" s="52">
      <c r="A1058" s="92">
        <f>IF('6A'!B8&lt;&gt;"","6A","")</f>
        <v/>
      </c>
      <c r="B1058" s="82">
        <f>IF('6A'!B8&lt;&gt;"",'6A'!B8,"")</f>
        <v/>
      </c>
      <c r="C1058" s="82">
        <f>IF('6A'!B8&lt;&gt;"",'6A'!C8,"")</f>
        <v/>
      </c>
      <c r="D1058" s="82">
        <f>IF('6A'!B8&lt;&gt;"",'6A'!D8,"")</f>
        <v/>
      </c>
      <c r="E1058" s="82">
        <f>IF('6A'!B8&lt;&gt;"",'6A'!E8,"")</f>
        <v/>
      </c>
      <c r="F1058" s="82">
        <f>IF('6A'!B8&lt;&gt;"",'6A'!F8,"")</f>
        <v/>
      </c>
      <c r="G1058" s="82">
        <f>IF('6A'!B8&lt;&gt;"",'6A'!G8,"")</f>
        <v/>
      </c>
      <c r="H1058" s="92">
        <f>IF('6A'!B8&lt;&gt;"",'6A'!H8,"")</f>
        <v/>
      </c>
      <c r="I1058" s="92">
        <f>IF('6A'!B8&lt;&gt;"",'6A'!I8,"")</f>
        <v/>
      </c>
      <c r="J1058" s="82">
        <f>IF('6A'!B8&lt;&gt;"",'6A'!J8,"")</f>
        <v/>
      </c>
    </row>
    <row r="1059" ht="15.75" customHeight="1" s="52">
      <c r="A1059" s="97">
        <f>IF('6A'!B9&lt;&gt;"","6A","")</f>
        <v/>
      </c>
      <c r="B1059" s="78">
        <f>IF('6A'!B9&lt;&gt;"",'6A'!B9,"")</f>
        <v/>
      </c>
      <c r="C1059" s="78">
        <f>IF('6A'!B9&lt;&gt;"",'6A'!C9,"")</f>
        <v/>
      </c>
      <c r="D1059" s="78">
        <f>IF('6A'!B9&lt;&gt;"",'6A'!D9,"")</f>
        <v/>
      </c>
      <c r="E1059" s="78">
        <f>IF('6A'!B9&lt;&gt;"",'6A'!E9,"")</f>
        <v/>
      </c>
      <c r="F1059" s="78">
        <f>IF('6A'!B9&lt;&gt;"",'6A'!F9,"")</f>
        <v/>
      </c>
      <c r="G1059" s="78">
        <f>IF('6A'!B9&lt;&gt;"",'6A'!G9,"")</f>
        <v/>
      </c>
      <c r="H1059" s="97">
        <f>IF('6A'!B9&lt;&gt;"",'6A'!H9,"")</f>
        <v/>
      </c>
      <c r="I1059" s="97">
        <f>IF('6A'!B9&lt;&gt;"",'6A'!I9,"")</f>
        <v/>
      </c>
      <c r="J1059" s="78">
        <f>IF('6A'!B9&lt;&gt;"",'6A'!J9,"")</f>
        <v/>
      </c>
    </row>
    <row r="1060" ht="15.75" customHeight="1" s="52">
      <c r="A1060" s="92">
        <f>IF('6A'!B10&lt;&gt;"","6A","")</f>
        <v/>
      </c>
      <c r="B1060" s="82">
        <f>IF('6A'!B10&lt;&gt;"",'6A'!B10,"")</f>
        <v/>
      </c>
      <c r="C1060" s="82">
        <f>IF('6A'!B10&lt;&gt;"",'6A'!C10,"")</f>
        <v/>
      </c>
      <c r="D1060" s="82">
        <f>IF('6A'!B10&lt;&gt;"",'6A'!D10,"")</f>
        <v/>
      </c>
      <c r="E1060" s="82">
        <f>IF('6A'!B10&lt;&gt;"",'6A'!E10,"")</f>
        <v/>
      </c>
      <c r="F1060" s="82">
        <f>IF('6A'!B10&lt;&gt;"",'6A'!F10,"")</f>
        <v/>
      </c>
      <c r="G1060" s="82">
        <f>IF('6A'!B10&lt;&gt;"",'6A'!G10,"")</f>
        <v/>
      </c>
      <c r="H1060" s="92">
        <f>IF('6A'!B10&lt;&gt;"",'6A'!H10,"")</f>
        <v/>
      </c>
      <c r="I1060" s="92">
        <f>IF('6A'!B10&lt;&gt;"",'6A'!I10,"")</f>
        <v/>
      </c>
      <c r="J1060" s="82">
        <f>IF('6A'!B10&lt;&gt;"",'6A'!J10,"")</f>
        <v/>
      </c>
    </row>
    <row r="1061" ht="15.75" customHeight="1" s="52">
      <c r="A1061" s="97">
        <f>IF('6A'!B11&lt;&gt;"","6A","")</f>
        <v/>
      </c>
      <c r="B1061" s="78">
        <f>IF('6A'!B11&lt;&gt;"",'6A'!B11,"")</f>
        <v/>
      </c>
      <c r="C1061" s="78">
        <f>IF('6A'!B11&lt;&gt;"",'6A'!C11,"")</f>
        <v/>
      </c>
      <c r="D1061" s="78">
        <f>IF('6A'!B11&lt;&gt;"",'6A'!D11,"")</f>
        <v/>
      </c>
      <c r="E1061" s="78">
        <f>IF('6A'!B11&lt;&gt;"",'6A'!E11,"")</f>
        <v/>
      </c>
      <c r="F1061" s="78">
        <f>IF('6A'!B11&lt;&gt;"",'6A'!F11,"")</f>
        <v/>
      </c>
      <c r="G1061" s="78">
        <f>IF('6A'!B11&lt;&gt;"",'6A'!G11,"")</f>
        <v/>
      </c>
      <c r="H1061" s="97">
        <f>IF('6A'!B11&lt;&gt;"",'6A'!H11,"")</f>
        <v/>
      </c>
      <c r="I1061" s="97">
        <f>IF('6A'!B11&lt;&gt;"",'6A'!I11,"")</f>
        <v/>
      </c>
      <c r="J1061" s="78">
        <f>IF('6A'!B11&lt;&gt;"",'6A'!J11,"")</f>
        <v/>
      </c>
    </row>
    <row r="1062" ht="15.75" customHeight="1" s="52">
      <c r="A1062" s="92">
        <f>IF('6A'!B12&lt;&gt;"","6A","")</f>
        <v/>
      </c>
      <c r="B1062" s="82">
        <f>IF('6A'!B12&lt;&gt;"",'6A'!B12,"")</f>
        <v/>
      </c>
      <c r="C1062" s="82">
        <f>IF('6A'!B12&lt;&gt;"",'6A'!C12,"")</f>
        <v/>
      </c>
      <c r="D1062" s="82">
        <f>IF('6A'!B12&lt;&gt;"",'6A'!D12,"")</f>
        <v/>
      </c>
      <c r="E1062" s="82">
        <f>IF('6A'!B12&lt;&gt;"",'6A'!E12,"")</f>
        <v/>
      </c>
      <c r="F1062" s="82">
        <f>IF('6A'!B12&lt;&gt;"",'6A'!F12,"")</f>
        <v/>
      </c>
      <c r="G1062" s="82">
        <f>IF('6A'!B12&lt;&gt;"",'6A'!G12,"")</f>
        <v/>
      </c>
      <c r="H1062" s="92">
        <f>IF('6A'!B12&lt;&gt;"",'6A'!H12,"")</f>
        <v/>
      </c>
      <c r="I1062" s="92">
        <f>IF('6A'!B12&lt;&gt;"",'6A'!I12,"")</f>
        <v/>
      </c>
      <c r="J1062" s="82">
        <f>IF('6A'!B12&lt;&gt;"",'6A'!J12,"")</f>
        <v/>
      </c>
    </row>
    <row r="1063" ht="15.75" customHeight="1" s="52">
      <c r="A1063" s="97">
        <f>IF('6A'!B13&lt;&gt;"","6A","")</f>
        <v/>
      </c>
      <c r="B1063" s="78">
        <f>IF('6A'!B13&lt;&gt;"",'6A'!B13,"")</f>
        <v/>
      </c>
      <c r="C1063" s="78">
        <f>IF('6A'!B13&lt;&gt;"",'6A'!C13,"")</f>
        <v/>
      </c>
      <c r="D1063" s="78">
        <f>IF('6A'!B13&lt;&gt;"",'6A'!D13,"")</f>
        <v/>
      </c>
      <c r="E1063" s="78">
        <f>IF('6A'!B13&lt;&gt;"",'6A'!E13,"")</f>
        <v/>
      </c>
      <c r="F1063" s="78">
        <f>IF('6A'!B13&lt;&gt;"",'6A'!F13,"")</f>
        <v/>
      </c>
      <c r="G1063" s="78">
        <f>IF('6A'!B13&lt;&gt;"",'6A'!G13,"")</f>
        <v/>
      </c>
      <c r="H1063" s="97">
        <f>IF('6A'!B13&lt;&gt;"",'6A'!H13,"")</f>
        <v/>
      </c>
      <c r="I1063" s="97">
        <f>IF('6A'!B13&lt;&gt;"",'6A'!I13,"")</f>
        <v/>
      </c>
      <c r="J1063" s="78">
        <f>IF('6A'!B13&lt;&gt;"",'6A'!J13,"")</f>
        <v/>
      </c>
    </row>
    <row r="1064" ht="15.75" customHeight="1" s="52">
      <c r="A1064" s="92">
        <f>IF('6A'!B14&lt;&gt;"","6A","")</f>
        <v/>
      </c>
      <c r="B1064" s="82">
        <f>IF('6A'!B14&lt;&gt;"",'6A'!B14,"")</f>
        <v/>
      </c>
      <c r="C1064" s="82">
        <f>IF('6A'!B14&lt;&gt;"",'6A'!C14,"")</f>
        <v/>
      </c>
      <c r="D1064" s="82">
        <f>IF('6A'!B14&lt;&gt;"",'6A'!D14,"")</f>
        <v/>
      </c>
      <c r="E1064" s="82">
        <f>IF('6A'!B14&lt;&gt;"",'6A'!E14,"")</f>
        <v/>
      </c>
      <c r="F1064" s="82">
        <f>IF('6A'!B14&lt;&gt;"",'6A'!F14,"")</f>
        <v/>
      </c>
      <c r="G1064" s="82">
        <f>IF('6A'!B14&lt;&gt;"",'6A'!G14,"")</f>
        <v/>
      </c>
      <c r="H1064" s="92">
        <f>IF('6A'!B14&lt;&gt;"",'6A'!H14,"")</f>
        <v/>
      </c>
      <c r="I1064" s="92">
        <f>IF('6A'!B14&lt;&gt;"",'6A'!I14,"")</f>
        <v/>
      </c>
      <c r="J1064" s="82">
        <f>IF('6A'!B14&lt;&gt;"",'6A'!J14,"")</f>
        <v/>
      </c>
    </row>
    <row r="1065" ht="15.75" customHeight="1" s="52">
      <c r="A1065" s="97">
        <f>IF('6A'!B15&lt;&gt;"","6A","")</f>
        <v/>
      </c>
      <c r="B1065" s="78">
        <f>IF('6A'!B15&lt;&gt;"",'6A'!B15,"")</f>
        <v/>
      </c>
      <c r="C1065" s="78">
        <f>IF('6A'!B15&lt;&gt;"",'6A'!C15,"")</f>
        <v/>
      </c>
      <c r="D1065" s="78">
        <f>IF('6A'!B15&lt;&gt;"",'6A'!D15,"")</f>
        <v/>
      </c>
      <c r="E1065" s="78">
        <f>IF('6A'!B15&lt;&gt;"",'6A'!E15,"")</f>
        <v/>
      </c>
      <c r="F1065" s="78">
        <f>IF('6A'!B15&lt;&gt;"",'6A'!F15,"")</f>
        <v/>
      </c>
      <c r="G1065" s="78">
        <f>IF('6A'!B15&lt;&gt;"",'6A'!G15,"")</f>
        <v/>
      </c>
      <c r="H1065" s="97">
        <f>IF('6A'!B15&lt;&gt;"",'6A'!H15,"")</f>
        <v/>
      </c>
      <c r="I1065" s="97">
        <f>IF('6A'!B15&lt;&gt;"",'6A'!I15,"")</f>
        <v/>
      </c>
      <c r="J1065" s="78">
        <f>IF('6A'!B15&lt;&gt;"",'6A'!J15,"")</f>
        <v/>
      </c>
    </row>
    <row r="1066" ht="15.75" customHeight="1" s="52">
      <c r="A1066" s="92">
        <f>IF('6A'!B16&lt;&gt;"","6A","")</f>
        <v/>
      </c>
      <c r="B1066" s="82">
        <f>IF('6A'!B16&lt;&gt;"",'6A'!B16,"")</f>
        <v/>
      </c>
      <c r="C1066" s="82">
        <f>IF('6A'!B16&lt;&gt;"",'6A'!C16,"")</f>
        <v/>
      </c>
      <c r="D1066" s="82">
        <f>IF('6A'!B16&lt;&gt;"",'6A'!D16,"")</f>
        <v/>
      </c>
      <c r="E1066" s="82">
        <f>IF('6A'!B16&lt;&gt;"",'6A'!E16,"")</f>
        <v/>
      </c>
      <c r="F1066" s="82">
        <f>IF('6A'!B16&lt;&gt;"",'6A'!F16,"")</f>
        <v/>
      </c>
      <c r="G1066" s="82">
        <f>IF('6A'!B16&lt;&gt;"",'6A'!G16,"")</f>
        <v/>
      </c>
      <c r="H1066" s="92">
        <f>IF('6A'!B16&lt;&gt;"",'6A'!H16,"")</f>
        <v/>
      </c>
      <c r="I1066" s="92">
        <f>IF('6A'!B16&lt;&gt;"",'6A'!I16,"")</f>
        <v/>
      </c>
      <c r="J1066" s="82">
        <f>IF('6A'!B16&lt;&gt;"",'6A'!J16,"")</f>
        <v/>
      </c>
    </row>
    <row r="1067" ht="15.75" customHeight="1" s="52">
      <c r="A1067" s="97">
        <f>IF('6A'!B17&lt;&gt;"","6A","")</f>
        <v/>
      </c>
      <c r="B1067" s="78">
        <f>IF('6A'!B17&lt;&gt;"",'6A'!B17,"")</f>
        <v/>
      </c>
      <c r="C1067" s="78">
        <f>IF('6A'!B17&lt;&gt;"",'6A'!C17,"")</f>
        <v/>
      </c>
      <c r="D1067" s="78">
        <f>IF('6A'!B17&lt;&gt;"",'6A'!D17,"")</f>
        <v/>
      </c>
      <c r="E1067" s="78">
        <f>IF('6A'!B17&lt;&gt;"",'6A'!E17,"")</f>
        <v/>
      </c>
      <c r="F1067" s="78">
        <f>IF('6A'!B17&lt;&gt;"",'6A'!F17,"")</f>
        <v/>
      </c>
      <c r="G1067" s="78">
        <f>IF('6A'!B17&lt;&gt;"",'6A'!G17,"")</f>
        <v/>
      </c>
      <c r="H1067" s="97">
        <f>IF('6A'!B17&lt;&gt;"",'6A'!H17,"")</f>
        <v/>
      </c>
      <c r="I1067" s="97">
        <f>IF('6A'!B17&lt;&gt;"",'6A'!I17,"")</f>
        <v/>
      </c>
      <c r="J1067" s="78">
        <f>IF('6A'!B17&lt;&gt;"",'6A'!J17,"")</f>
        <v/>
      </c>
    </row>
    <row r="1068" ht="15.75" customHeight="1" s="52">
      <c r="A1068" s="92">
        <f>IF('6A'!B18&lt;&gt;"","6A","")</f>
        <v/>
      </c>
      <c r="B1068" s="82">
        <f>IF('6A'!B18&lt;&gt;"",'6A'!B18,"")</f>
        <v/>
      </c>
      <c r="C1068" s="82">
        <f>IF('6A'!B18&lt;&gt;"",'6A'!C18,"")</f>
        <v/>
      </c>
      <c r="D1068" s="82">
        <f>IF('6A'!B18&lt;&gt;"",'6A'!D18,"")</f>
        <v/>
      </c>
      <c r="E1068" s="82">
        <f>IF('6A'!B18&lt;&gt;"",'6A'!E18,"")</f>
        <v/>
      </c>
      <c r="F1068" s="82">
        <f>IF('6A'!B18&lt;&gt;"",'6A'!F18,"")</f>
        <v/>
      </c>
      <c r="G1068" s="82">
        <f>IF('6A'!B18&lt;&gt;"",'6A'!G18,"")</f>
        <v/>
      </c>
      <c r="H1068" s="92">
        <f>IF('6A'!B18&lt;&gt;"",'6A'!H18,"")</f>
        <v/>
      </c>
      <c r="I1068" s="92">
        <f>IF('6A'!B18&lt;&gt;"",'6A'!I18,"")</f>
        <v/>
      </c>
      <c r="J1068" s="82">
        <f>IF('6A'!B18&lt;&gt;"",'6A'!J18,"")</f>
        <v/>
      </c>
    </row>
    <row r="1069" ht="15.75" customHeight="1" s="52">
      <c r="A1069" s="97">
        <f>IF('6A'!B19&lt;&gt;"","6A","")</f>
        <v/>
      </c>
      <c r="B1069" s="78">
        <f>IF('6A'!B19&lt;&gt;"",'6A'!B19,"")</f>
        <v/>
      </c>
      <c r="C1069" s="78">
        <f>IF('6A'!B19&lt;&gt;"",'6A'!C19,"")</f>
        <v/>
      </c>
      <c r="D1069" s="78">
        <f>IF('6A'!B19&lt;&gt;"",'6A'!D19,"")</f>
        <v/>
      </c>
      <c r="E1069" s="78">
        <f>IF('6A'!B19&lt;&gt;"",'6A'!E19,"")</f>
        <v/>
      </c>
      <c r="F1069" s="78">
        <f>IF('6A'!B19&lt;&gt;"",'6A'!F19,"")</f>
        <v/>
      </c>
      <c r="G1069" s="78">
        <f>IF('6A'!B19&lt;&gt;"",'6A'!G19,"")</f>
        <v/>
      </c>
      <c r="H1069" s="97">
        <f>IF('6A'!B19&lt;&gt;"",'6A'!H19,"")</f>
        <v/>
      </c>
      <c r="I1069" s="97">
        <f>IF('6A'!B19&lt;&gt;"",'6A'!I19,"")</f>
        <v/>
      </c>
      <c r="J1069" s="78">
        <f>IF('6A'!B19&lt;&gt;"",'6A'!J19,"")</f>
        <v/>
      </c>
    </row>
    <row r="1070" ht="15.75" customHeight="1" s="52">
      <c r="A1070" s="92">
        <f>IF('6A'!B20&lt;&gt;"","6A","")</f>
        <v/>
      </c>
      <c r="B1070" s="82">
        <f>IF('6A'!B20&lt;&gt;"",'6A'!B20,"")</f>
        <v/>
      </c>
      <c r="C1070" s="82">
        <f>IF('6A'!B20&lt;&gt;"",'6A'!C20,"")</f>
        <v/>
      </c>
      <c r="D1070" s="82">
        <f>IF('6A'!B20&lt;&gt;"",'6A'!D20,"")</f>
        <v/>
      </c>
      <c r="E1070" s="82">
        <f>IF('6A'!B20&lt;&gt;"",'6A'!E20,"")</f>
        <v/>
      </c>
      <c r="F1070" s="82">
        <f>IF('6A'!B20&lt;&gt;"",'6A'!F20,"")</f>
        <v/>
      </c>
      <c r="G1070" s="82">
        <f>IF('6A'!B20&lt;&gt;"",'6A'!G20,"")</f>
        <v/>
      </c>
      <c r="H1070" s="92">
        <f>IF('6A'!B20&lt;&gt;"",'6A'!H20,"")</f>
        <v/>
      </c>
      <c r="I1070" s="92">
        <f>IF('6A'!B20&lt;&gt;"",'6A'!I20,"")</f>
        <v/>
      </c>
      <c r="J1070" s="82">
        <f>IF('6A'!B20&lt;&gt;"",'6A'!J20,"")</f>
        <v/>
      </c>
    </row>
    <row r="1071" ht="15.75" customHeight="1" s="52">
      <c r="A1071" s="97">
        <f>IF('6A'!B21&lt;&gt;"","6A","")</f>
        <v/>
      </c>
      <c r="B1071" s="78">
        <f>IF('6A'!B21&lt;&gt;"",'6A'!B21,"")</f>
        <v/>
      </c>
      <c r="C1071" s="78">
        <f>IF('6A'!B21&lt;&gt;"",'6A'!C21,"")</f>
        <v/>
      </c>
      <c r="D1071" s="78">
        <f>IF('6A'!B21&lt;&gt;"",'6A'!D21,"")</f>
        <v/>
      </c>
      <c r="E1071" s="78">
        <f>IF('6A'!B21&lt;&gt;"",'6A'!E21,"")</f>
        <v/>
      </c>
      <c r="F1071" s="78">
        <f>IF('6A'!B21&lt;&gt;"",'6A'!F21,"")</f>
        <v/>
      </c>
      <c r="G1071" s="78">
        <f>IF('6A'!B21&lt;&gt;"",'6A'!G21,"")</f>
        <v/>
      </c>
      <c r="H1071" s="97">
        <f>IF('6A'!B21&lt;&gt;"",'6A'!H21,"")</f>
        <v/>
      </c>
      <c r="I1071" s="97">
        <f>IF('6A'!B21&lt;&gt;"",'6A'!I21,"")</f>
        <v/>
      </c>
      <c r="J1071" s="78">
        <f>IF('6A'!B21&lt;&gt;"",'6A'!J21,"")</f>
        <v/>
      </c>
    </row>
    <row r="1072" ht="15.75" customHeight="1" s="52">
      <c r="A1072" s="92">
        <f>IF('6A'!B22&lt;&gt;"","6A","")</f>
        <v/>
      </c>
      <c r="B1072" s="82">
        <f>IF('6A'!B22&lt;&gt;"",'6A'!B22,"")</f>
        <v/>
      </c>
      <c r="C1072" s="82">
        <f>IF('6A'!B22&lt;&gt;"",'6A'!C22,"")</f>
        <v/>
      </c>
      <c r="D1072" s="82">
        <f>IF('6A'!B22&lt;&gt;"",'6A'!D22,"")</f>
        <v/>
      </c>
      <c r="E1072" s="82">
        <f>IF('6A'!B22&lt;&gt;"",'6A'!E22,"")</f>
        <v/>
      </c>
      <c r="F1072" s="82">
        <f>IF('6A'!B22&lt;&gt;"",'6A'!F22,"")</f>
        <v/>
      </c>
      <c r="G1072" s="82">
        <f>IF('6A'!B22&lt;&gt;"",'6A'!G22,"")</f>
        <v/>
      </c>
      <c r="H1072" s="92">
        <f>IF('6A'!B22&lt;&gt;"",'6A'!H22,"")</f>
        <v/>
      </c>
      <c r="I1072" s="92">
        <f>IF('6A'!B22&lt;&gt;"",'6A'!I22,"")</f>
        <v/>
      </c>
      <c r="J1072" s="82">
        <f>IF('6A'!B22&lt;&gt;"",'6A'!J22,"")</f>
        <v/>
      </c>
    </row>
    <row r="1073" ht="15.75" customHeight="1" s="52">
      <c r="A1073" s="97">
        <f>IF('6A'!B23&lt;&gt;"","6A","")</f>
        <v/>
      </c>
      <c r="B1073" s="78">
        <f>IF('6A'!B23&lt;&gt;"",'6A'!B23,"")</f>
        <v/>
      </c>
      <c r="C1073" s="78">
        <f>IF('6A'!B23&lt;&gt;"",'6A'!C23,"")</f>
        <v/>
      </c>
      <c r="D1073" s="78">
        <f>IF('6A'!B23&lt;&gt;"",'6A'!D23,"")</f>
        <v/>
      </c>
      <c r="E1073" s="78">
        <f>IF('6A'!B23&lt;&gt;"",'6A'!E23,"")</f>
        <v/>
      </c>
      <c r="F1073" s="78">
        <f>IF('6A'!B23&lt;&gt;"",'6A'!F23,"")</f>
        <v/>
      </c>
      <c r="G1073" s="78">
        <f>IF('6A'!B23&lt;&gt;"",'6A'!G23,"")</f>
        <v/>
      </c>
      <c r="H1073" s="97">
        <f>IF('6A'!B23&lt;&gt;"",'6A'!H23,"")</f>
        <v/>
      </c>
      <c r="I1073" s="97">
        <f>IF('6A'!B23&lt;&gt;"",'6A'!I23,"")</f>
        <v/>
      </c>
      <c r="J1073" s="78">
        <f>IF('6A'!B23&lt;&gt;"",'6A'!J23,"")</f>
        <v/>
      </c>
    </row>
    <row r="1074" ht="15.75" customHeight="1" s="52">
      <c r="A1074" s="92">
        <f>IF('6A'!B24&lt;&gt;"","6A","")</f>
        <v/>
      </c>
      <c r="B1074" s="82">
        <f>IF('6A'!B24&lt;&gt;"",'6A'!B24,"")</f>
        <v/>
      </c>
      <c r="C1074" s="82">
        <f>IF('6A'!B24&lt;&gt;"",'6A'!C24,"")</f>
        <v/>
      </c>
      <c r="D1074" s="82">
        <f>IF('6A'!B24&lt;&gt;"",'6A'!D24,"")</f>
        <v/>
      </c>
      <c r="E1074" s="82">
        <f>IF('6A'!B24&lt;&gt;"",'6A'!E24,"")</f>
        <v/>
      </c>
      <c r="F1074" s="82">
        <f>IF('6A'!B24&lt;&gt;"",'6A'!F24,"")</f>
        <v/>
      </c>
      <c r="G1074" s="82">
        <f>IF('6A'!B24&lt;&gt;"",'6A'!G24,"")</f>
        <v/>
      </c>
      <c r="H1074" s="92">
        <f>IF('6A'!B24&lt;&gt;"",'6A'!H24,"")</f>
        <v/>
      </c>
      <c r="I1074" s="92">
        <f>IF('6A'!B24&lt;&gt;"",'6A'!I24,"")</f>
        <v/>
      </c>
      <c r="J1074" s="82">
        <f>IF('6A'!B24&lt;&gt;"",'6A'!J24,"")</f>
        <v/>
      </c>
    </row>
    <row r="1075" ht="15.75" customHeight="1" s="52">
      <c r="A1075" s="97">
        <f>IF('6A'!B25&lt;&gt;"","6A","")</f>
        <v/>
      </c>
      <c r="B1075" s="78">
        <f>IF('6A'!B25&lt;&gt;"",'6A'!B25,"")</f>
        <v/>
      </c>
      <c r="C1075" s="78">
        <f>IF('6A'!B25&lt;&gt;"",'6A'!C25,"")</f>
        <v/>
      </c>
      <c r="D1075" s="78">
        <f>IF('6A'!B25&lt;&gt;"",'6A'!D25,"")</f>
        <v/>
      </c>
      <c r="E1075" s="78">
        <f>IF('6A'!B25&lt;&gt;"",'6A'!E25,"")</f>
        <v/>
      </c>
      <c r="F1075" s="78">
        <f>IF('6A'!B25&lt;&gt;"",'6A'!F25,"")</f>
        <v/>
      </c>
      <c r="G1075" s="78">
        <f>IF('6A'!B25&lt;&gt;"",'6A'!G25,"")</f>
        <v/>
      </c>
      <c r="H1075" s="97">
        <f>IF('6A'!B25&lt;&gt;"",'6A'!H25,"")</f>
        <v/>
      </c>
      <c r="I1075" s="97">
        <f>IF('6A'!B25&lt;&gt;"",'6A'!I25,"")</f>
        <v/>
      </c>
      <c r="J1075" s="78">
        <f>IF('6A'!B25&lt;&gt;"",'6A'!J25,"")</f>
        <v/>
      </c>
    </row>
    <row r="1076" ht="15.75" customHeight="1" s="52">
      <c r="A1076" s="92">
        <f>IF('6A'!B26&lt;&gt;"","6A","")</f>
        <v/>
      </c>
      <c r="B1076" s="82">
        <f>IF('6A'!B26&lt;&gt;"",'6A'!B26,"")</f>
        <v/>
      </c>
      <c r="C1076" s="82">
        <f>IF('6A'!B26&lt;&gt;"",'6A'!C26,"")</f>
        <v/>
      </c>
      <c r="D1076" s="82">
        <f>IF('6A'!B26&lt;&gt;"",'6A'!D26,"")</f>
        <v/>
      </c>
      <c r="E1076" s="82">
        <f>IF('6A'!B26&lt;&gt;"",'6A'!E26,"")</f>
        <v/>
      </c>
      <c r="F1076" s="82">
        <f>IF('6A'!B26&lt;&gt;"",'6A'!F26,"")</f>
        <v/>
      </c>
      <c r="G1076" s="82">
        <f>IF('6A'!B26&lt;&gt;"",'6A'!G26,"")</f>
        <v/>
      </c>
      <c r="H1076" s="92">
        <f>IF('6A'!B26&lt;&gt;"",'6A'!H26,"")</f>
        <v/>
      </c>
      <c r="I1076" s="92">
        <f>IF('6A'!B26&lt;&gt;"",'6A'!I26,"")</f>
        <v/>
      </c>
      <c r="J1076" s="82">
        <f>IF('6A'!B26&lt;&gt;"",'6A'!J26,"")</f>
        <v/>
      </c>
    </row>
    <row r="1077" ht="15.75" customHeight="1" s="52">
      <c r="A1077" s="97">
        <f>IF('6A'!B27&lt;&gt;"","6A","")</f>
        <v/>
      </c>
      <c r="B1077" s="78">
        <f>IF('6A'!B27&lt;&gt;"",'6A'!B27,"")</f>
        <v/>
      </c>
      <c r="C1077" s="78">
        <f>IF('6A'!B27&lt;&gt;"",'6A'!C27,"")</f>
        <v/>
      </c>
      <c r="D1077" s="78">
        <f>IF('6A'!B27&lt;&gt;"",'6A'!D27,"")</f>
        <v/>
      </c>
      <c r="E1077" s="78">
        <f>IF('6A'!B27&lt;&gt;"",'6A'!E27,"")</f>
        <v/>
      </c>
      <c r="F1077" s="78">
        <f>IF('6A'!B27&lt;&gt;"",'6A'!F27,"")</f>
        <v/>
      </c>
      <c r="G1077" s="78">
        <f>IF('6A'!B27&lt;&gt;"",'6A'!G27,"")</f>
        <v/>
      </c>
      <c r="H1077" s="97">
        <f>IF('6A'!B27&lt;&gt;"",'6A'!H27,"")</f>
        <v/>
      </c>
      <c r="I1077" s="97">
        <f>IF('6A'!B27&lt;&gt;"",'6A'!I27,"")</f>
        <v/>
      </c>
      <c r="J1077" s="78">
        <f>IF('6A'!B27&lt;&gt;"",'6A'!J27,"")</f>
        <v/>
      </c>
    </row>
    <row r="1078" ht="15.75" customHeight="1" s="52">
      <c r="A1078" s="92">
        <f>IF('6A'!B28&lt;&gt;"","6A","")</f>
        <v/>
      </c>
      <c r="B1078" s="82">
        <f>IF('6A'!B28&lt;&gt;"",'6A'!B28,"")</f>
        <v/>
      </c>
      <c r="C1078" s="82">
        <f>IF('6A'!B28&lt;&gt;"",'6A'!C28,"")</f>
        <v/>
      </c>
      <c r="D1078" s="82">
        <f>IF('6A'!B28&lt;&gt;"",'6A'!D28,"")</f>
        <v/>
      </c>
      <c r="E1078" s="82">
        <f>IF('6A'!B28&lt;&gt;"",'6A'!E28,"")</f>
        <v/>
      </c>
      <c r="F1078" s="82">
        <f>IF('6A'!B28&lt;&gt;"",'6A'!F28,"")</f>
        <v/>
      </c>
      <c r="G1078" s="82">
        <f>IF('6A'!B28&lt;&gt;"",'6A'!G28,"")</f>
        <v/>
      </c>
      <c r="H1078" s="92">
        <f>IF('6A'!B28&lt;&gt;"",'6A'!H28,"")</f>
        <v/>
      </c>
      <c r="I1078" s="92">
        <f>IF('6A'!B28&lt;&gt;"",'6A'!I28,"")</f>
        <v/>
      </c>
      <c r="J1078" s="82">
        <f>IF('6A'!B28&lt;&gt;"",'6A'!J28,"")</f>
        <v/>
      </c>
    </row>
    <row r="1079" ht="15.75" customHeight="1" s="52">
      <c r="A1079" s="97">
        <f>IF('6A'!B29&lt;&gt;"","6A","")</f>
        <v/>
      </c>
      <c r="B1079" s="78">
        <f>IF('6A'!B29&lt;&gt;"",'6A'!B29,"")</f>
        <v/>
      </c>
      <c r="C1079" s="78">
        <f>IF('6A'!B29&lt;&gt;"",'6A'!C29,"")</f>
        <v/>
      </c>
      <c r="D1079" s="78">
        <f>IF('6A'!B29&lt;&gt;"",'6A'!D29,"")</f>
        <v/>
      </c>
      <c r="E1079" s="78">
        <f>IF('6A'!B29&lt;&gt;"",'6A'!E29,"")</f>
        <v/>
      </c>
      <c r="F1079" s="78">
        <f>IF('6A'!B29&lt;&gt;"",'6A'!F29,"")</f>
        <v/>
      </c>
      <c r="G1079" s="78">
        <f>IF('6A'!B29&lt;&gt;"",'6A'!G29,"")</f>
        <v/>
      </c>
      <c r="H1079" s="97">
        <f>IF('6A'!B29&lt;&gt;"",'6A'!H29,"")</f>
        <v/>
      </c>
      <c r="I1079" s="97">
        <f>IF('6A'!B29&lt;&gt;"",'6A'!I29,"")</f>
        <v/>
      </c>
      <c r="J1079" s="78">
        <f>IF('6A'!B29&lt;&gt;"",'6A'!J29,"")</f>
        <v/>
      </c>
    </row>
    <row r="1080" ht="15.75" customHeight="1" s="52">
      <c r="A1080" s="92">
        <f>IF('6A'!B30&lt;&gt;"","6A","")</f>
        <v/>
      </c>
      <c r="B1080" s="82">
        <f>IF('6A'!B30&lt;&gt;"",'6A'!B30,"")</f>
        <v/>
      </c>
      <c r="C1080" s="82">
        <f>IF('6A'!B30&lt;&gt;"",'6A'!C30,"")</f>
        <v/>
      </c>
      <c r="D1080" s="82">
        <f>IF('6A'!B30&lt;&gt;"",'6A'!D30,"")</f>
        <v/>
      </c>
      <c r="E1080" s="82">
        <f>IF('6A'!B30&lt;&gt;"",'6A'!E30,"")</f>
        <v/>
      </c>
      <c r="F1080" s="82">
        <f>IF('6A'!B30&lt;&gt;"",'6A'!F30,"")</f>
        <v/>
      </c>
      <c r="G1080" s="82">
        <f>IF('6A'!B30&lt;&gt;"",'6A'!G30,"")</f>
        <v/>
      </c>
      <c r="H1080" s="92">
        <f>IF('6A'!B30&lt;&gt;"",'6A'!H30,"")</f>
        <v/>
      </c>
      <c r="I1080" s="92">
        <f>IF('6A'!B30&lt;&gt;"",'6A'!I30,"")</f>
        <v/>
      </c>
      <c r="J1080" s="82">
        <f>IF('6A'!B30&lt;&gt;"",'6A'!J30,"")</f>
        <v/>
      </c>
    </row>
    <row r="1081" ht="15.75" customHeight="1" s="52">
      <c r="A1081" s="97">
        <f>IF('6A'!B31&lt;&gt;"","6A","")</f>
        <v/>
      </c>
      <c r="B1081" s="78">
        <f>IF('6A'!B31&lt;&gt;"",'6A'!B31,"")</f>
        <v/>
      </c>
      <c r="C1081" s="78">
        <f>IF('6A'!B31&lt;&gt;"",'6A'!C31,"")</f>
        <v/>
      </c>
      <c r="D1081" s="78">
        <f>IF('6A'!B31&lt;&gt;"",'6A'!D31,"")</f>
        <v/>
      </c>
      <c r="E1081" s="78">
        <f>IF('6A'!B31&lt;&gt;"",'6A'!E31,"")</f>
        <v/>
      </c>
      <c r="F1081" s="78">
        <f>IF('6A'!B31&lt;&gt;"",'6A'!F31,"")</f>
        <v/>
      </c>
      <c r="G1081" s="78">
        <f>IF('6A'!B31&lt;&gt;"",'6A'!G31,"")</f>
        <v/>
      </c>
      <c r="H1081" s="97">
        <f>IF('6A'!B31&lt;&gt;"",'6A'!H31,"")</f>
        <v/>
      </c>
      <c r="I1081" s="97">
        <f>IF('6A'!B31&lt;&gt;"",'6A'!I31,"")</f>
        <v/>
      </c>
      <c r="J1081" s="78">
        <f>IF('6A'!B31&lt;&gt;"",'6A'!J31,"")</f>
        <v/>
      </c>
    </row>
    <row r="1082" ht="15.75" customHeight="1" s="52">
      <c r="A1082" s="92">
        <f>IF('6A'!B32&lt;&gt;"","6A","")</f>
        <v/>
      </c>
      <c r="B1082" s="82">
        <f>IF('6A'!B32&lt;&gt;"",'6A'!B32,"")</f>
        <v/>
      </c>
      <c r="C1082" s="82">
        <f>IF('6A'!B32&lt;&gt;"",'6A'!C32,"")</f>
        <v/>
      </c>
      <c r="D1082" s="82">
        <f>IF('6A'!B32&lt;&gt;"",'6A'!D32,"")</f>
        <v/>
      </c>
      <c r="E1082" s="82">
        <f>IF('6A'!B32&lt;&gt;"",'6A'!E32,"")</f>
        <v/>
      </c>
      <c r="F1082" s="82">
        <f>IF('6A'!B32&lt;&gt;"",'6A'!F32,"")</f>
        <v/>
      </c>
      <c r="G1082" s="82">
        <f>IF('6A'!B32&lt;&gt;"",'6A'!G32,"")</f>
        <v/>
      </c>
      <c r="H1082" s="92">
        <f>IF('6A'!B32&lt;&gt;"",'6A'!H32,"")</f>
        <v/>
      </c>
      <c r="I1082" s="92">
        <f>IF('6A'!B32&lt;&gt;"",'6A'!I32,"")</f>
        <v/>
      </c>
      <c r="J1082" s="82">
        <f>IF('6A'!B32&lt;&gt;"",'6A'!J32,"")</f>
        <v/>
      </c>
    </row>
    <row r="1083" ht="15.75" customHeight="1" s="52">
      <c r="A1083" s="97">
        <f>IF('6A'!B33&lt;&gt;"","6A","")</f>
        <v/>
      </c>
      <c r="B1083" s="78">
        <f>IF('6A'!B33&lt;&gt;"",'6A'!B33,"")</f>
        <v/>
      </c>
      <c r="C1083" s="78">
        <f>IF('6A'!B33&lt;&gt;"",'6A'!C33,"")</f>
        <v/>
      </c>
      <c r="D1083" s="78">
        <f>IF('6A'!B33&lt;&gt;"",'6A'!D33,"")</f>
        <v/>
      </c>
      <c r="E1083" s="78">
        <f>IF('6A'!B33&lt;&gt;"",'6A'!E33,"")</f>
        <v/>
      </c>
      <c r="F1083" s="78">
        <f>IF('6A'!B33&lt;&gt;"",'6A'!F33,"")</f>
        <v/>
      </c>
      <c r="G1083" s="78">
        <f>IF('6A'!B33&lt;&gt;"",'6A'!G33,"")</f>
        <v/>
      </c>
      <c r="H1083" s="97">
        <f>IF('6A'!B33&lt;&gt;"",'6A'!H33,"")</f>
        <v/>
      </c>
      <c r="I1083" s="97">
        <f>IF('6A'!B33&lt;&gt;"",'6A'!I33,"")</f>
        <v/>
      </c>
      <c r="J1083" s="78">
        <f>IF('6A'!B33&lt;&gt;"",'6A'!J33,"")</f>
        <v/>
      </c>
    </row>
    <row r="1084" ht="15.75" customHeight="1" s="52">
      <c r="A1084" s="92">
        <f>IF('6A'!B34&lt;&gt;"","6A","")</f>
        <v/>
      </c>
      <c r="B1084" s="82">
        <f>IF('6A'!B34&lt;&gt;"",'6A'!B34,"")</f>
        <v/>
      </c>
      <c r="C1084" s="82">
        <f>IF('6A'!B34&lt;&gt;"",'6A'!C34,"")</f>
        <v/>
      </c>
      <c r="D1084" s="82">
        <f>IF('6A'!B34&lt;&gt;"",'6A'!D34,"")</f>
        <v/>
      </c>
      <c r="E1084" s="82">
        <f>IF('6A'!B34&lt;&gt;"",'6A'!E34,"")</f>
        <v/>
      </c>
      <c r="F1084" s="82">
        <f>IF('6A'!B34&lt;&gt;"",'6A'!F34,"")</f>
        <v/>
      </c>
      <c r="G1084" s="82">
        <f>IF('6A'!B34&lt;&gt;"",'6A'!G34,"")</f>
        <v/>
      </c>
      <c r="H1084" s="92">
        <f>IF('6A'!B34&lt;&gt;"",'6A'!H34,"")</f>
        <v/>
      </c>
      <c r="I1084" s="92">
        <f>IF('6A'!B34&lt;&gt;"",'6A'!I34,"")</f>
        <v/>
      </c>
      <c r="J1084" s="82">
        <f>IF('6A'!B34&lt;&gt;"",'6A'!J34,"")</f>
        <v/>
      </c>
    </row>
    <row r="1085" ht="15.75" customHeight="1" s="52">
      <c r="A1085" s="97">
        <f>IF('6A'!B35&lt;&gt;"","6A","")</f>
        <v/>
      </c>
      <c r="B1085" s="78">
        <f>IF('6A'!B35&lt;&gt;"",'6A'!B35,"")</f>
        <v/>
      </c>
      <c r="C1085" s="78">
        <f>IF('6A'!B35&lt;&gt;"",'6A'!C35,"")</f>
        <v/>
      </c>
      <c r="D1085" s="78">
        <f>IF('6A'!B35&lt;&gt;"",'6A'!D35,"")</f>
        <v/>
      </c>
      <c r="E1085" s="78">
        <f>IF('6A'!B35&lt;&gt;"",'6A'!E35,"")</f>
        <v/>
      </c>
      <c r="F1085" s="78">
        <f>IF('6A'!B35&lt;&gt;"",'6A'!F35,"")</f>
        <v/>
      </c>
      <c r="G1085" s="78">
        <f>IF('6A'!B35&lt;&gt;"",'6A'!G35,"")</f>
        <v/>
      </c>
      <c r="H1085" s="97">
        <f>IF('6A'!B35&lt;&gt;"",'6A'!H35,"")</f>
        <v/>
      </c>
      <c r="I1085" s="97">
        <f>IF('6A'!B35&lt;&gt;"",'6A'!I35,"")</f>
        <v/>
      </c>
      <c r="J1085" s="78">
        <f>IF('6A'!B35&lt;&gt;"",'6A'!J35,"")</f>
        <v/>
      </c>
    </row>
    <row r="1086" ht="15.75" customHeight="1" s="52">
      <c r="A1086" s="92">
        <f>IF('6A'!B36&lt;&gt;"","6A","")</f>
        <v/>
      </c>
      <c r="B1086" s="82">
        <f>IF('6A'!B36&lt;&gt;"",'6A'!B36,"")</f>
        <v/>
      </c>
      <c r="C1086" s="82">
        <f>IF('6A'!B36&lt;&gt;"",'6A'!C36,"")</f>
        <v/>
      </c>
      <c r="D1086" s="82">
        <f>IF('6A'!B36&lt;&gt;"",'6A'!D36,"")</f>
        <v/>
      </c>
      <c r="E1086" s="82">
        <f>IF('6A'!B36&lt;&gt;"",'6A'!E36,"")</f>
        <v/>
      </c>
      <c r="F1086" s="82">
        <f>IF('6A'!B36&lt;&gt;"",'6A'!F36,"")</f>
        <v/>
      </c>
      <c r="G1086" s="82">
        <f>IF('6A'!B36&lt;&gt;"",'6A'!G36,"")</f>
        <v/>
      </c>
      <c r="H1086" s="92">
        <f>IF('6A'!B36&lt;&gt;"",'6A'!H36,"")</f>
        <v/>
      </c>
      <c r="I1086" s="92">
        <f>IF('6A'!B36&lt;&gt;"",'6A'!I36,"")</f>
        <v/>
      </c>
      <c r="J1086" s="82">
        <f>IF('6A'!B36&lt;&gt;"",'6A'!J36,"")</f>
        <v/>
      </c>
    </row>
    <row r="1087" ht="15.75" customHeight="1" s="52">
      <c r="A1087" s="97">
        <f>IF('6A'!B37&lt;&gt;"","6A","")</f>
        <v/>
      </c>
      <c r="B1087" s="78">
        <f>IF('6A'!B37&lt;&gt;"",'6A'!B37,"")</f>
        <v/>
      </c>
      <c r="C1087" s="78">
        <f>IF('6A'!B37&lt;&gt;"",'6A'!C37,"")</f>
        <v/>
      </c>
      <c r="D1087" s="78">
        <f>IF('6A'!B37&lt;&gt;"",'6A'!D37,"")</f>
        <v/>
      </c>
      <c r="E1087" s="78">
        <f>IF('6A'!B37&lt;&gt;"",'6A'!E37,"")</f>
        <v/>
      </c>
      <c r="F1087" s="78">
        <f>IF('6A'!B37&lt;&gt;"",'6A'!F37,"")</f>
        <v/>
      </c>
      <c r="G1087" s="78">
        <f>IF('6A'!B37&lt;&gt;"",'6A'!G37,"")</f>
        <v/>
      </c>
      <c r="H1087" s="97">
        <f>IF('6A'!B37&lt;&gt;"",'6A'!H37,"")</f>
        <v/>
      </c>
      <c r="I1087" s="97">
        <f>IF('6A'!B37&lt;&gt;"",'6A'!I37,"")</f>
        <v/>
      </c>
      <c r="J1087" s="78">
        <f>IF('6A'!B37&lt;&gt;"",'6A'!J37,"")</f>
        <v/>
      </c>
    </row>
    <row r="1088" ht="15.75" customHeight="1" s="52">
      <c r="A1088" s="92">
        <f>IF('6A'!B38&lt;&gt;"","6A","")</f>
        <v/>
      </c>
      <c r="B1088" s="82">
        <f>IF('6A'!B38&lt;&gt;"",'6A'!B38,"")</f>
        <v/>
      </c>
      <c r="C1088" s="82">
        <f>IF('6A'!B38&lt;&gt;"",'6A'!C38,"")</f>
        <v/>
      </c>
      <c r="D1088" s="82">
        <f>IF('6A'!B38&lt;&gt;"",'6A'!D38,"")</f>
        <v/>
      </c>
      <c r="E1088" s="82">
        <f>IF('6A'!B38&lt;&gt;"",'6A'!E38,"")</f>
        <v/>
      </c>
      <c r="F1088" s="82">
        <f>IF('6A'!B38&lt;&gt;"",'6A'!F38,"")</f>
        <v/>
      </c>
      <c r="G1088" s="82">
        <f>IF('6A'!B38&lt;&gt;"",'6A'!G38,"")</f>
        <v/>
      </c>
      <c r="H1088" s="92">
        <f>IF('6A'!B38&lt;&gt;"",'6A'!H38,"")</f>
        <v/>
      </c>
      <c r="I1088" s="92">
        <f>IF('6A'!B38&lt;&gt;"",'6A'!I38,"")</f>
        <v/>
      </c>
      <c r="J1088" s="82">
        <f>IF('6A'!B38&lt;&gt;"",'6A'!J38,"")</f>
        <v/>
      </c>
    </row>
    <row r="1089" ht="15.75" customHeight="1" s="52">
      <c r="A1089" s="97">
        <f>IF('6A'!B39&lt;&gt;"","6A","")</f>
        <v/>
      </c>
      <c r="B1089" s="78">
        <f>IF('6A'!B39&lt;&gt;"",'6A'!B39,"")</f>
        <v/>
      </c>
      <c r="C1089" s="78">
        <f>IF('6A'!B39&lt;&gt;"",'6A'!C39,"")</f>
        <v/>
      </c>
      <c r="D1089" s="78">
        <f>IF('6A'!B39&lt;&gt;"",'6A'!D39,"")</f>
        <v/>
      </c>
      <c r="E1089" s="78">
        <f>IF('6A'!B39&lt;&gt;"",'6A'!E39,"")</f>
        <v/>
      </c>
      <c r="F1089" s="78">
        <f>IF('6A'!B39&lt;&gt;"",'6A'!F39,"")</f>
        <v/>
      </c>
      <c r="G1089" s="78">
        <f>IF('6A'!B39&lt;&gt;"",'6A'!G39,"")</f>
        <v/>
      </c>
      <c r="H1089" s="97">
        <f>IF('6A'!B39&lt;&gt;"",'6A'!H39,"")</f>
        <v/>
      </c>
      <c r="I1089" s="97">
        <f>IF('6A'!B39&lt;&gt;"",'6A'!I39,"")</f>
        <v/>
      </c>
      <c r="J1089" s="78">
        <f>IF('6A'!B39&lt;&gt;"",'6A'!J39,"")</f>
        <v/>
      </c>
    </row>
    <row r="1090" ht="15.75" customHeight="1" s="52">
      <c r="A1090" s="92">
        <f>IF('6A'!B40&lt;&gt;"","6A","")</f>
        <v/>
      </c>
      <c r="B1090" s="82">
        <f>IF('6A'!B40&lt;&gt;"",'6A'!B40,"")</f>
        <v/>
      </c>
      <c r="C1090" s="82">
        <f>IF('6A'!B40&lt;&gt;"",'6A'!C40,"")</f>
        <v/>
      </c>
      <c r="D1090" s="82">
        <f>IF('6A'!B40&lt;&gt;"",'6A'!D40,"")</f>
        <v/>
      </c>
      <c r="E1090" s="82">
        <f>IF('6A'!B40&lt;&gt;"",'6A'!E40,"")</f>
        <v/>
      </c>
      <c r="F1090" s="82">
        <f>IF('6A'!B40&lt;&gt;"",'6A'!F40,"")</f>
        <v/>
      </c>
      <c r="G1090" s="82">
        <f>IF('6A'!B40&lt;&gt;"",'6A'!G40,"")</f>
        <v/>
      </c>
      <c r="H1090" s="92">
        <f>IF('6A'!B40&lt;&gt;"",'6A'!H40,"")</f>
        <v/>
      </c>
      <c r="I1090" s="92">
        <f>IF('6A'!B40&lt;&gt;"",'6A'!I40,"")</f>
        <v/>
      </c>
      <c r="J1090" s="82">
        <f>IF('6A'!B40&lt;&gt;"",'6A'!J40,"")</f>
        <v/>
      </c>
    </row>
    <row r="1091" ht="15.75" customHeight="1" s="52">
      <c r="A1091" s="97">
        <f>IF('6A'!B41&lt;&gt;"","6A","")</f>
        <v/>
      </c>
      <c r="B1091" s="78">
        <f>IF('6A'!B41&lt;&gt;"",'6A'!B41,"")</f>
        <v/>
      </c>
      <c r="C1091" s="78">
        <f>IF('6A'!B41&lt;&gt;"",'6A'!C41,"")</f>
        <v/>
      </c>
      <c r="D1091" s="78">
        <f>IF('6A'!B41&lt;&gt;"",'6A'!D41,"")</f>
        <v/>
      </c>
      <c r="E1091" s="78">
        <f>IF('6A'!B41&lt;&gt;"",'6A'!E41,"")</f>
        <v/>
      </c>
      <c r="F1091" s="78">
        <f>IF('6A'!B41&lt;&gt;"",'6A'!F41,"")</f>
        <v/>
      </c>
      <c r="G1091" s="78">
        <f>IF('6A'!B41&lt;&gt;"",'6A'!G41,"")</f>
        <v/>
      </c>
      <c r="H1091" s="97">
        <f>IF('6A'!B41&lt;&gt;"",'6A'!H41,"")</f>
        <v/>
      </c>
      <c r="I1091" s="97">
        <f>IF('6A'!B41&lt;&gt;"",'6A'!I41,"")</f>
        <v/>
      </c>
      <c r="J1091" s="78">
        <f>IF('6A'!B41&lt;&gt;"",'6A'!J41,"")</f>
        <v/>
      </c>
    </row>
    <row r="1092" ht="15.75" customHeight="1" s="52">
      <c r="A1092" s="92">
        <f>IF('6A'!B42&lt;&gt;"","6A","")</f>
        <v/>
      </c>
      <c r="B1092" s="82">
        <f>IF('6A'!B42&lt;&gt;"",'6A'!B42,"")</f>
        <v/>
      </c>
      <c r="C1092" s="82">
        <f>IF('6A'!B42&lt;&gt;"",'6A'!C42,"")</f>
        <v/>
      </c>
      <c r="D1092" s="82">
        <f>IF('6A'!B42&lt;&gt;"",'6A'!D42,"")</f>
        <v/>
      </c>
      <c r="E1092" s="82">
        <f>IF('6A'!B42&lt;&gt;"",'6A'!E42,"")</f>
        <v/>
      </c>
      <c r="F1092" s="82">
        <f>IF('6A'!B42&lt;&gt;"",'6A'!F42,"")</f>
        <v/>
      </c>
      <c r="G1092" s="82">
        <f>IF('6A'!B42&lt;&gt;"",'6A'!G42,"")</f>
        <v/>
      </c>
      <c r="H1092" s="92">
        <f>IF('6A'!B42&lt;&gt;"",'6A'!H42,"")</f>
        <v/>
      </c>
      <c r="I1092" s="92">
        <f>IF('6A'!B42&lt;&gt;"",'6A'!I42,"")</f>
        <v/>
      </c>
      <c r="J1092" s="82">
        <f>IF('6A'!B42&lt;&gt;"",'6A'!J42,"")</f>
        <v/>
      </c>
    </row>
    <row r="1093" ht="15.75" customHeight="1" s="52">
      <c r="A1093" s="97">
        <f>IF('6A'!B43&lt;&gt;"","6A","")</f>
        <v/>
      </c>
      <c r="B1093" s="78">
        <f>IF('6A'!B43&lt;&gt;"",'6A'!B43,"")</f>
        <v/>
      </c>
      <c r="C1093" s="78">
        <f>IF('6A'!B43&lt;&gt;"",'6A'!C43,"")</f>
        <v/>
      </c>
      <c r="D1093" s="78">
        <f>IF('6A'!B43&lt;&gt;"",'6A'!D43,"")</f>
        <v/>
      </c>
      <c r="E1093" s="78">
        <f>IF('6A'!B43&lt;&gt;"",'6A'!E43,"")</f>
        <v/>
      </c>
      <c r="F1093" s="78">
        <f>IF('6A'!B43&lt;&gt;"",'6A'!F43,"")</f>
        <v/>
      </c>
      <c r="G1093" s="78">
        <f>IF('6A'!B43&lt;&gt;"",'6A'!G43,"")</f>
        <v/>
      </c>
      <c r="H1093" s="97">
        <f>IF('6A'!B43&lt;&gt;"",'6A'!H43,"")</f>
        <v/>
      </c>
      <c r="I1093" s="97">
        <f>IF('6A'!B43&lt;&gt;"",'6A'!I43,"")</f>
        <v/>
      </c>
      <c r="J1093" s="78">
        <f>IF('6A'!B43&lt;&gt;"",'6A'!J43,"")</f>
        <v/>
      </c>
    </row>
    <row r="1094" ht="15.75" customHeight="1" s="52">
      <c r="A1094" s="92">
        <f>IF('6A'!B44&lt;&gt;"","6A","")</f>
        <v/>
      </c>
      <c r="B1094" s="82">
        <f>IF('6A'!B44&lt;&gt;"",'6A'!B44,"")</f>
        <v/>
      </c>
      <c r="C1094" s="82">
        <f>IF('6A'!B44&lt;&gt;"",'6A'!C44,"")</f>
        <v/>
      </c>
      <c r="D1094" s="82">
        <f>IF('6A'!B44&lt;&gt;"",'6A'!D44,"")</f>
        <v/>
      </c>
      <c r="E1094" s="82">
        <f>IF('6A'!B44&lt;&gt;"",'6A'!E44,"")</f>
        <v/>
      </c>
      <c r="F1094" s="82">
        <f>IF('6A'!B44&lt;&gt;"",'6A'!F44,"")</f>
        <v/>
      </c>
      <c r="G1094" s="82">
        <f>IF('6A'!B44&lt;&gt;"",'6A'!G44,"")</f>
        <v/>
      </c>
      <c r="H1094" s="92">
        <f>IF('6A'!B44&lt;&gt;"",'6A'!H44,"")</f>
        <v/>
      </c>
      <c r="I1094" s="92">
        <f>IF('6A'!B44&lt;&gt;"",'6A'!I44,"")</f>
        <v/>
      </c>
      <c r="J1094" s="82">
        <f>IF('6A'!B44&lt;&gt;"",'6A'!J44,"")</f>
        <v/>
      </c>
    </row>
    <row r="1095" ht="15.75" customHeight="1" s="52">
      <c r="A1095" s="97">
        <f>IF('6A'!B45&lt;&gt;"","6A","")</f>
        <v/>
      </c>
      <c r="B1095" s="78">
        <f>IF('6A'!B45&lt;&gt;"",'6A'!B45,"")</f>
        <v/>
      </c>
      <c r="C1095" s="78">
        <f>IF('6A'!B45&lt;&gt;"",'6A'!C45,"")</f>
        <v/>
      </c>
      <c r="D1095" s="78">
        <f>IF('6A'!B45&lt;&gt;"",'6A'!D45,"")</f>
        <v/>
      </c>
      <c r="E1095" s="78">
        <f>IF('6A'!B45&lt;&gt;"",'6A'!E45,"")</f>
        <v/>
      </c>
      <c r="F1095" s="78">
        <f>IF('6A'!B45&lt;&gt;"",'6A'!F45,"")</f>
        <v/>
      </c>
      <c r="G1095" s="78">
        <f>IF('6A'!B45&lt;&gt;"",'6A'!G45,"")</f>
        <v/>
      </c>
      <c r="H1095" s="97">
        <f>IF('6A'!B45&lt;&gt;"",'6A'!H45,"")</f>
        <v/>
      </c>
      <c r="I1095" s="97">
        <f>IF('6A'!B45&lt;&gt;"",'6A'!I45,"")</f>
        <v/>
      </c>
      <c r="J1095" s="78">
        <f>IF('6A'!B45&lt;&gt;"",'6A'!J45,"")</f>
        <v/>
      </c>
    </row>
    <row r="1096" ht="15.75" customHeight="1" s="52">
      <c r="A1096" s="92">
        <f>IF('6A'!B46&lt;&gt;"","6A","")</f>
        <v/>
      </c>
      <c r="B1096" s="82">
        <f>IF('6A'!B46&lt;&gt;"",'6A'!B46,"")</f>
        <v/>
      </c>
      <c r="C1096" s="82">
        <f>IF('6A'!B46&lt;&gt;"",'6A'!C46,"")</f>
        <v/>
      </c>
      <c r="D1096" s="82">
        <f>IF('6A'!B46&lt;&gt;"",'6A'!D46,"")</f>
        <v/>
      </c>
      <c r="E1096" s="82">
        <f>IF('6A'!B46&lt;&gt;"",'6A'!E46,"")</f>
        <v/>
      </c>
      <c r="F1096" s="82">
        <f>IF('6A'!B46&lt;&gt;"",'6A'!F46,"")</f>
        <v/>
      </c>
      <c r="G1096" s="82">
        <f>IF('6A'!B46&lt;&gt;"",'6A'!G46,"")</f>
        <v/>
      </c>
      <c r="H1096" s="92">
        <f>IF('6A'!B46&lt;&gt;"",'6A'!H46,"")</f>
        <v/>
      </c>
      <c r="I1096" s="92">
        <f>IF('6A'!B46&lt;&gt;"",'6A'!I46,"")</f>
        <v/>
      </c>
      <c r="J1096" s="82">
        <f>IF('6A'!B46&lt;&gt;"",'6A'!J46,"")</f>
        <v/>
      </c>
    </row>
    <row r="1097" ht="15.75" customHeight="1" s="52">
      <c r="A1097" s="97">
        <f>IF('6A'!B47&lt;&gt;"","6A","")</f>
        <v/>
      </c>
      <c r="B1097" s="78">
        <f>IF('6A'!B47&lt;&gt;"",'6A'!B47,"")</f>
        <v/>
      </c>
      <c r="C1097" s="78">
        <f>IF('6A'!B47&lt;&gt;"",'6A'!C47,"")</f>
        <v/>
      </c>
      <c r="D1097" s="78">
        <f>IF('6A'!B47&lt;&gt;"",'6A'!D47,"")</f>
        <v/>
      </c>
      <c r="E1097" s="78">
        <f>IF('6A'!B47&lt;&gt;"",'6A'!E47,"")</f>
        <v/>
      </c>
      <c r="F1097" s="78">
        <f>IF('6A'!B47&lt;&gt;"",'6A'!F47,"")</f>
        <v/>
      </c>
      <c r="G1097" s="78">
        <f>IF('6A'!B47&lt;&gt;"",'6A'!G47,"")</f>
        <v/>
      </c>
      <c r="H1097" s="97">
        <f>IF('6A'!B47&lt;&gt;"",'6A'!H47,"")</f>
        <v/>
      </c>
      <c r="I1097" s="97">
        <f>IF('6A'!B47&lt;&gt;"",'6A'!I47,"")</f>
        <v/>
      </c>
      <c r="J1097" s="78">
        <f>IF('6A'!B47&lt;&gt;"",'6A'!J47,"")</f>
        <v/>
      </c>
    </row>
    <row r="1098" ht="15.75" customHeight="1" s="52">
      <c r="A1098" s="92">
        <f>IF('6A'!B48&lt;&gt;"","6A","")</f>
        <v/>
      </c>
      <c r="B1098" s="82">
        <f>IF('6A'!B48&lt;&gt;"",'6A'!B48,"")</f>
        <v/>
      </c>
      <c r="C1098" s="82">
        <f>IF('6A'!B48&lt;&gt;"",'6A'!C48,"")</f>
        <v/>
      </c>
      <c r="D1098" s="82">
        <f>IF('6A'!B48&lt;&gt;"",'6A'!D48,"")</f>
        <v/>
      </c>
      <c r="E1098" s="82">
        <f>IF('6A'!B48&lt;&gt;"",'6A'!E48,"")</f>
        <v/>
      </c>
      <c r="F1098" s="82">
        <f>IF('6A'!B48&lt;&gt;"",'6A'!F48,"")</f>
        <v/>
      </c>
      <c r="G1098" s="82">
        <f>IF('6A'!B48&lt;&gt;"",'6A'!G48,"")</f>
        <v/>
      </c>
      <c r="H1098" s="92">
        <f>IF('6A'!B48&lt;&gt;"",'6A'!H48,"")</f>
        <v/>
      </c>
      <c r="I1098" s="92">
        <f>IF('6A'!B48&lt;&gt;"",'6A'!I48,"")</f>
        <v/>
      </c>
      <c r="J1098" s="82">
        <f>IF('6A'!B48&lt;&gt;"",'6A'!J48,"")</f>
        <v/>
      </c>
    </row>
    <row r="1099" ht="15.75" customHeight="1" s="52">
      <c r="A1099" s="97">
        <f>IF('6A'!B49&lt;&gt;"","6A","")</f>
        <v/>
      </c>
      <c r="B1099" s="78">
        <f>IF('6A'!B49&lt;&gt;"",'6A'!B49,"")</f>
        <v/>
      </c>
      <c r="C1099" s="78">
        <f>IF('6A'!B49&lt;&gt;"",'6A'!C49,"")</f>
        <v/>
      </c>
      <c r="D1099" s="78">
        <f>IF('6A'!B49&lt;&gt;"",'6A'!D49,"")</f>
        <v/>
      </c>
      <c r="E1099" s="78">
        <f>IF('6A'!B49&lt;&gt;"",'6A'!E49,"")</f>
        <v/>
      </c>
      <c r="F1099" s="78">
        <f>IF('6A'!B49&lt;&gt;"",'6A'!F49,"")</f>
        <v/>
      </c>
      <c r="G1099" s="78">
        <f>IF('6A'!B49&lt;&gt;"",'6A'!G49,"")</f>
        <v/>
      </c>
      <c r="H1099" s="97">
        <f>IF('6A'!B49&lt;&gt;"",'6A'!H49,"")</f>
        <v/>
      </c>
      <c r="I1099" s="97">
        <f>IF('6A'!B49&lt;&gt;"",'6A'!I49,"")</f>
        <v/>
      </c>
      <c r="J1099" s="78">
        <f>IF('6A'!B49&lt;&gt;"",'6A'!J49,"")</f>
        <v/>
      </c>
    </row>
    <row r="1100" ht="15.75" customHeight="1" s="52">
      <c r="A1100" s="92">
        <f>IF('6A'!B50&lt;&gt;"","6A","")</f>
        <v/>
      </c>
      <c r="B1100" s="82">
        <f>IF('6A'!B50&lt;&gt;"",'6A'!B50,"")</f>
        <v/>
      </c>
      <c r="C1100" s="82">
        <f>IF('6A'!B50&lt;&gt;"",'6A'!C50,"")</f>
        <v/>
      </c>
      <c r="D1100" s="82">
        <f>IF('6A'!B50&lt;&gt;"",'6A'!D50,"")</f>
        <v/>
      </c>
      <c r="E1100" s="82">
        <f>IF('6A'!B50&lt;&gt;"",'6A'!E50,"")</f>
        <v/>
      </c>
      <c r="F1100" s="82">
        <f>IF('6A'!B50&lt;&gt;"",'6A'!F50,"")</f>
        <v/>
      </c>
      <c r="G1100" s="82">
        <f>IF('6A'!B50&lt;&gt;"",'6A'!G50,"")</f>
        <v/>
      </c>
      <c r="H1100" s="92">
        <f>IF('6A'!B50&lt;&gt;"",'6A'!H50,"")</f>
        <v/>
      </c>
      <c r="I1100" s="92">
        <f>IF('6A'!B50&lt;&gt;"",'6A'!I50,"")</f>
        <v/>
      </c>
      <c r="J1100" s="82">
        <f>IF('6A'!B50&lt;&gt;"",'6A'!J50,"")</f>
        <v/>
      </c>
    </row>
    <row r="1101" ht="15.75" customHeight="1" s="52">
      <c r="A1101" s="97">
        <f>IF('6A'!B51&lt;&gt;"","6A","")</f>
        <v/>
      </c>
      <c r="B1101" s="78">
        <f>IF('6A'!B51&lt;&gt;"",'6A'!B51,"")</f>
        <v/>
      </c>
      <c r="C1101" s="78">
        <f>IF('6A'!B51&lt;&gt;"",'6A'!C51,"")</f>
        <v/>
      </c>
      <c r="D1101" s="78">
        <f>IF('6A'!B51&lt;&gt;"",'6A'!D51,"")</f>
        <v/>
      </c>
      <c r="E1101" s="78">
        <f>IF('6A'!B51&lt;&gt;"",'6A'!E51,"")</f>
        <v/>
      </c>
      <c r="F1101" s="78">
        <f>IF('6A'!B51&lt;&gt;"",'6A'!F51,"")</f>
        <v/>
      </c>
      <c r="G1101" s="78">
        <f>IF('6A'!B51&lt;&gt;"",'6A'!G51,"")</f>
        <v/>
      </c>
      <c r="H1101" s="97">
        <f>IF('6A'!B51&lt;&gt;"",'6A'!H51,"")</f>
        <v/>
      </c>
      <c r="I1101" s="97">
        <f>IF('6A'!B51&lt;&gt;"",'6A'!I51,"")</f>
        <v/>
      </c>
      <c r="J1101" s="78">
        <f>IF('6A'!B51&lt;&gt;"",'6A'!J51,"")</f>
        <v/>
      </c>
    </row>
    <row r="1102" ht="15.75" customHeight="1" s="52">
      <c r="A1102" s="92">
        <f>IF('6A'!B52&lt;&gt;"","6A","")</f>
        <v/>
      </c>
      <c r="B1102" s="82">
        <f>IF('6A'!B52&lt;&gt;"",'6A'!B52,"")</f>
        <v/>
      </c>
      <c r="C1102" s="82">
        <f>IF('6A'!B52&lt;&gt;"",'6A'!C52,"")</f>
        <v/>
      </c>
      <c r="D1102" s="82">
        <f>IF('6A'!B52&lt;&gt;"",'6A'!D52,"")</f>
        <v/>
      </c>
      <c r="E1102" s="82">
        <f>IF('6A'!B52&lt;&gt;"",'6A'!E52,"")</f>
        <v/>
      </c>
      <c r="F1102" s="82">
        <f>IF('6A'!B52&lt;&gt;"",'6A'!F52,"")</f>
        <v/>
      </c>
      <c r="G1102" s="82">
        <f>IF('6A'!B52&lt;&gt;"",'6A'!G52,"")</f>
        <v/>
      </c>
      <c r="H1102" s="92">
        <f>IF('6A'!B52&lt;&gt;"",'6A'!H52,"")</f>
        <v/>
      </c>
      <c r="I1102" s="92">
        <f>IF('6A'!B52&lt;&gt;"",'6A'!I52,"")</f>
        <v/>
      </c>
      <c r="J1102" s="82">
        <f>IF('6A'!B52&lt;&gt;"",'6A'!J52,"")</f>
        <v/>
      </c>
    </row>
    <row r="1103" ht="15.75" customHeight="1" s="52">
      <c r="A1103" s="97">
        <f>IF('6A'!B53&lt;&gt;"","6A","")</f>
        <v/>
      </c>
      <c r="B1103" s="78">
        <f>IF('6A'!B53&lt;&gt;"",'6A'!B53,"")</f>
        <v/>
      </c>
      <c r="C1103" s="78">
        <f>IF('6A'!B53&lt;&gt;"",'6A'!C53,"")</f>
        <v/>
      </c>
      <c r="D1103" s="78">
        <f>IF('6A'!B53&lt;&gt;"",'6A'!D53,"")</f>
        <v/>
      </c>
      <c r="E1103" s="78">
        <f>IF('6A'!B53&lt;&gt;"",'6A'!E53,"")</f>
        <v/>
      </c>
      <c r="F1103" s="78">
        <f>IF('6A'!B53&lt;&gt;"",'6A'!F53,"")</f>
        <v/>
      </c>
      <c r="G1103" s="78">
        <f>IF('6A'!B53&lt;&gt;"",'6A'!G53,"")</f>
        <v/>
      </c>
      <c r="H1103" s="97">
        <f>IF('6A'!B53&lt;&gt;"",'6A'!H53,"")</f>
        <v/>
      </c>
      <c r="I1103" s="97">
        <f>IF('6A'!B53&lt;&gt;"",'6A'!I53,"")</f>
        <v/>
      </c>
      <c r="J1103" s="78">
        <f>IF('6A'!B53&lt;&gt;"",'6A'!J53,"")</f>
        <v/>
      </c>
    </row>
    <row r="1104" ht="15.75" customHeight="1" s="52">
      <c r="A1104" s="92">
        <f>IF('6A'!B54&lt;&gt;"","6A","")</f>
        <v/>
      </c>
      <c r="B1104" s="82">
        <f>IF('6A'!B54&lt;&gt;"",'6A'!B54,"")</f>
        <v/>
      </c>
      <c r="C1104" s="82">
        <f>IF('6A'!B54&lt;&gt;"",'6A'!C54,"")</f>
        <v/>
      </c>
      <c r="D1104" s="82">
        <f>IF('6A'!B54&lt;&gt;"",'6A'!D54,"")</f>
        <v/>
      </c>
      <c r="E1104" s="82">
        <f>IF('6A'!B54&lt;&gt;"",'6A'!E54,"")</f>
        <v/>
      </c>
      <c r="F1104" s="82">
        <f>IF('6A'!B54&lt;&gt;"",'6A'!F54,"")</f>
        <v/>
      </c>
      <c r="G1104" s="82">
        <f>IF('6A'!B54&lt;&gt;"",'6A'!G54,"")</f>
        <v/>
      </c>
      <c r="H1104" s="92">
        <f>IF('6A'!B54&lt;&gt;"",'6A'!H54,"")</f>
        <v/>
      </c>
      <c r="I1104" s="92">
        <f>IF('6A'!B54&lt;&gt;"",'6A'!I54,"")</f>
        <v/>
      </c>
      <c r="J1104" s="82">
        <f>IF('6A'!B54&lt;&gt;"",'6A'!J54,"")</f>
        <v/>
      </c>
    </row>
    <row r="1105" ht="15.75" customHeight="1" s="52">
      <c r="A1105" s="97">
        <f>IF('6B'!B5&lt;&gt;"","6B","")</f>
        <v/>
      </c>
      <c r="B1105" s="78">
        <f>IF('6B'!B5&lt;&gt;"",'6B'!B5,"")</f>
        <v/>
      </c>
      <c r="C1105" s="78">
        <f>IF('6B'!B5&lt;&gt;"",'6B'!C5,"")</f>
        <v/>
      </c>
      <c r="D1105" s="78">
        <f>IF('6B'!B5&lt;&gt;"",'6B'!D5,"")</f>
        <v/>
      </c>
      <c r="E1105" s="78">
        <f>IF('6B'!B5&lt;&gt;"",'6B'!E5,"")</f>
        <v/>
      </c>
      <c r="F1105" s="78">
        <f>IF('6B'!B5&lt;&gt;"",'6B'!F5,"")</f>
        <v/>
      </c>
      <c r="G1105" s="78">
        <f>IF('6B'!B5&lt;&gt;"",'6B'!G5,"")</f>
        <v/>
      </c>
      <c r="H1105" s="97">
        <f>IF('6B'!B5&lt;&gt;"",'6B'!H5,"")</f>
        <v/>
      </c>
      <c r="I1105" s="97">
        <f>IF('6B'!B5&lt;&gt;"",'6B'!I5,"")</f>
        <v/>
      </c>
      <c r="J1105" s="78">
        <f>IF('6B'!B5&lt;&gt;"",'6B'!J5,"")</f>
        <v/>
      </c>
    </row>
    <row r="1106" ht="15.75" customHeight="1" s="52">
      <c r="A1106" s="92">
        <f>IF('6B'!B6&lt;&gt;"","6B","")</f>
        <v/>
      </c>
      <c r="B1106" s="82">
        <f>IF('6B'!B6&lt;&gt;"",'6B'!B6,"")</f>
        <v/>
      </c>
      <c r="C1106" s="82">
        <f>IF('6B'!B6&lt;&gt;"",'6B'!C6,"")</f>
        <v/>
      </c>
      <c r="D1106" s="82">
        <f>IF('6B'!B6&lt;&gt;"",'6B'!D6,"")</f>
        <v/>
      </c>
      <c r="E1106" s="82">
        <f>IF('6B'!B6&lt;&gt;"",'6B'!E6,"")</f>
        <v/>
      </c>
      <c r="F1106" s="82">
        <f>IF('6B'!B6&lt;&gt;"",'6B'!F6,"")</f>
        <v/>
      </c>
      <c r="G1106" s="82">
        <f>IF('6B'!B6&lt;&gt;"",'6B'!G6,"")</f>
        <v/>
      </c>
      <c r="H1106" s="92">
        <f>IF('6B'!B6&lt;&gt;"",'6B'!H6,"")</f>
        <v/>
      </c>
      <c r="I1106" s="92">
        <f>IF('6B'!B6&lt;&gt;"",'6B'!I6,"")</f>
        <v/>
      </c>
      <c r="J1106" s="82">
        <f>IF('6B'!B6&lt;&gt;"",'6B'!J6,"")</f>
        <v/>
      </c>
    </row>
    <row r="1107" ht="15.75" customHeight="1" s="52">
      <c r="A1107" s="97">
        <f>IF('6B'!B7&lt;&gt;"","6B","")</f>
        <v/>
      </c>
      <c r="B1107" s="78">
        <f>IF('6B'!B7&lt;&gt;"",'6B'!B7,"")</f>
        <v/>
      </c>
      <c r="C1107" s="78">
        <f>IF('6B'!B7&lt;&gt;"",'6B'!C7,"")</f>
        <v/>
      </c>
      <c r="D1107" s="78">
        <f>IF('6B'!B7&lt;&gt;"",'6B'!D7,"")</f>
        <v/>
      </c>
      <c r="E1107" s="78">
        <f>IF('6B'!B7&lt;&gt;"",'6B'!E7,"")</f>
        <v/>
      </c>
      <c r="F1107" s="78">
        <f>IF('6B'!B7&lt;&gt;"",'6B'!F7,"")</f>
        <v/>
      </c>
      <c r="G1107" s="78">
        <f>IF('6B'!B7&lt;&gt;"",'6B'!G7,"")</f>
        <v/>
      </c>
      <c r="H1107" s="97">
        <f>IF('6B'!B7&lt;&gt;"",'6B'!H7,"")</f>
        <v/>
      </c>
      <c r="I1107" s="97">
        <f>IF('6B'!B7&lt;&gt;"",'6B'!I7,"")</f>
        <v/>
      </c>
      <c r="J1107" s="78">
        <f>IF('6B'!B7&lt;&gt;"",'6B'!J7,"")</f>
        <v/>
      </c>
    </row>
    <row r="1108" ht="15.75" customHeight="1" s="52">
      <c r="A1108" s="92">
        <f>IF('6B'!B8&lt;&gt;"","6B","")</f>
        <v/>
      </c>
      <c r="B1108" s="82">
        <f>IF('6B'!B8&lt;&gt;"",'6B'!B8,"")</f>
        <v/>
      </c>
      <c r="C1108" s="82">
        <f>IF('6B'!B8&lt;&gt;"",'6B'!C8,"")</f>
        <v/>
      </c>
      <c r="D1108" s="82">
        <f>IF('6B'!B8&lt;&gt;"",'6B'!D8,"")</f>
        <v/>
      </c>
      <c r="E1108" s="82">
        <f>IF('6B'!B8&lt;&gt;"",'6B'!E8,"")</f>
        <v/>
      </c>
      <c r="F1108" s="82">
        <f>IF('6B'!B8&lt;&gt;"",'6B'!F8,"")</f>
        <v/>
      </c>
      <c r="G1108" s="82">
        <f>IF('6B'!B8&lt;&gt;"",'6B'!G8,"")</f>
        <v/>
      </c>
      <c r="H1108" s="92">
        <f>IF('6B'!B8&lt;&gt;"",'6B'!H8,"")</f>
        <v/>
      </c>
      <c r="I1108" s="92">
        <f>IF('6B'!B8&lt;&gt;"",'6B'!I8,"")</f>
        <v/>
      </c>
      <c r="J1108" s="82">
        <f>IF('6B'!B8&lt;&gt;"",'6B'!J8,"")</f>
        <v/>
      </c>
    </row>
    <row r="1109" ht="15.75" customHeight="1" s="52">
      <c r="A1109" s="97">
        <f>IF('6B'!B9&lt;&gt;"","6B","")</f>
        <v/>
      </c>
      <c r="B1109" s="78">
        <f>IF('6B'!B9&lt;&gt;"",'6B'!B9,"")</f>
        <v/>
      </c>
      <c r="C1109" s="78">
        <f>IF('6B'!B9&lt;&gt;"",'6B'!C9,"")</f>
        <v/>
      </c>
      <c r="D1109" s="78">
        <f>IF('6B'!B9&lt;&gt;"",'6B'!D9,"")</f>
        <v/>
      </c>
      <c r="E1109" s="78">
        <f>IF('6B'!B9&lt;&gt;"",'6B'!E9,"")</f>
        <v/>
      </c>
      <c r="F1109" s="78">
        <f>IF('6B'!B9&lt;&gt;"",'6B'!F9,"")</f>
        <v/>
      </c>
      <c r="G1109" s="78">
        <f>IF('6B'!B9&lt;&gt;"",'6B'!G9,"")</f>
        <v/>
      </c>
      <c r="H1109" s="97">
        <f>IF('6B'!B9&lt;&gt;"",'6B'!H9,"")</f>
        <v/>
      </c>
      <c r="I1109" s="97">
        <f>IF('6B'!B9&lt;&gt;"",'6B'!I9,"")</f>
        <v/>
      </c>
      <c r="J1109" s="78">
        <f>IF('6B'!B9&lt;&gt;"",'6B'!J9,"")</f>
        <v/>
      </c>
    </row>
    <row r="1110" ht="15.75" customHeight="1" s="52">
      <c r="A1110" s="92">
        <f>IF('6B'!B10&lt;&gt;"","6B","")</f>
        <v/>
      </c>
      <c r="B1110" s="82">
        <f>IF('6B'!B10&lt;&gt;"",'6B'!B10,"")</f>
        <v/>
      </c>
      <c r="C1110" s="82">
        <f>IF('6B'!B10&lt;&gt;"",'6B'!C10,"")</f>
        <v/>
      </c>
      <c r="D1110" s="82">
        <f>IF('6B'!B10&lt;&gt;"",'6B'!D10,"")</f>
        <v/>
      </c>
      <c r="E1110" s="82">
        <f>IF('6B'!B10&lt;&gt;"",'6B'!E10,"")</f>
        <v/>
      </c>
      <c r="F1110" s="82">
        <f>IF('6B'!B10&lt;&gt;"",'6B'!F10,"")</f>
        <v/>
      </c>
      <c r="G1110" s="82">
        <f>IF('6B'!B10&lt;&gt;"",'6B'!G10,"")</f>
        <v/>
      </c>
      <c r="H1110" s="92">
        <f>IF('6B'!B10&lt;&gt;"",'6B'!H10,"")</f>
        <v/>
      </c>
      <c r="I1110" s="92">
        <f>IF('6B'!B10&lt;&gt;"",'6B'!I10,"")</f>
        <v/>
      </c>
      <c r="J1110" s="82">
        <f>IF('6B'!B10&lt;&gt;"",'6B'!J10,"")</f>
        <v/>
      </c>
    </row>
    <row r="1111" ht="15.75" customHeight="1" s="52">
      <c r="A1111" s="97">
        <f>IF('6B'!B11&lt;&gt;"","6B","")</f>
        <v/>
      </c>
      <c r="B1111" s="78">
        <f>IF('6B'!B11&lt;&gt;"",'6B'!B11,"")</f>
        <v/>
      </c>
      <c r="C1111" s="78">
        <f>IF('6B'!B11&lt;&gt;"",'6B'!C11,"")</f>
        <v/>
      </c>
      <c r="D1111" s="78">
        <f>IF('6B'!B11&lt;&gt;"",'6B'!D11,"")</f>
        <v/>
      </c>
      <c r="E1111" s="78">
        <f>IF('6B'!B11&lt;&gt;"",'6B'!E11,"")</f>
        <v/>
      </c>
      <c r="F1111" s="78">
        <f>IF('6B'!B11&lt;&gt;"",'6B'!F11,"")</f>
        <v/>
      </c>
      <c r="G1111" s="78">
        <f>IF('6B'!B11&lt;&gt;"",'6B'!G11,"")</f>
        <v/>
      </c>
      <c r="H1111" s="97">
        <f>IF('6B'!B11&lt;&gt;"",'6B'!H11,"")</f>
        <v/>
      </c>
      <c r="I1111" s="97">
        <f>IF('6B'!B11&lt;&gt;"",'6B'!I11,"")</f>
        <v/>
      </c>
      <c r="J1111" s="78">
        <f>IF('6B'!B11&lt;&gt;"",'6B'!J11,"")</f>
        <v/>
      </c>
    </row>
    <row r="1112" ht="15.75" customHeight="1" s="52">
      <c r="A1112" s="92">
        <f>IF('6B'!B12&lt;&gt;"","6B","")</f>
        <v/>
      </c>
      <c r="B1112" s="82">
        <f>IF('6B'!B12&lt;&gt;"",'6B'!B12,"")</f>
        <v/>
      </c>
      <c r="C1112" s="82">
        <f>IF('6B'!B12&lt;&gt;"",'6B'!C12,"")</f>
        <v/>
      </c>
      <c r="D1112" s="82">
        <f>IF('6B'!B12&lt;&gt;"",'6B'!D12,"")</f>
        <v/>
      </c>
      <c r="E1112" s="82">
        <f>IF('6B'!B12&lt;&gt;"",'6B'!E12,"")</f>
        <v/>
      </c>
      <c r="F1112" s="82">
        <f>IF('6B'!B12&lt;&gt;"",'6B'!F12,"")</f>
        <v/>
      </c>
      <c r="G1112" s="82">
        <f>IF('6B'!B12&lt;&gt;"",'6B'!G12,"")</f>
        <v/>
      </c>
      <c r="H1112" s="92">
        <f>IF('6B'!B12&lt;&gt;"",'6B'!H12,"")</f>
        <v/>
      </c>
      <c r="I1112" s="92">
        <f>IF('6B'!B12&lt;&gt;"",'6B'!I12,"")</f>
        <v/>
      </c>
      <c r="J1112" s="82">
        <f>IF('6B'!B12&lt;&gt;"",'6B'!J12,"")</f>
        <v/>
      </c>
    </row>
    <row r="1113" ht="15.75" customHeight="1" s="52">
      <c r="A1113" s="97">
        <f>IF('6B'!B13&lt;&gt;"","6B","")</f>
        <v/>
      </c>
      <c r="B1113" s="78">
        <f>IF('6B'!B13&lt;&gt;"",'6B'!B13,"")</f>
        <v/>
      </c>
      <c r="C1113" s="78">
        <f>IF('6B'!B13&lt;&gt;"",'6B'!C13,"")</f>
        <v/>
      </c>
      <c r="D1113" s="78">
        <f>IF('6B'!B13&lt;&gt;"",'6B'!D13,"")</f>
        <v/>
      </c>
      <c r="E1113" s="78">
        <f>IF('6B'!B13&lt;&gt;"",'6B'!E13,"")</f>
        <v/>
      </c>
      <c r="F1113" s="78">
        <f>IF('6B'!B13&lt;&gt;"",'6B'!F13,"")</f>
        <v/>
      </c>
      <c r="G1113" s="78">
        <f>IF('6B'!B13&lt;&gt;"",'6B'!G13,"")</f>
        <v/>
      </c>
      <c r="H1113" s="97">
        <f>IF('6B'!B13&lt;&gt;"",'6B'!H13,"")</f>
        <v/>
      </c>
      <c r="I1113" s="97">
        <f>IF('6B'!B13&lt;&gt;"",'6B'!I13,"")</f>
        <v/>
      </c>
      <c r="J1113" s="78">
        <f>IF('6B'!B13&lt;&gt;"",'6B'!J13,"")</f>
        <v/>
      </c>
    </row>
    <row r="1114" ht="15.75" customHeight="1" s="52">
      <c r="A1114" s="92">
        <f>IF('6B'!B14&lt;&gt;"","6B","")</f>
        <v/>
      </c>
      <c r="B1114" s="82">
        <f>IF('6B'!B14&lt;&gt;"",'6B'!B14,"")</f>
        <v/>
      </c>
      <c r="C1114" s="82">
        <f>IF('6B'!B14&lt;&gt;"",'6B'!C14,"")</f>
        <v/>
      </c>
      <c r="D1114" s="82">
        <f>IF('6B'!B14&lt;&gt;"",'6B'!D14,"")</f>
        <v/>
      </c>
      <c r="E1114" s="82">
        <f>IF('6B'!B14&lt;&gt;"",'6B'!E14,"")</f>
        <v/>
      </c>
      <c r="F1114" s="82">
        <f>IF('6B'!B14&lt;&gt;"",'6B'!F14,"")</f>
        <v/>
      </c>
      <c r="G1114" s="82">
        <f>IF('6B'!B14&lt;&gt;"",'6B'!G14,"")</f>
        <v/>
      </c>
      <c r="H1114" s="92">
        <f>IF('6B'!B14&lt;&gt;"",'6B'!H14,"")</f>
        <v/>
      </c>
      <c r="I1114" s="92">
        <f>IF('6B'!B14&lt;&gt;"",'6B'!I14,"")</f>
        <v/>
      </c>
      <c r="J1114" s="82">
        <f>IF('6B'!B14&lt;&gt;"",'6B'!J14,"")</f>
        <v/>
      </c>
    </row>
    <row r="1115" ht="15.75" customHeight="1" s="52">
      <c r="A1115" s="97">
        <f>IF('6B'!B15&lt;&gt;"","6B","")</f>
        <v/>
      </c>
      <c r="B1115" s="78">
        <f>IF('6B'!B15&lt;&gt;"",'6B'!B15,"")</f>
        <v/>
      </c>
      <c r="C1115" s="78">
        <f>IF('6B'!B15&lt;&gt;"",'6B'!C15,"")</f>
        <v/>
      </c>
      <c r="D1115" s="78">
        <f>IF('6B'!B15&lt;&gt;"",'6B'!D15,"")</f>
        <v/>
      </c>
      <c r="E1115" s="78">
        <f>IF('6B'!B15&lt;&gt;"",'6B'!E15,"")</f>
        <v/>
      </c>
      <c r="F1115" s="78">
        <f>IF('6B'!B15&lt;&gt;"",'6B'!F15,"")</f>
        <v/>
      </c>
      <c r="G1115" s="78">
        <f>IF('6B'!B15&lt;&gt;"",'6B'!G15,"")</f>
        <v/>
      </c>
      <c r="H1115" s="97">
        <f>IF('6B'!B15&lt;&gt;"",'6B'!H15,"")</f>
        <v/>
      </c>
      <c r="I1115" s="97">
        <f>IF('6B'!B15&lt;&gt;"",'6B'!I15,"")</f>
        <v/>
      </c>
      <c r="J1115" s="78">
        <f>IF('6B'!B15&lt;&gt;"",'6B'!J15,"")</f>
        <v/>
      </c>
    </row>
    <row r="1116" ht="15.75" customHeight="1" s="52">
      <c r="A1116" s="92">
        <f>IF('6B'!B16&lt;&gt;"","6B","")</f>
        <v/>
      </c>
      <c r="B1116" s="82">
        <f>IF('6B'!B16&lt;&gt;"",'6B'!B16,"")</f>
        <v/>
      </c>
      <c r="C1116" s="82">
        <f>IF('6B'!B16&lt;&gt;"",'6B'!C16,"")</f>
        <v/>
      </c>
      <c r="D1116" s="82">
        <f>IF('6B'!B16&lt;&gt;"",'6B'!D16,"")</f>
        <v/>
      </c>
      <c r="E1116" s="82">
        <f>IF('6B'!B16&lt;&gt;"",'6B'!E16,"")</f>
        <v/>
      </c>
      <c r="F1116" s="82">
        <f>IF('6B'!B16&lt;&gt;"",'6B'!F16,"")</f>
        <v/>
      </c>
      <c r="G1116" s="82">
        <f>IF('6B'!B16&lt;&gt;"",'6B'!G16,"")</f>
        <v/>
      </c>
      <c r="H1116" s="92">
        <f>IF('6B'!B16&lt;&gt;"",'6B'!H16,"")</f>
        <v/>
      </c>
      <c r="I1116" s="92">
        <f>IF('6B'!B16&lt;&gt;"",'6B'!I16,"")</f>
        <v/>
      </c>
      <c r="J1116" s="82">
        <f>IF('6B'!B16&lt;&gt;"",'6B'!J16,"")</f>
        <v/>
      </c>
    </row>
    <row r="1117" ht="15.75" customHeight="1" s="52">
      <c r="A1117" s="97">
        <f>IF('6B'!B17&lt;&gt;"","6B","")</f>
        <v/>
      </c>
      <c r="B1117" s="78">
        <f>IF('6B'!B17&lt;&gt;"",'6B'!B17,"")</f>
        <v/>
      </c>
      <c r="C1117" s="78">
        <f>IF('6B'!B17&lt;&gt;"",'6B'!C17,"")</f>
        <v/>
      </c>
      <c r="D1117" s="78">
        <f>IF('6B'!B17&lt;&gt;"",'6B'!D17,"")</f>
        <v/>
      </c>
      <c r="E1117" s="78">
        <f>IF('6B'!B17&lt;&gt;"",'6B'!E17,"")</f>
        <v/>
      </c>
      <c r="F1117" s="78">
        <f>IF('6B'!B17&lt;&gt;"",'6B'!F17,"")</f>
        <v/>
      </c>
      <c r="G1117" s="78">
        <f>IF('6B'!B17&lt;&gt;"",'6B'!G17,"")</f>
        <v/>
      </c>
      <c r="H1117" s="97">
        <f>IF('6B'!B17&lt;&gt;"",'6B'!H17,"")</f>
        <v/>
      </c>
      <c r="I1117" s="97">
        <f>IF('6B'!B17&lt;&gt;"",'6B'!I17,"")</f>
        <v/>
      </c>
      <c r="J1117" s="78">
        <f>IF('6B'!B17&lt;&gt;"",'6B'!J17,"")</f>
        <v/>
      </c>
    </row>
    <row r="1118" ht="15.75" customHeight="1" s="52">
      <c r="A1118" s="92">
        <f>IF('6B'!B18&lt;&gt;"","6B","")</f>
        <v/>
      </c>
      <c r="B1118" s="82">
        <f>IF('6B'!B18&lt;&gt;"",'6B'!B18,"")</f>
        <v/>
      </c>
      <c r="C1118" s="82">
        <f>IF('6B'!B18&lt;&gt;"",'6B'!C18,"")</f>
        <v/>
      </c>
      <c r="D1118" s="82">
        <f>IF('6B'!B18&lt;&gt;"",'6B'!D18,"")</f>
        <v/>
      </c>
      <c r="E1118" s="82">
        <f>IF('6B'!B18&lt;&gt;"",'6B'!E18,"")</f>
        <v/>
      </c>
      <c r="F1118" s="82">
        <f>IF('6B'!B18&lt;&gt;"",'6B'!F18,"")</f>
        <v/>
      </c>
      <c r="G1118" s="82">
        <f>IF('6B'!B18&lt;&gt;"",'6B'!G18,"")</f>
        <v/>
      </c>
      <c r="H1118" s="92">
        <f>IF('6B'!B18&lt;&gt;"",'6B'!H18,"")</f>
        <v/>
      </c>
      <c r="I1118" s="92">
        <f>IF('6B'!B18&lt;&gt;"",'6B'!I18,"")</f>
        <v/>
      </c>
      <c r="J1118" s="82">
        <f>IF('6B'!B18&lt;&gt;"",'6B'!J18,"")</f>
        <v/>
      </c>
    </row>
    <row r="1119" ht="15.75" customHeight="1" s="52">
      <c r="A1119" s="97">
        <f>IF('6B'!B19&lt;&gt;"","6B","")</f>
        <v/>
      </c>
      <c r="B1119" s="78">
        <f>IF('6B'!B19&lt;&gt;"",'6B'!B19,"")</f>
        <v/>
      </c>
      <c r="C1119" s="78">
        <f>IF('6B'!B19&lt;&gt;"",'6B'!C19,"")</f>
        <v/>
      </c>
      <c r="D1119" s="78">
        <f>IF('6B'!B19&lt;&gt;"",'6B'!D19,"")</f>
        <v/>
      </c>
      <c r="E1119" s="78">
        <f>IF('6B'!B19&lt;&gt;"",'6B'!E19,"")</f>
        <v/>
      </c>
      <c r="F1119" s="78">
        <f>IF('6B'!B19&lt;&gt;"",'6B'!F19,"")</f>
        <v/>
      </c>
      <c r="G1119" s="78">
        <f>IF('6B'!B19&lt;&gt;"",'6B'!G19,"")</f>
        <v/>
      </c>
      <c r="H1119" s="97">
        <f>IF('6B'!B19&lt;&gt;"",'6B'!H19,"")</f>
        <v/>
      </c>
      <c r="I1119" s="97">
        <f>IF('6B'!B19&lt;&gt;"",'6B'!I19,"")</f>
        <v/>
      </c>
      <c r="J1119" s="78">
        <f>IF('6B'!B19&lt;&gt;"",'6B'!J19,"")</f>
        <v/>
      </c>
    </row>
    <row r="1120" ht="15.75" customHeight="1" s="52">
      <c r="A1120" s="92">
        <f>IF('6B'!B20&lt;&gt;"","6B","")</f>
        <v/>
      </c>
      <c r="B1120" s="82">
        <f>IF('6B'!B20&lt;&gt;"",'6B'!B20,"")</f>
        <v/>
      </c>
      <c r="C1120" s="82">
        <f>IF('6B'!B20&lt;&gt;"",'6B'!C20,"")</f>
        <v/>
      </c>
      <c r="D1120" s="82">
        <f>IF('6B'!B20&lt;&gt;"",'6B'!D20,"")</f>
        <v/>
      </c>
      <c r="E1120" s="82">
        <f>IF('6B'!B20&lt;&gt;"",'6B'!E20,"")</f>
        <v/>
      </c>
      <c r="F1120" s="82">
        <f>IF('6B'!B20&lt;&gt;"",'6B'!F20,"")</f>
        <v/>
      </c>
      <c r="G1120" s="82">
        <f>IF('6B'!B20&lt;&gt;"",'6B'!G20,"")</f>
        <v/>
      </c>
      <c r="H1120" s="92">
        <f>IF('6B'!B20&lt;&gt;"",'6B'!H20,"")</f>
        <v/>
      </c>
      <c r="I1120" s="92">
        <f>IF('6B'!B20&lt;&gt;"",'6B'!I20,"")</f>
        <v/>
      </c>
      <c r="J1120" s="82">
        <f>IF('6B'!B20&lt;&gt;"",'6B'!J20,"")</f>
        <v/>
      </c>
    </row>
    <row r="1121" ht="15.75" customHeight="1" s="52">
      <c r="A1121" s="97">
        <f>IF('6B'!B21&lt;&gt;"","6B","")</f>
        <v/>
      </c>
      <c r="B1121" s="78">
        <f>IF('6B'!B21&lt;&gt;"",'6B'!B21,"")</f>
        <v/>
      </c>
      <c r="C1121" s="78">
        <f>IF('6B'!B21&lt;&gt;"",'6B'!C21,"")</f>
        <v/>
      </c>
      <c r="D1121" s="78">
        <f>IF('6B'!B21&lt;&gt;"",'6B'!D21,"")</f>
        <v/>
      </c>
      <c r="E1121" s="78">
        <f>IF('6B'!B21&lt;&gt;"",'6B'!E21,"")</f>
        <v/>
      </c>
      <c r="F1121" s="78">
        <f>IF('6B'!B21&lt;&gt;"",'6B'!F21,"")</f>
        <v/>
      </c>
      <c r="G1121" s="78">
        <f>IF('6B'!B21&lt;&gt;"",'6B'!G21,"")</f>
        <v/>
      </c>
      <c r="H1121" s="97">
        <f>IF('6B'!B21&lt;&gt;"",'6B'!H21,"")</f>
        <v/>
      </c>
      <c r="I1121" s="97">
        <f>IF('6B'!B21&lt;&gt;"",'6B'!I21,"")</f>
        <v/>
      </c>
      <c r="J1121" s="78">
        <f>IF('6B'!B21&lt;&gt;"",'6B'!J21,"")</f>
        <v/>
      </c>
    </row>
    <row r="1122" ht="15.75" customHeight="1" s="52">
      <c r="A1122" s="92">
        <f>IF('6B'!B22&lt;&gt;"","6B","")</f>
        <v/>
      </c>
      <c r="B1122" s="82">
        <f>IF('6B'!B22&lt;&gt;"",'6B'!B22,"")</f>
        <v/>
      </c>
      <c r="C1122" s="82">
        <f>IF('6B'!B22&lt;&gt;"",'6B'!C22,"")</f>
        <v/>
      </c>
      <c r="D1122" s="82">
        <f>IF('6B'!B22&lt;&gt;"",'6B'!D22,"")</f>
        <v/>
      </c>
      <c r="E1122" s="82">
        <f>IF('6B'!B22&lt;&gt;"",'6B'!E22,"")</f>
        <v/>
      </c>
      <c r="F1122" s="82">
        <f>IF('6B'!B22&lt;&gt;"",'6B'!F22,"")</f>
        <v/>
      </c>
      <c r="G1122" s="82">
        <f>IF('6B'!B22&lt;&gt;"",'6B'!G22,"")</f>
        <v/>
      </c>
      <c r="H1122" s="92">
        <f>IF('6B'!B22&lt;&gt;"",'6B'!H22,"")</f>
        <v/>
      </c>
      <c r="I1122" s="92">
        <f>IF('6B'!B22&lt;&gt;"",'6B'!I22,"")</f>
        <v/>
      </c>
      <c r="J1122" s="82">
        <f>IF('6B'!B22&lt;&gt;"",'6B'!J22,"")</f>
        <v/>
      </c>
    </row>
    <row r="1123" ht="15.75" customHeight="1" s="52">
      <c r="A1123" s="97">
        <f>IF('6B'!B23&lt;&gt;"","6B","")</f>
        <v/>
      </c>
      <c r="B1123" s="78">
        <f>IF('6B'!B23&lt;&gt;"",'6B'!B23,"")</f>
        <v/>
      </c>
      <c r="C1123" s="78">
        <f>IF('6B'!B23&lt;&gt;"",'6B'!C23,"")</f>
        <v/>
      </c>
      <c r="D1123" s="78">
        <f>IF('6B'!B23&lt;&gt;"",'6B'!D23,"")</f>
        <v/>
      </c>
      <c r="E1123" s="78">
        <f>IF('6B'!B23&lt;&gt;"",'6B'!E23,"")</f>
        <v/>
      </c>
      <c r="F1123" s="78">
        <f>IF('6B'!B23&lt;&gt;"",'6B'!F23,"")</f>
        <v/>
      </c>
      <c r="G1123" s="78">
        <f>IF('6B'!B23&lt;&gt;"",'6B'!G23,"")</f>
        <v/>
      </c>
      <c r="H1123" s="97">
        <f>IF('6B'!B23&lt;&gt;"",'6B'!H23,"")</f>
        <v/>
      </c>
      <c r="I1123" s="97">
        <f>IF('6B'!B23&lt;&gt;"",'6B'!I23,"")</f>
        <v/>
      </c>
      <c r="J1123" s="78">
        <f>IF('6B'!B23&lt;&gt;"",'6B'!J23,"")</f>
        <v/>
      </c>
    </row>
    <row r="1124" ht="15.75" customHeight="1" s="52">
      <c r="A1124" s="92">
        <f>IF('6B'!B24&lt;&gt;"","6B","")</f>
        <v/>
      </c>
      <c r="B1124" s="82">
        <f>IF('6B'!B24&lt;&gt;"",'6B'!B24,"")</f>
        <v/>
      </c>
      <c r="C1124" s="82">
        <f>IF('6B'!B24&lt;&gt;"",'6B'!C24,"")</f>
        <v/>
      </c>
      <c r="D1124" s="82">
        <f>IF('6B'!B24&lt;&gt;"",'6B'!D24,"")</f>
        <v/>
      </c>
      <c r="E1124" s="82">
        <f>IF('6B'!B24&lt;&gt;"",'6B'!E24,"")</f>
        <v/>
      </c>
      <c r="F1124" s="82">
        <f>IF('6B'!B24&lt;&gt;"",'6B'!F24,"")</f>
        <v/>
      </c>
      <c r="G1124" s="82">
        <f>IF('6B'!B24&lt;&gt;"",'6B'!G24,"")</f>
        <v/>
      </c>
      <c r="H1124" s="92">
        <f>IF('6B'!B24&lt;&gt;"",'6B'!H24,"")</f>
        <v/>
      </c>
      <c r="I1124" s="92">
        <f>IF('6B'!B24&lt;&gt;"",'6B'!I24,"")</f>
        <v/>
      </c>
      <c r="J1124" s="82">
        <f>IF('6B'!B24&lt;&gt;"",'6B'!J24,"")</f>
        <v/>
      </c>
    </row>
    <row r="1125" ht="15.75" customHeight="1" s="52">
      <c r="A1125" s="97">
        <f>IF('6B'!B25&lt;&gt;"","6B","")</f>
        <v/>
      </c>
      <c r="B1125" s="78">
        <f>IF('6B'!B25&lt;&gt;"",'6B'!B25,"")</f>
        <v/>
      </c>
      <c r="C1125" s="78">
        <f>IF('6B'!B25&lt;&gt;"",'6B'!C25,"")</f>
        <v/>
      </c>
      <c r="D1125" s="78">
        <f>IF('6B'!B25&lt;&gt;"",'6B'!D25,"")</f>
        <v/>
      </c>
      <c r="E1125" s="78">
        <f>IF('6B'!B25&lt;&gt;"",'6B'!E25,"")</f>
        <v/>
      </c>
      <c r="F1125" s="78">
        <f>IF('6B'!B25&lt;&gt;"",'6B'!F25,"")</f>
        <v/>
      </c>
      <c r="G1125" s="78">
        <f>IF('6B'!B25&lt;&gt;"",'6B'!G25,"")</f>
        <v/>
      </c>
      <c r="H1125" s="97">
        <f>IF('6B'!B25&lt;&gt;"",'6B'!H25,"")</f>
        <v/>
      </c>
      <c r="I1125" s="97">
        <f>IF('6B'!B25&lt;&gt;"",'6B'!I25,"")</f>
        <v/>
      </c>
      <c r="J1125" s="78">
        <f>IF('6B'!B25&lt;&gt;"",'6B'!J25,"")</f>
        <v/>
      </c>
    </row>
    <row r="1126" ht="15.75" customHeight="1" s="52">
      <c r="A1126" s="92">
        <f>IF('6B'!B26&lt;&gt;"","6B","")</f>
        <v/>
      </c>
      <c r="B1126" s="82">
        <f>IF('6B'!B26&lt;&gt;"",'6B'!B26,"")</f>
        <v/>
      </c>
      <c r="C1126" s="82">
        <f>IF('6B'!B26&lt;&gt;"",'6B'!C26,"")</f>
        <v/>
      </c>
      <c r="D1126" s="82">
        <f>IF('6B'!B26&lt;&gt;"",'6B'!D26,"")</f>
        <v/>
      </c>
      <c r="E1126" s="82">
        <f>IF('6B'!B26&lt;&gt;"",'6B'!E26,"")</f>
        <v/>
      </c>
      <c r="F1126" s="82">
        <f>IF('6B'!B26&lt;&gt;"",'6B'!F26,"")</f>
        <v/>
      </c>
      <c r="G1126" s="82">
        <f>IF('6B'!B26&lt;&gt;"",'6B'!G26,"")</f>
        <v/>
      </c>
      <c r="H1126" s="92">
        <f>IF('6B'!B26&lt;&gt;"",'6B'!H26,"")</f>
        <v/>
      </c>
      <c r="I1126" s="92">
        <f>IF('6B'!B26&lt;&gt;"",'6B'!I26,"")</f>
        <v/>
      </c>
      <c r="J1126" s="82">
        <f>IF('6B'!B26&lt;&gt;"",'6B'!J26,"")</f>
        <v/>
      </c>
    </row>
    <row r="1127" ht="15.75" customHeight="1" s="52">
      <c r="A1127" s="97">
        <f>IF('6B'!B27&lt;&gt;"","6B","")</f>
        <v/>
      </c>
      <c r="B1127" s="78">
        <f>IF('6B'!B27&lt;&gt;"",'6B'!B27,"")</f>
        <v/>
      </c>
      <c r="C1127" s="78">
        <f>IF('6B'!B27&lt;&gt;"",'6B'!C27,"")</f>
        <v/>
      </c>
      <c r="D1127" s="78">
        <f>IF('6B'!B27&lt;&gt;"",'6B'!D27,"")</f>
        <v/>
      </c>
      <c r="E1127" s="78">
        <f>IF('6B'!B27&lt;&gt;"",'6B'!E27,"")</f>
        <v/>
      </c>
      <c r="F1127" s="78">
        <f>IF('6B'!B27&lt;&gt;"",'6B'!F27,"")</f>
        <v/>
      </c>
      <c r="G1127" s="78">
        <f>IF('6B'!B27&lt;&gt;"",'6B'!G27,"")</f>
        <v/>
      </c>
      <c r="H1127" s="97">
        <f>IF('6B'!B27&lt;&gt;"",'6B'!H27,"")</f>
        <v/>
      </c>
      <c r="I1127" s="97">
        <f>IF('6B'!B27&lt;&gt;"",'6B'!I27,"")</f>
        <v/>
      </c>
      <c r="J1127" s="78">
        <f>IF('6B'!B27&lt;&gt;"",'6B'!J27,"")</f>
        <v/>
      </c>
    </row>
    <row r="1128" ht="15.75" customHeight="1" s="52">
      <c r="A1128" s="92">
        <f>IF('6B'!B28&lt;&gt;"","6B","")</f>
        <v/>
      </c>
      <c r="B1128" s="82">
        <f>IF('6B'!B28&lt;&gt;"",'6B'!B28,"")</f>
        <v/>
      </c>
      <c r="C1128" s="82">
        <f>IF('6B'!B28&lt;&gt;"",'6B'!C28,"")</f>
        <v/>
      </c>
      <c r="D1128" s="82">
        <f>IF('6B'!B28&lt;&gt;"",'6B'!D28,"")</f>
        <v/>
      </c>
      <c r="E1128" s="82">
        <f>IF('6B'!B28&lt;&gt;"",'6B'!E28,"")</f>
        <v/>
      </c>
      <c r="F1128" s="82">
        <f>IF('6B'!B28&lt;&gt;"",'6B'!F28,"")</f>
        <v/>
      </c>
      <c r="G1128" s="82">
        <f>IF('6B'!B28&lt;&gt;"",'6B'!G28,"")</f>
        <v/>
      </c>
      <c r="H1128" s="92">
        <f>IF('6B'!B28&lt;&gt;"",'6B'!H28,"")</f>
        <v/>
      </c>
      <c r="I1128" s="92">
        <f>IF('6B'!B28&lt;&gt;"",'6B'!I28,"")</f>
        <v/>
      </c>
      <c r="J1128" s="82">
        <f>IF('6B'!B28&lt;&gt;"",'6B'!J28,"")</f>
        <v/>
      </c>
    </row>
    <row r="1129" ht="15.75" customHeight="1" s="52">
      <c r="A1129" s="97">
        <f>IF('6B'!B29&lt;&gt;"","6B","")</f>
        <v/>
      </c>
      <c r="B1129" s="78">
        <f>IF('6B'!B29&lt;&gt;"",'6B'!B29,"")</f>
        <v/>
      </c>
      <c r="C1129" s="78">
        <f>IF('6B'!B29&lt;&gt;"",'6B'!C29,"")</f>
        <v/>
      </c>
      <c r="D1129" s="78">
        <f>IF('6B'!B29&lt;&gt;"",'6B'!D29,"")</f>
        <v/>
      </c>
      <c r="E1129" s="78">
        <f>IF('6B'!B29&lt;&gt;"",'6B'!E29,"")</f>
        <v/>
      </c>
      <c r="F1129" s="78">
        <f>IF('6B'!B29&lt;&gt;"",'6B'!F29,"")</f>
        <v/>
      </c>
      <c r="G1129" s="78">
        <f>IF('6B'!B29&lt;&gt;"",'6B'!G29,"")</f>
        <v/>
      </c>
      <c r="H1129" s="97">
        <f>IF('6B'!B29&lt;&gt;"",'6B'!H29,"")</f>
        <v/>
      </c>
      <c r="I1129" s="97">
        <f>IF('6B'!B29&lt;&gt;"",'6B'!I29,"")</f>
        <v/>
      </c>
      <c r="J1129" s="78">
        <f>IF('6B'!B29&lt;&gt;"",'6B'!J29,"")</f>
        <v/>
      </c>
    </row>
    <row r="1130" ht="15.75" customHeight="1" s="52">
      <c r="A1130" s="92">
        <f>IF('6B'!B30&lt;&gt;"","6B","")</f>
        <v/>
      </c>
      <c r="B1130" s="82">
        <f>IF('6B'!B30&lt;&gt;"",'6B'!B30,"")</f>
        <v/>
      </c>
      <c r="C1130" s="82">
        <f>IF('6B'!B30&lt;&gt;"",'6B'!C30,"")</f>
        <v/>
      </c>
      <c r="D1130" s="82">
        <f>IF('6B'!B30&lt;&gt;"",'6B'!D30,"")</f>
        <v/>
      </c>
      <c r="E1130" s="82">
        <f>IF('6B'!B30&lt;&gt;"",'6B'!E30,"")</f>
        <v/>
      </c>
      <c r="F1130" s="82">
        <f>IF('6B'!B30&lt;&gt;"",'6B'!F30,"")</f>
        <v/>
      </c>
      <c r="G1130" s="82">
        <f>IF('6B'!B30&lt;&gt;"",'6B'!G30,"")</f>
        <v/>
      </c>
      <c r="H1130" s="92">
        <f>IF('6B'!B30&lt;&gt;"",'6B'!H30,"")</f>
        <v/>
      </c>
      <c r="I1130" s="92">
        <f>IF('6B'!B30&lt;&gt;"",'6B'!I30,"")</f>
        <v/>
      </c>
      <c r="J1130" s="82">
        <f>IF('6B'!B30&lt;&gt;"",'6B'!J30,"")</f>
        <v/>
      </c>
    </row>
    <row r="1131" ht="15.75" customHeight="1" s="52">
      <c r="A1131" s="97">
        <f>IF('6B'!B31&lt;&gt;"","6B","")</f>
        <v/>
      </c>
      <c r="B1131" s="78">
        <f>IF('6B'!B31&lt;&gt;"",'6B'!B31,"")</f>
        <v/>
      </c>
      <c r="C1131" s="78">
        <f>IF('6B'!B31&lt;&gt;"",'6B'!C31,"")</f>
        <v/>
      </c>
      <c r="D1131" s="78">
        <f>IF('6B'!B31&lt;&gt;"",'6B'!D31,"")</f>
        <v/>
      </c>
      <c r="E1131" s="78">
        <f>IF('6B'!B31&lt;&gt;"",'6B'!E31,"")</f>
        <v/>
      </c>
      <c r="F1131" s="78">
        <f>IF('6B'!B31&lt;&gt;"",'6B'!F31,"")</f>
        <v/>
      </c>
      <c r="G1131" s="78">
        <f>IF('6B'!B31&lt;&gt;"",'6B'!G31,"")</f>
        <v/>
      </c>
      <c r="H1131" s="97">
        <f>IF('6B'!B31&lt;&gt;"",'6B'!H31,"")</f>
        <v/>
      </c>
      <c r="I1131" s="97">
        <f>IF('6B'!B31&lt;&gt;"",'6B'!I31,"")</f>
        <v/>
      </c>
      <c r="J1131" s="78">
        <f>IF('6B'!B31&lt;&gt;"",'6B'!J31,"")</f>
        <v/>
      </c>
    </row>
    <row r="1132" ht="15.75" customHeight="1" s="52">
      <c r="A1132" s="92">
        <f>IF('6B'!B32&lt;&gt;"","6B","")</f>
        <v/>
      </c>
      <c r="B1132" s="82">
        <f>IF('6B'!B32&lt;&gt;"",'6B'!B32,"")</f>
        <v/>
      </c>
      <c r="C1132" s="82">
        <f>IF('6B'!B32&lt;&gt;"",'6B'!C32,"")</f>
        <v/>
      </c>
      <c r="D1132" s="82">
        <f>IF('6B'!B32&lt;&gt;"",'6B'!D32,"")</f>
        <v/>
      </c>
      <c r="E1132" s="82">
        <f>IF('6B'!B32&lt;&gt;"",'6B'!E32,"")</f>
        <v/>
      </c>
      <c r="F1132" s="82">
        <f>IF('6B'!B32&lt;&gt;"",'6B'!F32,"")</f>
        <v/>
      </c>
      <c r="G1132" s="82">
        <f>IF('6B'!B32&lt;&gt;"",'6B'!G32,"")</f>
        <v/>
      </c>
      <c r="H1132" s="92">
        <f>IF('6B'!B32&lt;&gt;"",'6B'!H32,"")</f>
        <v/>
      </c>
      <c r="I1132" s="92">
        <f>IF('6B'!B32&lt;&gt;"",'6B'!I32,"")</f>
        <v/>
      </c>
      <c r="J1132" s="82">
        <f>IF('6B'!B32&lt;&gt;"",'6B'!J32,"")</f>
        <v/>
      </c>
    </row>
    <row r="1133" ht="15.75" customHeight="1" s="52">
      <c r="A1133" s="97">
        <f>IF('6B'!B33&lt;&gt;"","6B","")</f>
        <v/>
      </c>
      <c r="B1133" s="78">
        <f>IF('6B'!B33&lt;&gt;"",'6B'!B33,"")</f>
        <v/>
      </c>
      <c r="C1133" s="78">
        <f>IF('6B'!B33&lt;&gt;"",'6B'!C33,"")</f>
        <v/>
      </c>
      <c r="D1133" s="78">
        <f>IF('6B'!B33&lt;&gt;"",'6B'!D33,"")</f>
        <v/>
      </c>
      <c r="E1133" s="78">
        <f>IF('6B'!B33&lt;&gt;"",'6B'!E33,"")</f>
        <v/>
      </c>
      <c r="F1133" s="78">
        <f>IF('6B'!B33&lt;&gt;"",'6B'!F33,"")</f>
        <v/>
      </c>
      <c r="G1133" s="78">
        <f>IF('6B'!B33&lt;&gt;"",'6B'!G33,"")</f>
        <v/>
      </c>
      <c r="H1133" s="97">
        <f>IF('6B'!B33&lt;&gt;"",'6B'!H33,"")</f>
        <v/>
      </c>
      <c r="I1133" s="97">
        <f>IF('6B'!B33&lt;&gt;"",'6B'!I33,"")</f>
        <v/>
      </c>
      <c r="J1133" s="78">
        <f>IF('6B'!B33&lt;&gt;"",'6B'!J33,"")</f>
        <v/>
      </c>
    </row>
    <row r="1134" ht="15.75" customHeight="1" s="52">
      <c r="A1134" s="92">
        <f>IF('6B'!B34&lt;&gt;"","6B","")</f>
        <v/>
      </c>
      <c r="B1134" s="82">
        <f>IF('6B'!B34&lt;&gt;"",'6B'!B34,"")</f>
        <v/>
      </c>
      <c r="C1134" s="82">
        <f>IF('6B'!B34&lt;&gt;"",'6B'!C34,"")</f>
        <v/>
      </c>
      <c r="D1134" s="82">
        <f>IF('6B'!B34&lt;&gt;"",'6B'!D34,"")</f>
        <v/>
      </c>
      <c r="E1134" s="82">
        <f>IF('6B'!B34&lt;&gt;"",'6B'!E34,"")</f>
        <v/>
      </c>
      <c r="F1134" s="82">
        <f>IF('6B'!B34&lt;&gt;"",'6B'!F34,"")</f>
        <v/>
      </c>
      <c r="G1134" s="82">
        <f>IF('6B'!B34&lt;&gt;"",'6B'!G34,"")</f>
        <v/>
      </c>
      <c r="H1134" s="92">
        <f>IF('6B'!B34&lt;&gt;"",'6B'!H34,"")</f>
        <v/>
      </c>
      <c r="I1134" s="92">
        <f>IF('6B'!B34&lt;&gt;"",'6B'!I34,"")</f>
        <v/>
      </c>
      <c r="J1134" s="82">
        <f>IF('6B'!B34&lt;&gt;"",'6B'!J34,"")</f>
        <v/>
      </c>
    </row>
    <row r="1135" ht="15.75" customHeight="1" s="52">
      <c r="A1135" s="97">
        <f>IF('6B'!B35&lt;&gt;"","6B","")</f>
        <v/>
      </c>
      <c r="B1135" s="78">
        <f>IF('6B'!B35&lt;&gt;"",'6B'!B35,"")</f>
        <v/>
      </c>
      <c r="C1135" s="78">
        <f>IF('6B'!B35&lt;&gt;"",'6B'!C35,"")</f>
        <v/>
      </c>
      <c r="D1135" s="78">
        <f>IF('6B'!B35&lt;&gt;"",'6B'!D35,"")</f>
        <v/>
      </c>
      <c r="E1135" s="78">
        <f>IF('6B'!B35&lt;&gt;"",'6B'!E35,"")</f>
        <v/>
      </c>
      <c r="F1135" s="78">
        <f>IF('6B'!B35&lt;&gt;"",'6B'!F35,"")</f>
        <v/>
      </c>
      <c r="G1135" s="78">
        <f>IF('6B'!B35&lt;&gt;"",'6B'!G35,"")</f>
        <v/>
      </c>
      <c r="H1135" s="97">
        <f>IF('6B'!B35&lt;&gt;"",'6B'!H35,"")</f>
        <v/>
      </c>
      <c r="I1135" s="97">
        <f>IF('6B'!B35&lt;&gt;"",'6B'!I35,"")</f>
        <v/>
      </c>
      <c r="J1135" s="78">
        <f>IF('6B'!B35&lt;&gt;"",'6B'!J35,"")</f>
        <v/>
      </c>
    </row>
    <row r="1136" ht="15.75" customHeight="1" s="52">
      <c r="A1136" s="92">
        <f>IF('6B'!B36&lt;&gt;"","6B","")</f>
        <v/>
      </c>
      <c r="B1136" s="82">
        <f>IF('6B'!B36&lt;&gt;"",'6B'!B36,"")</f>
        <v/>
      </c>
      <c r="C1136" s="82">
        <f>IF('6B'!B36&lt;&gt;"",'6B'!C36,"")</f>
        <v/>
      </c>
      <c r="D1136" s="82">
        <f>IF('6B'!B36&lt;&gt;"",'6B'!D36,"")</f>
        <v/>
      </c>
      <c r="E1136" s="82">
        <f>IF('6B'!B36&lt;&gt;"",'6B'!E36,"")</f>
        <v/>
      </c>
      <c r="F1136" s="82">
        <f>IF('6B'!B36&lt;&gt;"",'6B'!F36,"")</f>
        <v/>
      </c>
      <c r="G1136" s="82">
        <f>IF('6B'!B36&lt;&gt;"",'6B'!G36,"")</f>
        <v/>
      </c>
      <c r="H1136" s="92">
        <f>IF('6B'!B36&lt;&gt;"",'6B'!H36,"")</f>
        <v/>
      </c>
      <c r="I1136" s="92">
        <f>IF('6B'!B36&lt;&gt;"",'6B'!I36,"")</f>
        <v/>
      </c>
      <c r="J1136" s="82">
        <f>IF('6B'!B36&lt;&gt;"",'6B'!J36,"")</f>
        <v/>
      </c>
    </row>
    <row r="1137" ht="15.75" customHeight="1" s="52">
      <c r="A1137" s="97">
        <f>IF('6B'!B37&lt;&gt;"","6B","")</f>
        <v/>
      </c>
      <c r="B1137" s="78">
        <f>IF('6B'!B37&lt;&gt;"",'6B'!B37,"")</f>
        <v/>
      </c>
      <c r="C1137" s="78">
        <f>IF('6B'!B37&lt;&gt;"",'6B'!C37,"")</f>
        <v/>
      </c>
      <c r="D1137" s="78">
        <f>IF('6B'!B37&lt;&gt;"",'6B'!D37,"")</f>
        <v/>
      </c>
      <c r="E1137" s="78">
        <f>IF('6B'!B37&lt;&gt;"",'6B'!E37,"")</f>
        <v/>
      </c>
      <c r="F1137" s="78">
        <f>IF('6B'!B37&lt;&gt;"",'6B'!F37,"")</f>
        <v/>
      </c>
      <c r="G1137" s="78">
        <f>IF('6B'!B37&lt;&gt;"",'6B'!G37,"")</f>
        <v/>
      </c>
      <c r="H1137" s="97">
        <f>IF('6B'!B37&lt;&gt;"",'6B'!H37,"")</f>
        <v/>
      </c>
      <c r="I1137" s="97">
        <f>IF('6B'!B37&lt;&gt;"",'6B'!I37,"")</f>
        <v/>
      </c>
      <c r="J1137" s="78">
        <f>IF('6B'!B37&lt;&gt;"",'6B'!J37,"")</f>
        <v/>
      </c>
    </row>
    <row r="1138" ht="15.75" customHeight="1" s="52">
      <c r="A1138" s="92">
        <f>IF('6B'!B38&lt;&gt;"","6B","")</f>
        <v/>
      </c>
      <c r="B1138" s="82">
        <f>IF('6B'!B38&lt;&gt;"",'6B'!B38,"")</f>
        <v/>
      </c>
      <c r="C1138" s="82">
        <f>IF('6B'!B38&lt;&gt;"",'6B'!C38,"")</f>
        <v/>
      </c>
      <c r="D1138" s="82">
        <f>IF('6B'!B38&lt;&gt;"",'6B'!D38,"")</f>
        <v/>
      </c>
      <c r="E1138" s="82">
        <f>IF('6B'!B38&lt;&gt;"",'6B'!E38,"")</f>
        <v/>
      </c>
      <c r="F1138" s="82">
        <f>IF('6B'!B38&lt;&gt;"",'6B'!F38,"")</f>
        <v/>
      </c>
      <c r="G1138" s="82">
        <f>IF('6B'!B38&lt;&gt;"",'6B'!G38,"")</f>
        <v/>
      </c>
      <c r="H1138" s="92">
        <f>IF('6B'!B38&lt;&gt;"",'6B'!H38,"")</f>
        <v/>
      </c>
      <c r="I1138" s="92">
        <f>IF('6B'!B38&lt;&gt;"",'6B'!I38,"")</f>
        <v/>
      </c>
      <c r="J1138" s="82">
        <f>IF('6B'!B38&lt;&gt;"",'6B'!J38,"")</f>
        <v/>
      </c>
    </row>
    <row r="1139" ht="15.75" customHeight="1" s="52">
      <c r="A1139" s="97">
        <f>IF('6B'!B39&lt;&gt;"","6B","")</f>
        <v/>
      </c>
      <c r="B1139" s="78">
        <f>IF('6B'!B39&lt;&gt;"",'6B'!B39,"")</f>
        <v/>
      </c>
      <c r="C1139" s="78">
        <f>IF('6B'!B39&lt;&gt;"",'6B'!C39,"")</f>
        <v/>
      </c>
      <c r="D1139" s="78">
        <f>IF('6B'!B39&lt;&gt;"",'6B'!D39,"")</f>
        <v/>
      </c>
      <c r="E1139" s="78">
        <f>IF('6B'!B39&lt;&gt;"",'6B'!E39,"")</f>
        <v/>
      </c>
      <c r="F1139" s="78">
        <f>IF('6B'!B39&lt;&gt;"",'6B'!F39,"")</f>
        <v/>
      </c>
      <c r="G1139" s="78">
        <f>IF('6B'!B39&lt;&gt;"",'6B'!G39,"")</f>
        <v/>
      </c>
      <c r="H1139" s="97">
        <f>IF('6B'!B39&lt;&gt;"",'6B'!H39,"")</f>
        <v/>
      </c>
      <c r="I1139" s="97">
        <f>IF('6B'!B39&lt;&gt;"",'6B'!I39,"")</f>
        <v/>
      </c>
      <c r="J1139" s="78">
        <f>IF('6B'!B39&lt;&gt;"",'6B'!J39,"")</f>
        <v/>
      </c>
    </row>
    <row r="1140" ht="15.75" customHeight="1" s="52">
      <c r="A1140" s="92">
        <f>IF('6B'!B40&lt;&gt;"","6B","")</f>
        <v/>
      </c>
      <c r="B1140" s="82">
        <f>IF('6B'!B40&lt;&gt;"",'6B'!B40,"")</f>
        <v/>
      </c>
      <c r="C1140" s="82">
        <f>IF('6B'!B40&lt;&gt;"",'6B'!C40,"")</f>
        <v/>
      </c>
      <c r="D1140" s="82">
        <f>IF('6B'!B40&lt;&gt;"",'6B'!D40,"")</f>
        <v/>
      </c>
      <c r="E1140" s="82">
        <f>IF('6B'!B40&lt;&gt;"",'6B'!E40,"")</f>
        <v/>
      </c>
      <c r="F1140" s="82">
        <f>IF('6B'!B40&lt;&gt;"",'6B'!F40,"")</f>
        <v/>
      </c>
      <c r="G1140" s="82">
        <f>IF('6B'!B40&lt;&gt;"",'6B'!G40,"")</f>
        <v/>
      </c>
      <c r="H1140" s="92">
        <f>IF('6B'!B40&lt;&gt;"",'6B'!H40,"")</f>
        <v/>
      </c>
      <c r="I1140" s="92">
        <f>IF('6B'!B40&lt;&gt;"",'6B'!I40,"")</f>
        <v/>
      </c>
      <c r="J1140" s="82">
        <f>IF('6B'!B40&lt;&gt;"",'6B'!J40,"")</f>
        <v/>
      </c>
    </row>
    <row r="1141" ht="15.75" customHeight="1" s="52">
      <c r="A1141" s="97">
        <f>IF('6B'!B41&lt;&gt;"","6B","")</f>
        <v/>
      </c>
      <c r="B1141" s="78">
        <f>IF('6B'!B41&lt;&gt;"",'6B'!B41,"")</f>
        <v/>
      </c>
      <c r="C1141" s="78">
        <f>IF('6B'!B41&lt;&gt;"",'6B'!C41,"")</f>
        <v/>
      </c>
      <c r="D1141" s="78">
        <f>IF('6B'!B41&lt;&gt;"",'6B'!D41,"")</f>
        <v/>
      </c>
      <c r="E1141" s="78">
        <f>IF('6B'!B41&lt;&gt;"",'6B'!E41,"")</f>
        <v/>
      </c>
      <c r="F1141" s="78">
        <f>IF('6B'!B41&lt;&gt;"",'6B'!F41,"")</f>
        <v/>
      </c>
      <c r="G1141" s="78">
        <f>IF('6B'!B41&lt;&gt;"",'6B'!G41,"")</f>
        <v/>
      </c>
      <c r="H1141" s="97">
        <f>IF('6B'!B41&lt;&gt;"",'6B'!H41,"")</f>
        <v/>
      </c>
      <c r="I1141" s="97">
        <f>IF('6B'!B41&lt;&gt;"",'6B'!I41,"")</f>
        <v/>
      </c>
      <c r="J1141" s="78">
        <f>IF('6B'!B41&lt;&gt;"",'6B'!J41,"")</f>
        <v/>
      </c>
    </row>
    <row r="1142" ht="15.75" customHeight="1" s="52">
      <c r="A1142" s="92">
        <f>IF('6B'!B42&lt;&gt;"","6B","")</f>
        <v/>
      </c>
      <c r="B1142" s="82">
        <f>IF('6B'!B42&lt;&gt;"",'6B'!B42,"")</f>
        <v/>
      </c>
      <c r="C1142" s="82">
        <f>IF('6B'!B42&lt;&gt;"",'6B'!C42,"")</f>
        <v/>
      </c>
      <c r="D1142" s="82">
        <f>IF('6B'!B42&lt;&gt;"",'6B'!D42,"")</f>
        <v/>
      </c>
      <c r="E1142" s="82">
        <f>IF('6B'!B42&lt;&gt;"",'6B'!E42,"")</f>
        <v/>
      </c>
      <c r="F1142" s="82">
        <f>IF('6B'!B42&lt;&gt;"",'6B'!F42,"")</f>
        <v/>
      </c>
      <c r="G1142" s="82">
        <f>IF('6B'!B42&lt;&gt;"",'6B'!G42,"")</f>
        <v/>
      </c>
      <c r="H1142" s="92">
        <f>IF('6B'!B42&lt;&gt;"",'6B'!H42,"")</f>
        <v/>
      </c>
      <c r="I1142" s="92">
        <f>IF('6B'!B42&lt;&gt;"",'6B'!I42,"")</f>
        <v/>
      </c>
      <c r="J1142" s="82">
        <f>IF('6B'!B42&lt;&gt;"",'6B'!J42,"")</f>
        <v/>
      </c>
    </row>
    <row r="1143" ht="15.75" customHeight="1" s="52">
      <c r="A1143" s="97">
        <f>IF('6B'!B43&lt;&gt;"","6B","")</f>
        <v/>
      </c>
      <c r="B1143" s="78">
        <f>IF('6B'!B43&lt;&gt;"",'6B'!B43,"")</f>
        <v/>
      </c>
      <c r="C1143" s="78">
        <f>IF('6B'!B43&lt;&gt;"",'6B'!C43,"")</f>
        <v/>
      </c>
      <c r="D1143" s="78">
        <f>IF('6B'!B43&lt;&gt;"",'6B'!D43,"")</f>
        <v/>
      </c>
      <c r="E1143" s="78">
        <f>IF('6B'!B43&lt;&gt;"",'6B'!E43,"")</f>
        <v/>
      </c>
      <c r="F1143" s="78">
        <f>IF('6B'!B43&lt;&gt;"",'6B'!F43,"")</f>
        <v/>
      </c>
      <c r="G1143" s="78">
        <f>IF('6B'!B43&lt;&gt;"",'6B'!G43,"")</f>
        <v/>
      </c>
      <c r="H1143" s="97">
        <f>IF('6B'!B43&lt;&gt;"",'6B'!H43,"")</f>
        <v/>
      </c>
      <c r="I1143" s="97">
        <f>IF('6B'!B43&lt;&gt;"",'6B'!I43,"")</f>
        <v/>
      </c>
      <c r="J1143" s="78">
        <f>IF('6B'!B43&lt;&gt;"",'6B'!J43,"")</f>
        <v/>
      </c>
    </row>
    <row r="1144" ht="15.75" customHeight="1" s="52">
      <c r="A1144" s="92">
        <f>IF('6B'!B44&lt;&gt;"","6B","")</f>
        <v/>
      </c>
      <c r="B1144" s="82">
        <f>IF('6B'!B44&lt;&gt;"",'6B'!B44,"")</f>
        <v/>
      </c>
      <c r="C1144" s="82">
        <f>IF('6B'!B44&lt;&gt;"",'6B'!C44,"")</f>
        <v/>
      </c>
      <c r="D1144" s="82">
        <f>IF('6B'!B44&lt;&gt;"",'6B'!D44,"")</f>
        <v/>
      </c>
      <c r="E1144" s="82">
        <f>IF('6B'!B44&lt;&gt;"",'6B'!E44,"")</f>
        <v/>
      </c>
      <c r="F1144" s="82">
        <f>IF('6B'!B44&lt;&gt;"",'6B'!F44,"")</f>
        <v/>
      </c>
      <c r="G1144" s="82">
        <f>IF('6B'!B44&lt;&gt;"",'6B'!G44,"")</f>
        <v/>
      </c>
      <c r="H1144" s="92">
        <f>IF('6B'!B44&lt;&gt;"",'6B'!H44,"")</f>
        <v/>
      </c>
      <c r="I1144" s="92">
        <f>IF('6B'!B44&lt;&gt;"",'6B'!I44,"")</f>
        <v/>
      </c>
      <c r="J1144" s="82">
        <f>IF('6B'!B44&lt;&gt;"",'6B'!J44,"")</f>
        <v/>
      </c>
    </row>
    <row r="1145" ht="15.75" customHeight="1" s="52">
      <c r="A1145" s="97">
        <f>IF('6B'!B45&lt;&gt;"","6B","")</f>
        <v/>
      </c>
      <c r="B1145" s="78">
        <f>IF('6B'!B45&lt;&gt;"",'6B'!B45,"")</f>
        <v/>
      </c>
      <c r="C1145" s="78">
        <f>IF('6B'!B45&lt;&gt;"",'6B'!C45,"")</f>
        <v/>
      </c>
      <c r="D1145" s="78">
        <f>IF('6B'!B45&lt;&gt;"",'6B'!D45,"")</f>
        <v/>
      </c>
      <c r="E1145" s="78">
        <f>IF('6B'!B45&lt;&gt;"",'6B'!E45,"")</f>
        <v/>
      </c>
      <c r="F1145" s="78">
        <f>IF('6B'!B45&lt;&gt;"",'6B'!F45,"")</f>
        <v/>
      </c>
      <c r="G1145" s="78">
        <f>IF('6B'!B45&lt;&gt;"",'6B'!G45,"")</f>
        <v/>
      </c>
      <c r="H1145" s="97">
        <f>IF('6B'!B45&lt;&gt;"",'6B'!H45,"")</f>
        <v/>
      </c>
      <c r="I1145" s="97">
        <f>IF('6B'!B45&lt;&gt;"",'6B'!I45,"")</f>
        <v/>
      </c>
      <c r="J1145" s="78">
        <f>IF('6B'!B45&lt;&gt;"",'6B'!J45,"")</f>
        <v/>
      </c>
    </row>
    <row r="1146" ht="15.75" customHeight="1" s="52">
      <c r="A1146" s="92">
        <f>IF('6B'!B46&lt;&gt;"","6B","")</f>
        <v/>
      </c>
      <c r="B1146" s="82">
        <f>IF('6B'!B46&lt;&gt;"",'6B'!B46,"")</f>
        <v/>
      </c>
      <c r="C1146" s="82">
        <f>IF('6B'!B46&lt;&gt;"",'6B'!C46,"")</f>
        <v/>
      </c>
      <c r="D1146" s="82">
        <f>IF('6B'!B46&lt;&gt;"",'6B'!D46,"")</f>
        <v/>
      </c>
      <c r="E1146" s="82">
        <f>IF('6B'!B46&lt;&gt;"",'6B'!E46,"")</f>
        <v/>
      </c>
      <c r="F1146" s="82">
        <f>IF('6B'!B46&lt;&gt;"",'6B'!F46,"")</f>
        <v/>
      </c>
      <c r="G1146" s="82">
        <f>IF('6B'!B46&lt;&gt;"",'6B'!G46,"")</f>
        <v/>
      </c>
      <c r="H1146" s="92">
        <f>IF('6B'!B46&lt;&gt;"",'6B'!H46,"")</f>
        <v/>
      </c>
      <c r="I1146" s="92">
        <f>IF('6B'!B46&lt;&gt;"",'6B'!I46,"")</f>
        <v/>
      </c>
      <c r="J1146" s="82">
        <f>IF('6B'!B46&lt;&gt;"",'6B'!J46,"")</f>
        <v/>
      </c>
    </row>
    <row r="1147" ht="15.75" customHeight="1" s="52">
      <c r="A1147" s="97">
        <f>IF('6B'!B47&lt;&gt;"","6B","")</f>
        <v/>
      </c>
      <c r="B1147" s="78">
        <f>IF('6B'!B47&lt;&gt;"",'6B'!B47,"")</f>
        <v/>
      </c>
      <c r="C1147" s="78">
        <f>IF('6B'!B47&lt;&gt;"",'6B'!C47,"")</f>
        <v/>
      </c>
      <c r="D1147" s="78">
        <f>IF('6B'!B47&lt;&gt;"",'6B'!D47,"")</f>
        <v/>
      </c>
      <c r="E1147" s="78">
        <f>IF('6B'!B47&lt;&gt;"",'6B'!E47,"")</f>
        <v/>
      </c>
      <c r="F1147" s="78">
        <f>IF('6B'!B47&lt;&gt;"",'6B'!F47,"")</f>
        <v/>
      </c>
      <c r="G1147" s="78">
        <f>IF('6B'!B47&lt;&gt;"",'6B'!G47,"")</f>
        <v/>
      </c>
      <c r="H1147" s="97">
        <f>IF('6B'!B47&lt;&gt;"",'6B'!H47,"")</f>
        <v/>
      </c>
      <c r="I1147" s="97">
        <f>IF('6B'!B47&lt;&gt;"",'6B'!I47,"")</f>
        <v/>
      </c>
      <c r="J1147" s="78">
        <f>IF('6B'!B47&lt;&gt;"",'6B'!J47,"")</f>
        <v/>
      </c>
    </row>
    <row r="1148" ht="15.75" customHeight="1" s="52">
      <c r="A1148" s="92">
        <f>IF('6B'!B48&lt;&gt;"","6B","")</f>
        <v/>
      </c>
      <c r="B1148" s="82">
        <f>IF('6B'!B48&lt;&gt;"",'6B'!B48,"")</f>
        <v/>
      </c>
      <c r="C1148" s="82">
        <f>IF('6B'!B48&lt;&gt;"",'6B'!C48,"")</f>
        <v/>
      </c>
      <c r="D1148" s="82">
        <f>IF('6B'!B48&lt;&gt;"",'6B'!D48,"")</f>
        <v/>
      </c>
      <c r="E1148" s="82">
        <f>IF('6B'!B48&lt;&gt;"",'6B'!E48,"")</f>
        <v/>
      </c>
      <c r="F1148" s="82">
        <f>IF('6B'!B48&lt;&gt;"",'6B'!F48,"")</f>
        <v/>
      </c>
      <c r="G1148" s="82">
        <f>IF('6B'!B48&lt;&gt;"",'6B'!G48,"")</f>
        <v/>
      </c>
      <c r="H1148" s="92">
        <f>IF('6B'!B48&lt;&gt;"",'6B'!H48,"")</f>
        <v/>
      </c>
      <c r="I1148" s="92">
        <f>IF('6B'!B48&lt;&gt;"",'6B'!I48,"")</f>
        <v/>
      </c>
      <c r="J1148" s="82">
        <f>IF('6B'!B48&lt;&gt;"",'6B'!J48,"")</f>
        <v/>
      </c>
    </row>
    <row r="1149" ht="15.75" customHeight="1" s="52">
      <c r="A1149" s="97">
        <f>IF('6B'!B49&lt;&gt;"","6B","")</f>
        <v/>
      </c>
      <c r="B1149" s="78">
        <f>IF('6B'!B49&lt;&gt;"",'6B'!B49,"")</f>
        <v/>
      </c>
      <c r="C1149" s="78">
        <f>IF('6B'!B49&lt;&gt;"",'6B'!C49,"")</f>
        <v/>
      </c>
      <c r="D1149" s="78">
        <f>IF('6B'!B49&lt;&gt;"",'6B'!D49,"")</f>
        <v/>
      </c>
      <c r="E1149" s="78">
        <f>IF('6B'!B49&lt;&gt;"",'6B'!E49,"")</f>
        <v/>
      </c>
      <c r="F1149" s="78">
        <f>IF('6B'!B49&lt;&gt;"",'6B'!F49,"")</f>
        <v/>
      </c>
      <c r="G1149" s="78">
        <f>IF('6B'!B49&lt;&gt;"",'6B'!G49,"")</f>
        <v/>
      </c>
      <c r="H1149" s="97">
        <f>IF('6B'!B49&lt;&gt;"",'6B'!H49,"")</f>
        <v/>
      </c>
      <c r="I1149" s="97">
        <f>IF('6B'!B49&lt;&gt;"",'6B'!I49,"")</f>
        <v/>
      </c>
      <c r="J1149" s="78">
        <f>IF('6B'!B49&lt;&gt;"",'6B'!J49,"")</f>
        <v/>
      </c>
    </row>
    <row r="1150" ht="15.75" customHeight="1" s="52">
      <c r="A1150" s="92">
        <f>IF('6B'!B50&lt;&gt;"","6B","")</f>
        <v/>
      </c>
      <c r="B1150" s="82">
        <f>IF('6B'!B50&lt;&gt;"",'6B'!B50,"")</f>
        <v/>
      </c>
      <c r="C1150" s="82">
        <f>IF('6B'!B50&lt;&gt;"",'6B'!C50,"")</f>
        <v/>
      </c>
      <c r="D1150" s="82">
        <f>IF('6B'!B50&lt;&gt;"",'6B'!D50,"")</f>
        <v/>
      </c>
      <c r="E1150" s="82">
        <f>IF('6B'!B50&lt;&gt;"",'6B'!E50,"")</f>
        <v/>
      </c>
      <c r="F1150" s="82">
        <f>IF('6B'!B50&lt;&gt;"",'6B'!F50,"")</f>
        <v/>
      </c>
      <c r="G1150" s="82">
        <f>IF('6B'!B50&lt;&gt;"",'6B'!G50,"")</f>
        <v/>
      </c>
      <c r="H1150" s="92">
        <f>IF('6B'!B50&lt;&gt;"",'6B'!H50,"")</f>
        <v/>
      </c>
      <c r="I1150" s="92">
        <f>IF('6B'!B50&lt;&gt;"",'6B'!I50,"")</f>
        <v/>
      </c>
      <c r="J1150" s="82">
        <f>IF('6B'!B50&lt;&gt;"",'6B'!J50,"")</f>
        <v/>
      </c>
    </row>
    <row r="1151" ht="15.75" customHeight="1" s="52">
      <c r="A1151" s="97">
        <f>IF('6B'!B51&lt;&gt;"","6B","")</f>
        <v/>
      </c>
      <c r="B1151" s="78">
        <f>IF('6B'!B51&lt;&gt;"",'6B'!B51,"")</f>
        <v/>
      </c>
      <c r="C1151" s="78">
        <f>IF('6B'!B51&lt;&gt;"",'6B'!C51,"")</f>
        <v/>
      </c>
      <c r="D1151" s="78">
        <f>IF('6B'!B51&lt;&gt;"",'6B'!D51,"")</f>
        <v/>
      </c>
      <c r="E1151" s="78">
        <f>IF('6B'!B51&lt;&gt;"",'6B'!E51,"")</f>
        <v/>
      </c>
      <c r="F1151" s="78">
        <f>IF('6B'!B51&lt;&gt;"",'6B'!F51,"")</f>
        <v/>
      </c>
      <c r="G1151" s="78">
        <f>IF('6B'!B51&lt;&gt;"",'6B'!G51,"")</f>
        <v/>
      </c>
      <c r="H1151" s="97">
        <f>IF('6B'!B51&lt;&gt;"",'6B'!H51,"")</f>
        <v/>
      </c>
      <c r="I1151" s="97">
        <f>IF('6B'!B51&lt;&gt;"",'6B'!I51,"")</f>
        <v/>
      </c>
      <c r="J1151" s="78">
        <f>IF('6B'!B51&lt;&gt;"",'6B'!J51,"")</f>
        <v/>
      </c>
    </row>
    <row r="1152" ht="15.75" customHeight="1" s="52">
      <c r="A1152" s="92">
        <f>IF('6B'!B52&lt;&gt;"","6B","")</f>
        <v/>
      </c>
      <c r="B1152" s="82">
        <f>IF('6B'!B52&lt;&gt;"",'6B'!B52,"")</f>
        <v/>
      </c>
      <c r="C1152" s="82">
        <f>IF('6B'!B52&lt;&gt;"",'6B'!C52,"")</f>
        <v/>
      </c>
      <c r="D1152" s="82">
        <f>IF('6B'!B52&lt;&gt;"",'6B'!D52,"")</f>
        <v/>
      </c>
      <c r="E1152" s="82">
        <f>IF('6B'!B52&lt;&gt;"",'6B'!E52,"")</f>
        <v/>
      </c>
      <c r="F1152" s="82">
        <f>IF('6B'!B52&lt;&gt;"",'6B'!F52,"")</f>
        <v/>
      </c>
      <c r="G1152" s="82">
        <f>IF('6B'!B52&lt;&gt;"",'6B'!G52,"")</f>
        <v/>
      </c>
      <c r="H1152" s="92">
        <f>IF('6B'!B52&lt;&gt;"",'6B'!H52,"")</f>
        <v/>
      </c>
      <c r="I1152" s="92">
        <f>IF('6B'!B52&lt;&gt;"",'6B'!I52,"")</f>
        <v/>
      </c>
      <c r="J1152" s="82">
        <f>IF('6B'!B52&lt;&gt;"",'6B'!J52,"")</f>
        <v/>
      </c>
    </row>
    <row r="1153" ht="15.75" customHeight="1" s="52">
      <c r="A1153" s="97">
        <f>IF('6B'!B53&lt;&gt;"","6B","")</f>
        <v/>
      </c>
      <c r="B1153" s="78">
        <f>IF('6B'!B53&lt;&gt;"",'6B'!B53,"")</f>
        <v/>
      </c>
      <c r="C1153" s="78">
        <f>IF('6B'!B53&lt;&gt;"",'6B'!C53,"")</f>
        <v/>
      </c>
      <c r="D1153" s="78">
        <f>IF('6B'!B53&lt;&gt;"",'6B'!D53,"")</f>
        <v/>
      </c>
      <c r="E1153" s="78">
        <f>IF('6B'!B53&lt;&gt;"",'6B'!E53,"")</f>
        <v/>
      </c>
      <c r="F1153" s="78">
        <f>IF('6B'!B53&lt;&gt;"",'6B'!F53,"")</f>
        <v/>
      </c>
      <c r="G1153" s="78">
        <f>IF('6B'!B53&lt;&gt;"",'6B'!G53,"")</f>
        <v/>
      </c>
      <c r="H1153" s="97">
        <f>IF('6B'!B53&lt;&gt;"",'6B'!H53,"")</f>
        <v/>
      </c>
      <c r="I1153" s="97">
        <f>IF('6B'!B53&lt;&gt;"",'6B'!I53,"")</f>
        <v/>
      </c>
      <c r="J1153" s="78">
        <f>IF('6B'!B53&lt;&gt;"",'6B'!J53,"")</f>
        <v/>
      </c>
    </row>
    <row r="1154" ht="15.75" customHeight="1" s="52">
      <c r="A1154" s="92">
        <f>IF('6B'!B54&lt;&gt;"","6B","")</f>
        <v/>
      </c>
      <c r="B1154" s="82">
        <f>IF('6B'!B54&lt;&gt;"",'6B'!B54,"")</f>
        <v/>
      </c>
      <c r="C1154" s="82">
        <f>IF('6B'!B54&lt;&gt;"",'6B'!C54,"")</f>
        <v/>
      </c>
      <c r="D1154" s="82">
        <f>IF('6B'!B54&lt;&gt;"",'6B'!D54,"")</f>
        <v/>
      </c>
      <c r="E1154" s="82">
        <f>IF('6B'!B54&lt;&gt;"",'6B'!E54,"")</f>
        <v/>
      </c>
      <c r="F1154" s="82">
        <f>IF('6B'!B54&lt;&gt;"",'6B'!F54,"")</f>
        <v/>
      </c>
      <c r="G1154" s="82">
        <f>IF('6B'!B54&lt;&gt;"",'6B'!G54,"")</f>
        <v/>
      </c>
      <c r="H1154" s="92">
        <f>IF('6B'!B54&lt;&gt;"",'6B'!H54,"")</f>
        <v/>
      </c>
      <c r="I1154" s="92">
        <f>IF('6B'!B54&lt;&gt;"",'6B'!I54,"")</f>
        <v/>
      </c>
      <c r="J1154" s="82">
        <f>IF('6B'!B54&lt;&gt;"",'6B'!J54,"")</f>
        <v/>
      </c>
    </row>
    <row r="1155" ht="15.75" customHeight="1" s="52">
      <c r="A1155" s="97">
        <f>IF('6C'!B5&lt;&gt;"","6C","")</f>
        <v/>
      </c>
      <c r="B1155" s="78">
        <f>IF('6C'!B5&lt;&gt;"",'6C'!B5,"")</f>
        <v/>
      </c>
      <c r="C1155" s="78">
        <f>IF('6C'!B5&lt;&gt;"",'6C'!C5,"")</f>
        <v/>
      </c>
      <c r="D1155" s="78">
        <f>IF('6C'!B5&lt;&gt;"",'6C'!D5,"")</f>
        <v/>
      </c>
      <c r="E1155" s="78">
        <f>IF('6C'!B5&lt;&gt;"",'6C'!E5,"")</f>
        <v/>
      </c>
      <c r="F1155" s="78">
        <f>IF('6C'!B5&lt;&gt;"",'6C'!F5,"")</f>
        <v/>
      </c>
      <c r="G1155" s="78">
        <f>IF('6C'!B5&lt;&gt;"",'6C'!G5,"")</f>
        <v/>
      </c>
      <c r="H1155" s="97">
        <f>IF('6C'!B5&lt;&gt;"",'6C'!H5,"")</f>
        <v/>
      </c>
      <c r="I1155" s="97">
        <f>IF('6C'!B5&lt;&gt;"",'6C'!I5,"")</f>
        <v/>
      </c>
      <c r="J1155" s="78">
        <f>IF('6C'!B5&lt;&gt;"",'6C'!J5,"")</f>
        <v/>
      </c>
    </row>
    <row r="1156" ht="15.75" customHeight="1" s="52">
      <c r="A1156" s="92">
        <f>IF('6C'!B6&lt;&gt;"","6C","")</f>
        <v/>
      </c>
      <c r="B1156" s="82">
        <f>IF('6C'!B6&lt;&gt;"",'6C'!B6,"")</f>
        <v/>
      </c>
      <c r="C1156" s="82">
        <f>IF('6C'!B6&lt;&gt;"",'6C'!C6,"")</f>
        <v/>
      </c>
      <c r="D1156" s="82">
        <f>IF('6C'!B6&lt;&gt;"",'6C'!D6,"")</f>
        <v/>
      </c>
      <c r="E1156" s="82">
        <f>IF('6C'!B6&lt;&gt;"",'6C'!E6,"")</f>
        <v/>
      </c>
      <c r="F1156" s="82">
        <f>IF('6C'!B6&lt;&gt;"",'6C'!F6,"")</f>
        <v/>
      </c>
      <c r="G1156" s="82">
        <f>IF('6C'!B6&lt;&gt;"",'6C'!G6,"")</f>
        <v/>
      </c>
      <c r="H1156" s="92">
        <f>IF('6C'!B6&lt;&gt;"",'6C'!H6,"")</f>
        <v/>
      </c>
      <c r="I1156" s="92">
        <f>IF('6C'!B6&lt;&gt;"",'6C'!I6,"")</f>
        <v/>
      </c>
      <c r="J1156" s="82">
        <f>IF('6C'!B6&lt;&gt;"",'6C'!J6,"")</f>
        <v/>
      </c>
    </row>
    <row r="1157" ht="15.75" customHeight="1" s="52">
      <c r="A1157" s="97">
        <f>IF('6C'!B7&lt;&gt;"","6C","")</f>
        <v/>
      </c>
      <c r="B1157" s="78">
        <f>IF('6C'!B7&lt;&gt;"",'6C'!B7,"")</f>
        <v/>
      </c>
      <c r="C1157" s="78">
        <f>IF('6C'!B7&lt;&gt;"",'6C'!C7,"")</f>
        <v/>
      </c>
      <c r="D1157" s="78">
        <f>IF('6C'!B7&lt;&gt;"",'6C'!D7,"")</f>
        <v/>
      </c>
      <c r="E1157" s="78">
        <f>IF('6C'!B7&lt;&gt;"",'6C'!E7,"")</f>
        <v/>
      </c>
      <c r="F1157" s="78">
        <f>IF('6C'!B7&lt;&gt;"",'6C'!F7,"")</f>
        <v/>
      </c>
      <c r="G1157" s="78">
        <f>IF('6C'!B7&lt;&gt;"",'6C'!G7,"")</f>
        <v/>
      </c>
      <c r="H1157" s="97">
        <f>IF('6C'!B7&lt;&gt;"",'6C'!H7,"")</f>
        <v/>
      </c>
      <c r="I1157" s="97">
        <f>IF('6C'!B7&lt;&gt;"",'6C'!I7,"")</f>
        <v/>
      </c>
      <c r="J1157" s="78">
        <f>IF('6C'!B7&lt;&gt;"",'6C'!J7,"")</f>
        <v/>
      </c>
    </row>
    <row r="1158" ht="15.75" customHeight="1" s="52">
      <c r="A1158" s="92">
        <f>IF('6C'!B8&lt;&gt;"","6C","")</f>
        <v/>
      </c>
      <c r="B1158" s="82">
        <f>IF('6C'!B8&lt;&gt;"",'6C'!B8,"")</f>
        <v/>
      </c>
      <c r="C1158" s="82">
        <f>IF('6C'!B8&lt;&gt;"",'6C'!C8,"")</f>
        <v/>
      </c>
      <c r="D1158" s="82">
        <f>IF('6C'!B8&lt;&gt;"",'6C'!D8,"")</f>
        <v/>
      </c>
      <c r="E1158" s="82">
        <f>IF('6C'!B8&lt;&gt;"",'6C'!E8,"")</f>
        <v/>
      </c>
      <c r="F1158" s="82">
        <f>IF('6C'!B8&lt;&gt;"",'6C'!F8,"")</f>
        <v/>
      </c>
      <c r="G1158" s="82">
        <f>IF('6C'!B8&lt;&gt;"",'6C'!G8,"")</f>
        <v/>
      </c>
      <c r="H1158" s="92">
        <f>IF('6C'!B8&lt;&gt;"",'6C'!H8,"")</f>
        <v/>
      </c>
      <c r="I1158" s="92">
        <f>IF('6C'!B8&lt;&gt;"",'6C'!I8,"")</f>
        <v/>
      </c>
      <c r="J1158" s="82">
        <f>IF('6C'!B8&lt;&gt;"",'6C'!J8,"")</f>
        <v/>
      </c>
    </row>
    <row r="1159" ht="15.75" customHeight="1" s="52">
      <c r="A1159" s="97">
        <f>IF('6C'!B9&lt;&gt;"","6C","")</f>
        <v/>
      </c>
      <c r="B1159" s="78">
        <f>IF('6C'!B9&lt;&gt;"",'6C'!B9,"")</f>
        <v/>
      </c>
      <c r="C1159" s="78">
        <f>IF('6C'!B9&lt;&gt;"",'6C'!C9,"")</f>
        <v/>
      </c>
      <c r="D1159" s="78">
        <f>IF('6C'!B9&lt;&gt;"",'6C'!D9,"")</f>
        <v/>
      </c>
      <c r="E1159" s="78">
        <f>IF('6C'!B9&lt;&gt;"",'6C'!E9,"")</f>
        <v/>
      </c>
      <c r="F1159" s="78">
        <f>IF('6C'!B9&lt;&gt;"",'6C'!F9,"")</f>
        <v/>
      </c>
      <c r="G1159" s="78">
        <f>IF('6C'!B9&lt;&gt;"",'6C'!G9,"")</f>
        <v/>
      </c>
      <c r="H1159" s="97">
        <f>IF('6C'!B9&lt;&gt;"",'6C'!H9,"")</f>
        <v/>
      </c>
      <c r="I1159" s="97">
        <f>IF('6C'!B9&lt;&gt;"",'6C'!I9,"")</f>
        <v/>
      </c>
      <c r="J1159" s="78">
        <f>IF('6C'!B9&lt;&gt;"",'6C'!J9,"")</f>
        <v/>
      </c>
    </row>
    <row r="1160" ht="15.75" customHeight="1" s="52">
      <c r="A1160" s="92">
        <f>IF('6C'!B10&lt;&gt;"","6C","")</f>
        <v/>
      </c>
      <c r="B1160" s="82">
        <f>IF('6C'!B10&lt;&gt;"",'6C'!B10,"")</f>
        <v/>
      </c>
      <c r="C1160" s="82">
        <f>IF('6C'!B10&lt;&gt;"",'6C'!C10,"")</f>
        <v/>
      </c>
      <c r="D1160" s="82">
        <f>IF('6C'!B10&lt;&gt;"",'6C'!D10,"")</f>
        <v/>
      </c>
      <c r="E1160" s="82">
        <f>IF('6C'!B10&lt;&gt;"",'6C'!E10,"")</f>
        <v/>
      </c>
      <c r="F1160" s="82">
        <f>IF('6C'!B10&lt;&gt;"",'6C'!F10,"")</f>
        <v/>
      </c>
      <c r="G1160" s="82">
        <f>IF('6C'!B10&lt;&gt;"",'6C'!G10,"")</f>
        <v/>
      </c>
      <c r="H1160" s="92">
        <f>IF('6C'!B10&lt;&gt;"",'6C'!H10,"")</f>
        <v/>
      </c>
      <c r="I1160" s="92">
        <f>IF('6C'!B10&lt;&gt;"",'6C'!I10,"")</f>
        <v/>
      </c>
      <c r="J1160" s="82">
        <f>IF('6C'!B10&lt;&gt;"",'6C'!J10,"")</f>
        <v/>
      </c>
    </row>
    <row r="1161" ht="15.75" customHeight="1" s="52">
      <c r="A1161" s="97">
        <f>IF('6C'!B11&lt;&gt;"","6C","")</f>
        <v/>
      </c>
      <c r="B1161" s="78">
        <f>IF('6C'!B11&lt;&gt;"",'6C'!B11,"")</f>
        <v/>
      </c>
      <c r="C1161" s="78">
        <f>IF('6C'!B11&lt;&gt;"",'6C'!C11,"")</f>
        <v/>
      </c>
      <c r="D1161" s="78">
        <f>IF('6C'!B11&lt;&gt;"",'6C'!D11,"")</f>
        <v/>
      </c>
      <c r="E1161" s="78">
        <f>IF('6C'!B11&lt;&gt;"",'6C'!E11,"")</f>
        <v/>
      </c>
      <c r="F1161" s="78">
        <f>IF('6C'!B11&lt;&gt;"",'6C'!F11,"")</f>
        <v/>
      </c>
      <c r="G1161" s="78">
        <f>IF('6C'!B11&lt;&gt;"",'6C'!G11,"")</f>
        <v/>
      </c>
      <c r="H1161" s="97">
        <f>IF('6C'!B11&lt;&gt;"",'6C'!H11,"")</f>
        <v/>
      </c>
      <c r="I1161" s="97">
        <f>IF('6C'!B11&lt;&gt;"",'6C'!I11,"")</f>
        <v/>
      </c>
      <c r="J1161" s="78">
        <f>IF('6C'!B11&lt;&gt;"",'6C'!J11,"")</f>
        <v/>
      </c>
    </row>
    <row r="1162" ht="15.75" customHeight="1" s="52">
      <c r="A1162" s="92">
        <f>IF('6C'!B12&lt;&gt;"","6C","")</f>
        <v/>
      </c>
      <c r="B1162" s="82">
        <f>IF('6C'!B12&lt;&gt;"",'6C'!B12,"")</f>
        <v/>
      </c>
      <c r="C1162" s="82">
        <f>IF('6C'!B12&lt;&gt;"",'6C'!C12,"")</f>
        <v/>
      </c>
      <c r="D1162" s="82">
        <f>IF('6C'!B12&lt;&gt;"",'6C'!D12,"")</f>
        <v/>
      </c>
      <c r="E1162" s="82">
        <f>IF('6C'!B12&lt;&gt;"",'6C'!E12,"")</f>
        <v/>
      </c>
      <c r="F1162" s="82">
        <f>IF('6C'!B12&lt;&gt;"",'6C'!F12,"")</f>
        <v/>
      </c>
      <c r="G1162" s="82">
        <f>IF('6C'!B12&lt;&gt;"",'6C'!G12,"")</f>
        <v/>
      </c>
      <c r="H1162" s="92">
        <f>IF('6C'!B12&lt;&gt;"",'6C'!H12,"")</f>
        <v/>
      </c>
      <c r="I1162" s="92">
        <f>IF('6C'!B12&lt;&gt;"",'6C'!I12,"")</f>
        <v/>
      </c>
      <c r="J1162" s="82">
        <f>IF('6C'!B12&lt;&gt;"",'6C'!J12,"")</f>
        <v/>
      </c>
    </row>
    <row r="1163" ht="15.75" customHeight="1" s="52">
      <c r="A1163" s="97">
        <f>IF('6C'!B13&lt;&gt;"","6C","")</f>
        <v/>
      </c>
      <c r="B1163" s="78">
        <f>IF('6C'!B13&lt;&gt;"",'6C'!B13,"")</f>
        <v/>
      </c>
      <c r="C1163" s="78">
        <f>IF('6C'!B13&lt;&gt;"",'6C'!C13,"")</f>
        <v/>
      </c>
      <c r="D1163" s="78">
        <f>IF('6C'!B13&lt;&gt;"",'6C'!D13,"")</f>
        <v/>
      </c>
      <c r="E1163" s="78">
        <f>IF('6C'!B13&lt;&gt;"",'6C'!E13,"")</f>
        <v/>
      </c>
      <c r="F1163" s="78">
        <f>IF('6C'!B13&lt;&gt;"",'6C'!F13,"")</f>
        <v/>
      </c>
      <c r="G1163" s="78">
        <f>IF('6C'!B13&lt;&gt;"",'6C'!G13,"")</f>
        <v/>
      </c>
      <c r="H1163" s="97">
        <f>IF('6C'!B13&lt;&gt;"",'6C'!H13,"")</f>
        <v/>
      </c>
      <c r="I1163" s="97">
        <f>IF('6C'!B13&lt;&gt;"",'6C'!I13,"")</f>
        <v/>
      </c>
      <c r="J1163" s="78">
        <f>IF('6C'!B13&lt;&gt;"",'6C'!J13,"")</f>
        <v/>
      </c>
    </row>
    <row r="1164" ht="15.75" customHeight="1" s="52">
      <c r="A1164" s="92">
        <f>IF('6C'!B14&lt;&gt;"","6C","")</f>
        <v/>
      </c>
      <c r="B1164" s="82">
        <f>IF('6C'!B14&lt;&gt;"",'6C'!B14,"")</f>
        <v/>
      </c>
      <c r="C1164" s="82">
        <f>IF('6C'!B14&lt;&gt;"",'6C'!C14,"")</f>
        <v/>
      </c>
      <c r="D1164" s="82">
        <f>IF('6C'!B14&lt;&gt;"",'6C'!D14,"")</f>
        <v/>
      </c>
      <c r="E1164" s="82">
        <f>IF('6C'!B14&lt;&gt;"",'6C'!E14,"")</f>
        <v/>
      </c>
      <c r="F1164" s="82">
        <f>IF('6C'!B14&lt;&gt;"",'6C'!F14,"")</f>
        <v/>
      </c>
      <c r="G1164" s="82">
        <f>IF('6C'!B14&lt;&gt;"",'6C'!G14,"")</f>
        <v/>
      </c>
      <c r="H1164" s="92">
        <f>IF('6C'!B14&lt;&gt;"",'6C'!H14,"")</f>
        <v/>
      </c>
      <c r="I1164" s="92">
        <f>IF('6C'!B14&lt;&gt;"",'6C'!I14,"")</f>
        <v/>
      </c>
      <c r="J1164" s="82">
        <f>IF('6C'!B14&lt;&gt;"",'6C'!J14,"")</f>
        <v/>
      </c>
    </row>
    <row r="1165" ht="15.75" customHeight="1" s="52">
      <c r="A1165" s="97">
        <f>IF('6C'!B15&lt;&gt;"","6C","")</f>
        <v/>
      </c>
      <c r="B1165" s="78">
        <f>IF('6C'!B15&lt;&gt;"",'6C'!B15,"")</f>
        <v/>
      </c>
      <c r="C1165" s="78">
        <f>IF('6C'!B15&lt;&gt;"",'6C'!C15,"")</f>
        <v/>
      </c>
      <c r="D1165" s="78">
        <f>IF('6C'!B15&lt;&gt;"",'6C'!D15,"")</f>
        <v/>
      </c>
      <c r="E1165" s="78">
        <f>IF('6C'!B15&lt;&gt;"",'6C'!E15,"")</f>
        <v/>
      </c>
      <c r="F1165" s="78">
        <f>IF('6C'!B15&lt;&gt;"",'6C'!F15,"")</f>
        <v/>
      </c>
      <c r="G1165" s="78">
        <f>IF('6C'!B15&lt;&gt;"",'6C'!G15,"")</f>
        <v/>
      </c>
      <c r="H1165" s="97">
        <f>IF('6C'!B15&lt;&gt;"",'6C'!H15,"")</f>
        <v/>
      </c>
      <c r="I1165" s="97">
        <f>IF('6C'!B15&lt;&gt;"",'6C'!I15,"")</f>
        <v/>
      </c>
      <c r="J1165" s="78">
        <f>IF('6C'!B15&lt;&gt;"",'6C'!J15,"")</f>
        <v/>
      </c>
    </row>
    <row r="1166" ht="15.75" customHeight="1" s="52">
      <c r="A1166" s="92">
        <f>IF('6C'!B16&lt;&gt;"","6C","")</f>
        <v/>
      </c>
      <c r="B1166" s="82">
        <f>IF('6C'!B16&lt;&gt;"",'6C'!B16,"")</f>
        <v/>
      </c>
      <c r="C1166" s="82">
        <f>IF('6C'!B16&lt;&gt;"",'6C'!C16,"")</f>
        <v/>
      </c>
      <c r="D1166" s="82">
        <f>IF('6C'!B16&lt;&gt;"",'6C'!D16,"")</f>
        <v/>
      </c>
      <c r="E1166" s="82">
        <f>IF('6C'!B16&lt;&gt;"",'6C'!E16,"")</f>
        <v/>
      </c>
      <c r="F1166" s="82">
        <f>IF('6C'!B16&lt;&gt;"",'6C'!F16,"")</f>
        <v/>
      </c>
      <c r="G1166" s="82">
        <f>IF('6C'!B16&lt;&gt;"",'6C'!G16,"")</f>
        <v/>
      </c>
      <c r="H1166" s="92">
        <f>IF('6C'!B16&lt;&gt;"",'6C'!H16,"")</f>
        <v/>
      </c>
      <c r="I1166" s="92">
        <f>IF('6C'!B16&lt;&gt;"",'6C'!I16,"")</f>
        <v/>
      </c>
      <c r="J1166" s="82">
        <f>IF('6C'!B16&lt;&gt;"",'6C'!J16,"")</f>
        <v/>
      </c>
    </row>
    <row r="1167" ht="15.75" customHeight="1" s="52">
      <c r="A1167" s="97">
        <f>IF('6C'!B17&lt;&gt;"","6C","")</f>
        <v/>
      </c>
      <c r="B1167" s="78">
        <f>IF('6C'!B17&lt;&gt;"",'6C'!B17,"")</f>
        <v/>
      </c>
      <c r="C1167" s="78">
        <f>IF('6C'!B17&lt;&gt;"",'6C'!C17,"")</f>
        <v/>
      </c>
      <c r="D1167" s="78">
        <f>IF('6C'!B17&lt;&gt;"",'6C'!D17,"")</f>
        <v/>
      </c>
      <c r="E1167" s="78">
        <f>IF('6C'!B17&lt;&gt;"",'6C'!E17,"")</f>
        <v/>
      </c>
      <c r="F1167" s="78">
        <f>IF('6C'!B17&lt;&gt;"",'6C'!F17,"")</f>
        <v/>
      </c>
      <c r="G1167" s="78">
        <f>IF('6C'!B17&lt;&gt;"",'6C'!G17,"")</f>
        <v/>
      </c>
      <c r="H1167" s="97">
        <f>IF('6C'!B17&lt;&gt;"",'6C'!H17,"")</f>
        <v/>
      </c>
      <c r="I1167" s="97">
        <f>IF('6C'!B17&lt;&gt;"",'6C'!I17,"")</f>
        <v/>
      </c>
      <c r="J1167" s="78">
        <f>IF('6C'!B17&lt;&gt;"",'6C'!J17,"")</f>
        <v/>
      </c>
    </row>
    <row r="1168" ht="15.75" customHeight="1" s="52">
      <c r="A1168" s="92">
        <f>IF('6C'!B18&lt;&gt;"","6C","")</f>
        <v/>
      </c>
      <c r="B1168" s="82">
        <f>IF('6C'!B18&lt;&gt;"",'6C'!B18,"")</f>
        <v/>
      </c>
      <c r="C1168" s="82">
        <f>IF('6C'!B18&lt;&gt;"",'6C'!C18,"")</f>
        <v/>
      </c>
      <c r="D1168" s="82">
        <f>IF('6C'!B18&lt;&gt;"",'6C'!D18,"")</f>
        <v/>
      </c>
      <c r="E1168" s="82">
        <f>IF('6C'!B18&lt;&gt;"",'6C'!E18,"")</f>
        <v/>
      </c>
      <c r="F1168" s="82">
        <f>IF('6C'!B18&lt;&gt;"",'6C'!F18,"")</f>
        <v/>
      </c>
      <c r="G1168" s="82">
        <f>IF('6C'!B18&lt;&gt;"",'6C'!G18,"")</f>
        <v/>
      </c>
      <c r="H1168" s="92">
        <f>IF('6C'!B18&lt;&gt;"",'6C'!H18,"")</f>
        <v/>
      </c>
      <c r="I1168" s="92">
        <f>IF('6C'!B18&lt;&gt;"",'6C'!I18,"")</f>
        <v/>
      </c>
      <c r="J1168" s="82">
        <f>IF('6C'!B18&lt;&gt;"",'6C'!J18,"")</f>
        <v/>
      </c>
    </row>
    <row r="1169" ht="15.75" customHeight="1" s="52">
      <c r="A1169" s="97">
        <f>IF('6C'!B19&lt;&gt;"","6C","")</f>
        <v/>
      </c>
      <c r="B1169" s="78">
        <f>IF('6C'!B19&lt;&gt;"",'6C'!B19,"")</f>
        <v/>
      </c>
      <c r="C1169" s="78">
        <f>IF('6C'!B19&lt;&gt;"",'6C'!C19,"")</f>
        <v/>
      </c>
      <c r="D1169" s="78">
        <f>IF('6C'!B19&lt;&gt;"",'6C'!D19,"")</f>
        <v/>
      </c>
      <c r="E1169" s="78">
        <f>IF('6C'!B19&lt;&gt;"",'6C'!E19,"")</f>
        <v/>
      </c>
      <c r="F1169" s="78">
        <f>IF('6C'!B19&lt;&gt;"",'6C'!F19,"")</f>
        <v/>
      </c>
      <c r="G1169" s="78">
        <f>IF('6C'!B19&lt;&gt;"",'6C'!G19,"")</f>
        <v/>
      </c>
      <c r="H1169" s="97">
        <f>IF('6C'!B19&lt;&gt;"",'6C'!H19,"")</f>
        <v/>
      </c>
      <c r="I1169" s="97">
        <f>IF('6C'!B19&lt;&gt;"",'6C'!I19,"")</f>
        <v/>
      </c>
      <c r="J1169" s="78">
        <f>IF('6C'!B19&lt;&gt;"",'6C'!J19,"")</f>
        <v/>
      </c>
    </row>
    <row r="1170" ht="15.75" customHeight="1" s="52">
      <c r="A1170" s="92">
        <f>IF('6C'!B20&lt;&gt;"","6C","")</f>
        <v/>
      </c>
      <c r="B1170" s="82">
        <f>IF('6C'!B20&lt;&gt;"",'6C'!B20,"")</f>
        <v/>
      </c>
      <c r="C1170" s="82">
        <f>IF('6C'!B20&lt;&gt;"",'6C'!C20,"")</f>
        <v/>
      </c>
      <c r="D1170" s="82">
        <f>IF('6C'!B20&lt;&gt;"",'6C'!D20,"")</f>
        <v/>
      </c>
      <c r="E1170" s="82">
        <f>IF('6C'!B20&lt;&gt;"",'6C'!E20,"")</f>
        <v/>
      </c>
      <c r="F1170" s="82">
        <f>IF('6C'!B20&lt;&gt;"",'6C'!F20,"")</f>
        <v/>
      </c>
      <c r="G1170" s="82">
        <f>IF('6C'!B20&lt;&gt;"",'6C'!G20,"")</f>
        <v/>
      </c>
      <c r="H1170" s="92">
        <f>IF('6C'!B20&lt;&gt;"",'6C'!H20,"")</f>
        <v/>
      </c>
      <c r="I1170" s="92">
        <f>IF('6C'!B20&lt;&gt;"",'6C'!I20,"")</f>
        <v/>
      </c>
      <c r="J1170" s="82">
        <f>IF('6C'!B20&lt;&gt;"",'6C'!J20,"")</f>
        <v/>
      </c>
    </row>
    <row r="1171" ht="15.75" customHeight="1" s="52">
      <c r="A1171" s="97">
        <f>IF('6C'!B21&lt;&gt;"","6C","")</f>
        <v/>
      </c>
      <c r="B1171" s="78">
        <f>IF('6C'!B21&lt;&gt;"",'6C'!B21,"")</f>
        <v/>
      </c>
      <c r="C1171" s="78">
        <f>IF('6C'!B21&lt;&gt;"",'6C'!C21,"")</f>
        <v/>
      </c>
      <c r="D1171" s="78">
        <f>IF('6C'!B21&lt;&gt;"",'6C'!D21,"")</f>
        <v/>
      </c>
      <c r="E1171" s="78">
        <f>IF('6C'!B21&lt;&gt;"",'6C'!E21,"")</f>
        <v/>
      </c>
      <c r="F1171" s="78">
        <f>IF('6C'!B21&lt;&gt;"",'6C'!F21,"")</f>
        <v/>
      </c>
      <c r="G1171" s="78">
        <f>IF('6C'!B21&lt;&gt;"",'6C'!G21,"")</f>
        <v/>
      </c>
      <c r="H1171" s="97">
        <f>IF('6C'!B21&lt;&gt;"",'6C'!H21,"")</f>
        <v/>
      </c>
      <c r="I1171" s="97">
        <f>IF('6C'!B21&lt;&gt;"",'6C'!I21,"")</f>
        <v/>
      </c>
      <c r="J1171" s="78">
        <f>IF('6C'!B21&lt;&gt;"",'6C'!J21,"")</f>
        <v/>
      </c>
    </row>
    <row r="1172" ht="15.75" customHeight="1" s="52">
      <c r="A1172" s="92">
        <f>IF('6C'!B22&lt;&gt;"","6C","")</f>
        <v/>
      </c>
      <c r="B1172" s="82">
        <f>IF('6C'!B22&lt;&gt;"",'6C'!B22,"")</f>
        <v/>
      </c>
      <c r="C1172" s="82">
        <f>IF('6C'!B22&lt;&gt;"",'6C'!C22,"")</f>
        <v/>
      </c>
      <c r="D1172" s="82">
        <f>IF('6C'!B22&lt;&gt;"",'6C'!D22,"")</f>
        <v/>
      </c>
      <c r="E1172" s="82">
        <f>IF('6C'!B22&lt;&gt;"",'6C'!E22,"")</f>
        <v/>
      </c>
      <c r="F1172" s="82">
        <f>IF('6C'!B22&lt;&gt;"",'6C'!F22,"")</f>
        <v/>
      </c>
      <c r="G1172" s="82">
        <f>IF('6C'!B22&lt;&gt;"",'6C'!G22,"")</f>
        <v/>
      </c>
      <c r="H1172" s="92">
        <f>IF('6C'!B22&lt;&gt;"",'6C'!H22,"")</f>
        <v/>
      </c>
      <c r="I1172" s="92">
        <f>IF('6C'!B22&lt;&gt;"",'6C'!I22,"")</f>
        <v/>
      </c>
      <c r="J1172" s="82">
        <f>IF('6C'!B22&lt;&gt;"",'6C'!J22,"")</f>
        <v/>
      </c>
    </row>
    <row r="1173" ht="15.75" customHeight="1" s="52">
      <c r="A1173" s="97">
        <f>IF('6C'!B23&lt;&gt;"","6C","")</f>
        <v/>
      </c>
      <c r="B1173" s="78">
        <f>IF('6C'!B23&lt;&gt;"",'6C'!B23,"")</f>
        <v/>
      </c>
      <c r="C1173" s="78">
        <f>IF('6C'!B23&lt;&gt;"",'6C'!C23,"")</f>
        <v/>
      </c>
      <c r="D1173" s="78">
        <f>IF('6C'!B23&lt;&gt;"",'6C'!D23,"")</f>
        <v/>
      </c>
      <c r="E1173" s="78">
        <f>IF('6C'!B23&lt;&gt;"",'6C'!E23,"")</f>
        <v/>
      </c>
      <c r="F1173" s="78">
        <f>IF('6C'!B23&lt;&gt;"",'6C'!F23,"")</f>
        <v/>
      </c>
      <c r="G1173" s="78">
        <f>IF('6C'!B23&lt;&gt;"",'6C'!G23,"")</f>
        <v/>
      </c>
      <c r="H1173" s="97">
        <f>IF('6C'!B23&lt;&gt;"",'6C'!H23,"")</f>
        <v/>
      </c>
      <c r="I1173" s="97">
        <f>IF('6C'!B23&lt;&gt;"",'6C'!I23,"")</f>
        <v/>
      </c>
      <c r="J1173" s="78">
        <f>IF('6C'!B23&lt;&gt;"",'6C'!J23,"")</f>
        <v/>
      </c>
    </row>
    <row r="1174" ht="15.75" customHeight="1" s="52">
      <c r="A1174" s="92">
        <f>IF('6C'!B24&lt;&gt;"","6C","")</f>
        <v/>
      </c>
      <c r="B1174" s="82">
        <f>IF('6C'!B24&lt;&gt;"",'6C'!B24,"")</f>
        <v/>
      </c>
      <c r="C1174" s="82">
        <f>IF('6C'!B24&lt;&gt;"",'6C'!C24,"")</f>
        <v/>
      </c>
      <c r="D1174" s="82">
        <f>IF('6C'!B24&lt;&gt;"",'6C'!D24,"")</f>
        <v/>
      </c>
      <c r="E1174" s="82">
        <f>IF('6C'!B24&lt;&gt;"",'6C'!E24,"")</f>
        <v/>
      </c>
      <c r="F1174" s="82">
        <f>IF('6C'!B24&lt;&gt;"",'6C'!F24,"")</f>
        <v/>
      </c>
      <c r="G1174" s="82">
        <f>IF('6C'!B24&lt;&gt;"",'6C'!G24,"")</f>
        <v/>
      </c>
      <c r="H1174" s="92">
        <f>IF('6C'!B24&lt;&gt;"",'6C'!H24,"")</f>
        <v/>
      </c>
      <c r="I1174" s="92">
        <f>IF('6C'!B24&lt;&gt;"",'6C'!I24,"")</f>
        <v/>
      </c>
      <c r="J1174" s="82">
        <f>IF('6C'!B24&lt;&gt;"",'6C'!J24,"")</f>
        <v/>
      </c>
    </row>
    <row r="1175" ht="15.75" customHeight="1" s="52">
      <c r="A1175" s="97">
        <f>IF('6C'!B25&lt;&gt;"","6C","")</f>
        <v/>
      </c>
      <c r="B1175" s="78">
        <f>IF('6C'!B25&lt;&gt;"",'6C'!B25,"")</f>
        <v/>
      </c>
      <c r="C1175" s="78">
        <f>IF('6C'!B25&lt;&gt;"",'6C'!C25,"")</f>
        <v/>
      </c>
      <c r="D1175" s="78">
        <f>IF('6C'!B25&lt;&gt;"",'6C'!D25,"")</f>
        <v/>
      </c>
      <c r="E1175" s="78">
        <f>IF('6C'!B25&lt;&gt;"",'6C'!E25,"")</f>
        <v/>
      </c>
      <c r="F1175" s="78">
        <f>IF('6C'!B25&lt;&gt;"",'6C'!F25,"")</f>
        <v/>
      </c>
      <c r="G1175" s="78">
        <f>IF('6C'!B25&lt;&gt;"",'6C'!G25,"")</f>
        <v/>
      </c>
      <c r="H1175" s="97">
        <f>IF('6C'!B25&lt;&gt;"",'6C'!H25,"")</f>
        <v/>
      </c>
      <c r="I1175" s="97">
        <f>IF('6C'!B25&lt;&gt;"",'6C'!I25,"")</f>
        <v/>
      </c>
      <c r="J1175" s="78">
        <f>IF('6C'!B25&lt;&gt;"",'6C'!J25,"")</f>
        <v/>
      </c>
    </row>
    <row r="1176" ht="15.75" customHeight="1" s="52">
      <c r="A1176" s="92">
        <f>IF('6C'!B26&lt;&gt;"","6C","")</f>
        <v/>
      </c>
      <c r="B1176" s="82">
        <f>IF('6C'!B26&lt;&gt;"",'6C'!B26,"")</f>
        <v/>
      </c>
      <c r="C1176" s="82">
        <f>IF('6C'!B26&lt;&gt;"",'6C'!C26,"")</f>
        <v/>
      </c>
      <c r="D1176" s="82">
        <f>IF('6C'!B26&lt;&gt;"",'6C'!D26,"")</f>
        <v/>
      </c>
      <c r="E1176" s="82">
        <f>IF('6C'!B26&lt;&gt;"",'6C'!E26,"")</f>
        <v/>
      </c>
      <c r="F1176" s="82">
        <f>IF('6C'!B26&lt;&gt;"",'6C'!F26,"")</f>
        <v/>
      </c>
      <c r="G1176" s="82">
        <f>IF('6C'!B26&lt;&gt;"",'6C'!G26,"")</f>
        <v/>
      </c>
      <c r="H1176" s="92">
        <f>IF('6C'!B26&lt;&gt;"",'6C'!H26,"")</f>
        <v/>
      </c>
      <c r="I1176" s="92">
        <f>IF('6C'!B26&lt;&gt;"",'6C'!I26,"")</f>
        <v/>
      </c>
      <c r="J1176" s="82">
        <f>IF('6C'!B26&lt;&gt;"",'6C'!J26,"")</f>
        <v/>
      </c>
    </row>
    <row r="1177" ht="15.75" customHeight="1" s="52">
      <c r="A1177" s="97">
        <f>IF('6C'!B27&lt;&gt;"","6C","")</f>
        <v/>
      </c>
      <c r="B1177" s="78">
        <f>IF('6C'!B27&lt;&gt;"",'6C'!B27,"")</f>
        <v/>
      </c>
      <c r="C1177" s="78">
        <f>IF('6C'!B27&lt;&gt;"",'6C'!C27,"")</f>
        <v/>
      </c>
      <c r="D1177" s="78">
        <f>IF('6C'!B27&lt;&gt;"",'6C'!D27,"")</f>
        <v/>
      </c>
      <c r="E1177" s="78">
        <f>IF('6C'!B27&lt;&gt;"",'6C'!E27,"")</f>
        <v/>
      </c>
      <c r="F1177" s="78">
        <f>IF('6C'!B27&lt;&gt;"",'6C'!F27,"")</f>
        <v/>
      </c>
      <c r="G1177" s="78">
        <f>IF('6C'!B27&lt;&gt;"",'6C'!G27,"")</f>
        <v/>
      </c>
      <c r="H1177" s="97">
        <f>IF('6C'!B27&lt;&gt;"",'6C'!H27,"")</f>
        <v/>
      </c>
      <c r="I1177" s="97">
        <f>IF('6C'!B27&lt;&gt;"",'6C'!I27,"")</f>
        <v/>
      </c>
      <c r="J1177" s="78">
        <f>IF('6C'!B27&lt;&gt;"",'6C'!J27,"")</f>
        <v/>
      </c>
    </row>
    <row r="1178" ht="15.75" customHeight="1" s="52">
      <c r="A1178" s="92">
        <f>IF('6C'!B28&lt;&gt;"","6C","")</f>
        <v/>
      </c>
      <c r="B1178" s="82">
        <f>IF('6C'!B28&lt;&gt;"",'6C'!B28,"")</f>
        <v/>
      </c>
      <c r="C1178" s="82">
        <f>IF('6C'!B28&lt;&gt;"",'6C'!C28,"")</f>
        <v/>
      </c>
      <c r="D1178" s="82">
        <f>IF('6C'!B28&lt;&gt;"",'6C'!D28,"")</f>
        <v/>
      </c>
      <c r="E1178" s="82">
        <f>IF('6C'!B28&lt;&gt;"",'6C'!E28,"")</f>
        <v/>
      </c>
      <c r="F1178" s="82">
        <f>IF('6C'!B28&lt;&gt;"",'6C'!F28,"")</f>
        <v/>
      </c>
      <c r="G1178" s="82">
        <f>IF('6C'!B28&lt;&gt;"",'6C'!G28,"")</f>
        <v/>
      </c>
      <c r="H1178" s="92">
        <f>IF('6C'!B28&lt;&gt;"",'6C'!H28,"")</f>
        <v/>
      </c>
      <c r="I1178" s="92">
        <f>IF('6C'!B28&lt;&gt;"",'6C'!I28,"")</f>
        <v/>
      </c>
      <c r="J1178" s="82">
        <f>IF('6C'!B28&lt;&gt;"",'6C'!J28,"")</f>
        <v/>
      </c>
    </row>
    <row r="1179" ht="15.75" customHeight="1" s="52">
      <c r="A1179" s="97">
        <f>IF('6C'!B29&lt;&gt;"","6C","")</f>
        <v/>
      </c>
      <c r="B1179" s="78">
        <f>IF('6C'!B29&lt;&gt;"",'6C'!B29,"")</f>
        <v/>
      </c>
      <c r="C1179" s="78">
        <f>IF('6C'!B29&lt;&gt;"",'6C'!C29,"")</f>
        <v/>
      </c>
      <c r="D1179" s="78">
        <f>IF('6C'!B29&lt;&gt;"",'6C'!D29,"")</f>
        <v/>
      </c>
      <c r="E1179" s="78">
        <f>IF('6C'!B29&lt;&gt;"",'6C'!E29,"")</f>
        <v/>
      </c>
      <c r="F1179" s="78">
        <f>IF('6C'!B29&lt;&gt;"",'6C'!F29,"")</f>
        <v/>
      </c>
      <c r="G1179" s="78">
        <f>IF('6C'!B29&lt;&gt;"",'6C'!G29,"")</f>
        <v/>
      </c>
      <c r="H1179" s="97">
        <f>IF('6C'!B29&lt;&gt;"",'6C'!H29,"")</f>
        <v/>
      </c>
      <c r="I1179" s="97">
        <f>IF('6C'!B29&lt;&gt;"",'6C'!I29,"")</f>
        <v/>
      </c>
      <c r="J1179" s="78">
        <f>IF('6C'!B29&lt;&gt;"",'6C'!J29,"")</f>
        <v/>
      </c>
    </row>
    <row r="1180" ht="15.75" customHeight="1" s="52">
      <c r="A1180" s="92">
        <f>IF('6C'!B30&lt;&gt;"","6C","")</f>
        <v/>
      </c>
      <c r="B1180" s="82">
        <f>IF('6C'!B30&lt;&gt;"",'6C'!B30,"")</f>
        <v/>
      </c>
      <c r="C1180" s="82">
        <f>IF('6C'!B30&lt;&gt;"",'6C'!C30,"")</f>
        <v/>
      </c>
      <c r="D1180" s="82">
        <f>IF('6C'!B30&lt;&gt;"",'6C'!D30,"")</f>
        <v/>
      </c>
      <c r="E1180" s="82">
        <f>IF('6C'!B30&lt;&gt;"",'6C'!E30,"")</f>
        <v/>
      </c>
      <c r="F1180" s="82">
        <f>IF('6C'!B30&lt;&gt;"",'6C'!F30,"")</f>
        <v/>
      </c>
      <c r="G1180" s="82">
        <f>IF('6C'!B30&lt;&gt;"",'6C'!G30,"")</f>
        <v/>
      </c>
      <c r="H1180" s="92">
        <f>IF('6C'!B30&lt;&gt;"",'6C'!H30,"")</f>
        <v/>
      </c>
      <c r="I1180" s="92">
        <f>IF('6C'!B30&lt;&gt;"",'6C'!I30,"")</f>
        <v/>
      </c>
      <c r="J1180" s="82">
        <f>IF('6C'!B30&lt;&gt;"",'6C'!J30,"")</f>
        <v/>
      </c>
    </row>
    <row r="1181" ht="15.75" customHeight="1" s="52">
      <c r="A1181" s="97">
        <f>IF('6C'!B31&lt;&gt;"","6C","")</f>
        <v/>
      </c>
      <c r="B1181" s="78">
        <f>IF('6C'!B31&lt;&gt;"",'6C'!B31,"")</f>
        <v/>
      </c>
      <c r="C1181" s="78">
        <f>IF('6C'!B31&lt;&gt;"",'6C'!C31,"")</f>
        <v/>
      </c>
      <c r="D1181" s="78">
        <f>IF('6C'!B31&lt;&gt;"",'6C'!D31,"")</f>
        <v/>
      </c>
      <c r="E1181" s="78">
        <f>IF('6C'!B31&lt;&gt;"",'6C'!E31,"")</f>
        <v/>
      </c>
      <c r="F1181" s="78">
        <f>IF('6C'!B31&lt;&gt;"",'6C'!F31,"")</f>
        <v/>
      </c>
      <c r="G1181" s="78">
        <f>IF('6C'!B31&lt;&gt;"",'6C'!G31,"")</f>
        <v/>
      </c>
      <c r="H1181" s="97">
        <f>IF('6C'!B31&lt;&gt;"",'6C'!H31,"")</f>
        <v/>
      </c>
      <c r="I1181" s="97">
        <f>IF('6C'!B31&lt;&gt;"",'6C'!I31,"")</f>
        <v/>
      </c>
      <c r="J1181" s="78">
        <f>IF('6C'!B31&lt;&gt;"",'6C'!J31,"")</f>
        <v/>
      </c>
    </row>
    <row r="1182" ht="15.75" customHeight="1" s="52">
      <c r="A1182" s="92">
        <f>IF('6C'!B32&lt;&gt;"","6C","")</f>
        <v/>
      </c>
      <c r="B1182" s="82">
        <f>IF('6C'!B32&lt;&gt;"",'6C'!B32,"")</f>
        <v/>
      </c>
      <c r="C1182" s="82">
        <f>IF('6C'!B32&lt;&gt;"",'6C'!C32,"")</f>
        <v/>
      </c>
      <c r="D1182" s="82">
        <f>IF('6C'!B32&lt;&gt;"",'6C'!D32,"")</f>
        <v/>
      </c>
      <c r="E1182" s="82">
        <f>IF('6C'!B32&lt;&gt;"",'6C'!E32,"")</f>
        <v/>
      </c>
      <c r="F1182" s="82">
        <f>IF('6C'!B32&lt;&gt;"",'6C'!F32,"")</f>
        <v/>
      </c>
      <c r="G1182" s="82">
        <f>IF('6C'!B32&lt;&gt;"",'6C'!G32,"")</f>
        <v/>
      </c>
      <c r="H1182" s="92">
        <f>IF('6C'!B32&lt;&gt;"",'6C'!H32,"")</f>
        <v/>
      </c>
      <c r="I1182" s="92">
        <f>IF('6C'!B32&lt;&gt;"",'6C'!I32,"")</f>
        <v/>
      </c>
      <c r="J1182" s="82">
        <f>IF('6C'!B32&lt;&gt;"",'6C'!J32,"")</f>
        <v/>
      </c>
    </row>
    <row r="1183" ht="15.75" customHeight="1" s="52">
      <c r="A1183" s="97">
        <f>IF('6C'!B33&lt;&gt;"","6C","")</f>
        <v/>
      </c>
      <c r="B1183" s="78">
        <f>IF('6C'!B33&lt;&gt;"",'6C'!B33,"")</f>
        <v/>
      </c>
      <c r="C1183" s="78">
        <f>IF('6C'!B33&lt;&gt;"",'6C'!C33,"")</f>
        <v/>
      </c>
      <c r="D1183" s="78">
        <f>IF('6C'!B33&lt;&gt;"",'6C'!D33,"")</f>
        <v/>
      </c>
      <c r="E1183" s="78">
        <f>IF('6C'!B33&lt;&gt;"",'6C'!E33,"")</f>
        <v/>
      </c>
      <c r="F1183" s="78">
        <f>IF('6C'!B33&lt;&gt;"",'6C'!F33,"")</f>
        <v/>
      </c>
      <c r="G1183" s="78">
        <f>IF('6C'!B33&lt;&gt;"",'6C'!G33,"")</f>
        <v/>
      </c>
      <c r="H1183" s="97">
        <f>IF('6C'!B33&lt;&gt;"",'6C'!H33,"")</f>
        <v/>
      </c>
      <c r="I1183" s="97">
        <f>IF('6C'!B33&lt;&gt;"",'6C'!I33,"")</f>
        <v/>
      </c>
      <c r="J1183" s="78">
        <f>IF('6C'!B33&lt;&gt;"",'6C'!J33,"")</f>
        <v/>
      </c>
    </row>
    <row r="1184" ht="15.75" customHeight="1" s="52">
      <c r="A1184" s="92">
        <f>IF('6C'!B34&lt;&gt;"","6C","")</f>
        <v/>
      </c>
      <c r="B1184" s="82">
        <f>IF('6C'!B34&lt;&gt;"",'6C'!B34,"")</f>
        <v/>
      </c>
      <c r="C1184" s="82">
        <f>IF('6C'!B34&lt;&gt;"",'6C'!C34,"")</f>
        <v/>
      </c>
      <c r="D1184" s="82">
        <f>IF('6C'!B34&lt;&gt;"",'6C'!D34,"")</f>
        <v/>
      </c>
      <c r="E1184" s="82">
        <f>IF('6C'!B34&lt;&gt;"",'6C'!E34,"")</f>
        <v/>
      </c>
      <c r="F1184" s="82">
        <f>IF('6C'!B34&lt;&gt;"",'6C'!F34,"")</f>
        <v/>
      </c>
      <c r="G1184" s="82">
        <f>IF('6C'!B34&lt;&gt;"",'6C'!G34,"")</f>
        <v/>
      </c>
      <c r="H1184" s="92">
        <f>IF('6C'!B34&lt;&gt;"",'6C'!H34,"")</f>
        <v/>
      </c>
      <c r="I1184" s="92">
        <f>IF('6C'!B34&lt;&gt;"",'6C'!I34,"")</f>
        <v/>
      </c>
      <c r="J1184" s="82">
        <f>IF('6C'!B34&lt;&gt;"",'6C'!J34,"")</f>
        <v/>
      </c>
    </row>
    <row r="1185" ht="15.75" customHeight="1" s="52">
      <c r="A1185" s="97">
        <f>IF('6C'!B35&lt;&gt;"","6C","")</f>
        <v/>
      </c>
      <c r="B1185" s="78">
        <f>IF('6C'!B35&lt;&gt;"",'6C'!B35,"")</f>
        <v/>
      </c>
      <c r="C1185" s="78">
        <f>IF('6C'!B35&lt;&gt;"",'6C'!C35,"")</f>
        <v/>
      </c>
      <c r="D1185" s="78">
        <f>IF('6C'!B35&lt;&gt;"",'6C'!D35,"")</f>
        <v/>
      </c>
      <c r="E1185" s="78">
        <f>IF('6C'!B35&lt;&gt;"",'6C'!E35,"")</f>
        <v/>
      </c>
      <c r="F1185" s="78">
        <f>IF('6C'!B35&lt;&gt;"",'6C'!F35,"")</f>
        <v/>
      </c>
      <c r="G1185" s="78">
        <f>IF('6C'!B35&lt;&gt;"",'6C'!G35,"")</f>
        <v/>
      </c>
      <c r="H1185" s="97">
        <f>IF('6C'!B35&lt;&gt;"",'6C'!H35,"")</f>
        <v/>
      </c>
      <c r="I1185" s="97">
        <f>IF('6C'!B35&lt;&gt;"",'6C'!I35,"")</f>
        <v/>
      </c>
      <c r="J1185" s="78">
        <f>IF('6C'!B35&lt;&gt;"",'6C'!J35,"")</f>
        <v/>
      </c>
    </row>
    <row r="1186" ht="15.75" customHeight="1" s="52">
      <c r="A1186" s="92">
        <f>IF('6C'!B36&lt;&gt;"","6C","")</f>
        <v/>
      </c>
      <c r="B1186" s="82">
        <f>IF('6C'!B36&lt;&gt;"",'6C'!B36,"")</f>
        <v/>
      </c>
      <c r="C1186" s="82">
        <f>IF('6C'!B36&lt;&gt;"",'6C'!C36,"")</f>
        <v/>
      </c>
      <c r="D1186" s="82">
        <f>IF('6C'!B36&lt;&gt;"",'6C'!D36,"")</f>
        <v/>
      </c>
      <c r="E1186" s="82">
        <f>IF('6C'!B36&lt;&gt;"",'6C'!E36,"")</f>
        <v/>
      </c>
      <c r="F1186" s="82">
        <f>IF('6C'!B36&lt;&gt;"",'6C'!F36,"")</f>
        <v/>
      </c>
      <c r="G1186" s="82">
        <f>IF('6C'!B36&lt;&gt;"",'6C'!G36,"")</f>
        <v/>
      </c>
      <c r="H1186" s="92">
        <f>IF('6C'!B36&lt;&gt;"",'6C'!H36,"")</f>
        <v/>
      </c>
      <c r="I1186" s="92">
        <f>IF('6C'!B36&lt;&gt;"",'6C'!I36,"")</f>
        <v/>
      </c>
      <c r="J1186" s="82">
        <f>IF('6C'!B36&lt;&gt;"",'6C'!J36,"")</f>
        <v/>
      </c>
    </row>
    <row r="1187" ht="15.75" customHeight="1" s="52">
      <c r="A1187" s="97">
        <f>IF('6C'!B37&lt;&gt;"","6C","")</f>
        <v/>
      </c>
      <c r="B1187" s="78">
        <f>IF('6C'!B37&lt;&gt;"",'6C'!B37,"")</f>
        <v/>
      </c>
      <c r="C1187" s="78">
        <f>IF('6C'!B37&lt;&gt;"",'6C'!C37,"")</f>
        <v/>
      </c>
      <c r="D1187" s="78">
        <f>IF('6C'!B37&lt;&gt;"",'6C'!D37,"")</f>
        <v/>
      </c>
      <c r="E1187" s="78">
        <f>IF('6C'!B37&lt;&gt;"",'6C'!E37,"")</f>
        <v/>
      </c>
      <c r="F1187" s="78">
        <f>IF('6C'!B37&lt;&gt;"",'6C'!F37,"")</f>
        <v/>
      </c>
      <c r="G1187" s="78">
        <f>IF('6C'!B37&lt;&gt;"",'6C'!G37,"")</f>
        <v/>
      </c>
      <c r="H1187" s="97">
        <f>IF('6C'!B37&lt;&gt;"",'6C'!H37,"")</f>
        <v/>
      </c>
      <c r="I1187" s="97">
        <f>IF('6C'!B37&lt;&gt;"",'6C'!I37,"")</f>
        <v/>
      </c>
      <c r="J1187" s="78">
        <f>IF('6C'!B37&lt;&gt;"",'6C'!J37,"")</f>
        <v/>
      </c>
    </row>
    <row r="1188" ht="15.75" customHeight="1" s="52">
      <c r="A1188" s="92">
        <f>IF('6C'!B38&lt;&gt;"","6C","")</f>
        <v/>
      </c>
      <c r="B1188" s="82">
        <f>IF('6C'!B38&lt;&gt;"",'6C'!B38,"")</f>
        <v/>
      </c>
      <c r="C1188" s="82">
        <f>IF('6C'!B38&lt;&gt;"",'6C'!C38,"")</f>
        <v/>
      </c>
      <c r="D1188" s="82">
        <f>IF('6C'!B38&lt;&gt;"",'6C'!D38,"")</f>
        <v/>
      </c>
      <c r="E1188" s="82">
        <f>IF('6C'!B38&lt;&gt;"",'6C'!E38,"")</f>
        <v/>
      </c>
      <c r="F1188" s="82">
        <f>IF('6C'!B38&lt;&gt;"",'6C'!F38,"")</f>
        <v/>
      </c>
      <c r="G1188" s="82">
        <f>IF('6C'!B38&lt;&gt;"",'6C'!G38,"")</f>
        <v/>
      </c>
      <c r="H1188" s="92">
        <f>IF('6C'!B38&lt;&gt;"",'6C'!H38,"")</f>
        <v/>
      </c>
      <c r="I1188" s="92">
        <f>IF('6C'!B38&lt;&gt;"",'6C'!I38,"")</f>
        <v/>
      </c>
      <c r="J1188" s="82">
        <f>IF('6C'!B38&lt;&gt;"",'6C'!J38,"")</f>
        <v/>
      </c>
    </row>
    <row r="1189" ht="15.75" customHeight="1" s="52">
      <c r="A1189" s="97">
        <f>IF('6C'!B39&lt;&gt;"","6C","")</f>
        <v/>
      </c>
      <c r="B1189" s="78">
        <f>IF('6C'!B39&lt;&gt;"",'6C'!B39,"")</f>
        <v/>
      </c>
      <c r="C1189" s="78">
        <f>IF('6C'!B39&lt;&gt;"",'6C'!C39,"")</f>
        <v/>
      </c>
      <c r="D1189" s="78">
        <f>IF('6C'!B39&lt;&gt;"",'6C'!D39,"")</f>
        <v/>
      </c>
      <c r="E1189" s="78">
        <f>IF('6C'!B39&lt;&gt;"",'6C'!E39,"")</f>
        <v/>
      </c>
      <c r="F1189" s="78">
        <f>IF('6C'!B39&lt;&gt;"",'6C'!F39,"")</f>
        <v/>
      </c>
      <c r="G1189" s="78">
        <f>IF('6C'!B39&lt;&gt;"",'6C'!G39,"")</f>
        <v/>
      </c>
      <c r="H1189" s="97">
        <f>IF('6C'!B39&lt;&gt;"",'6C'!H39,"")</f>
        <v/>
      </c>
      <c r="I1189" s="97">
        <f>IF('6C'!B39&lt;&gt;"",'6C'!I39,"")</f>
        <v/>
      </c>
      <c r="J1189" s="78">
        <f>IF('6C'!B39&lt;&gt;"",'6C'!J39,"")</f>
        <v/>
      </c>
    </row>
    <row r="1190" ht="15.75" customHeight="1" s="52">
      <c r="A1190" s="92">
        <f>IF('6C'!B40&lt;&gt;"","6C","")</f>
        <v/>
      </c>
      <c r="B1190" s="82">
        <f>IF('6C'!B40&lt;&gt;"",'6C'!B40,"")</f>
        <v/>
      </c>
      <c r="C1190" s="82">
        <f>IF('6C'!B40&lt;&gt;"",'6C'!C40,"")</f>
        <v/>
      </c>
      <c r="D1190" s="82">
        <f>IF('6C'!B40&lt;&gt;"",'6C'!D40,"")</f>
        <v/>
      </c>
      <c r="E1190" s="82">
        <f>IF('6C'!B40&lt;&gt;"",'6C'!E40,"")</f>
        <v/>
      </c>
      <c r="F1190" s="82">
        <f>IF('6C'!B40&lt;&gt;"",'6C'!F40,"")</f>
        <v/>
      </c>
      <c r="G1190" s="82">
        <f>IF('6C'!B40&lt;&gt;"",'6C'!G40,"")</f>
        <v/>
      </c>
      <c r="H1190" s="92">
        <f>IF('6C'!B40&lt;&gt;"",'6C'!H40,"")</f>
        <v/>
      </c>
      <c r="I1190" s="92">
        <f>IF('6C'!B40&lt;&gt;"",'6C'!I40,"")</f>
        <v/>
      </c>
      <c r="J1190" s="82">
        <f>IF('6C'!B40&lt;&gt;"",'6C'!J40,"")</f>
        <v/>
      </c>
    </row>
    <row r="1191" ht="15.75" customHeight="1" s="52">
      <c r="A1191" s="97">
        <f>IF('6C'!B41&lt;&gt;"","6C","")</f>
        <v/>
      </c>
      <c r="B1191" s="78">
        <f>IF('6C'!B41&lt;&gt;"",'6C'!B41,"")</f>
        <v/>
      </c>
      <c r="C1191" s="78">
        <f>IF('6C'!B41&lt;&gt;"",'6C'!C41,"")</f>
        <v/>
      </c>
      <c r="D1191" s="78">
        <f>IF('6C'!B41&lt;&gt;"",'6C'!D41,"")</f>
        <v/>
      </c>
      <c r="E1191" s="78">
        <f>IF('6C'!B41&lt;&gt;"",'6C'!E41,"")</f>
        <v/>
      </c>
      <c r="F1191" s="78">
        <f>IF('6C'!B41&lt;&gt;"",'6C'!F41,"")</f>
        <v/>
      </c>
      <c r="G1191" s="78">
        <f>IF('6C'!B41&lt;&gt;"",'6C'!G41,"")</f>
        <v/>
      </c>
      <c r="H1191" s="97">
        <f>IF('6C'!B41&lt;&gt;"",'6C'!H41,"")</f>
        <v/>
      </c>
      <c r="I1191" s="97">
        <f>IF('6C'!B41&lt;&gt;"",'6C'!I41,"")</f>
        <v/>
      </c>
      <c r="J1191" s="78">
        <f>IF('6C'!B41&lt;&gt;"",'6C'!J41,"")</f>
        <v/>
      </c>
    </row>
    <row r="1192" ht="15.75" customHeight="1" s="52">
      <c r="A1192" s="92">
        <f>IF('6C'!B42&lt;&gt;"","6C","")</f>
        <v/>
      </c>
      <c r="B1192" s="82">
        <f>IF('6C'!B42&lt;&gt;"",'6C'!B42,"")</f>
        <v/>
      </c>
      <c r="C1192" s="82">
        <f>IF('6C'!B42&lt;&gt;"",'6C'!C42,"")</f>
        <v/>
      </c>
      <c r="D1192" s="82">
        <f>IF('6C'!B42&lt;&gt;"",'6C'!D42,"")</f>
        <v/>
      </c>
      <c r="E1192" s="82">
        <f>IF('6C'!B42&lt;&gt;"",'6C'!E42,"")</f>
        <v/>
      </c>
      <c r="F1192" s="82">
        <f>IF('6C'!B42&lt;&gt;"",'6C'!F42,"")</f>
        <v/>
      </c>
      <c r="G1192" s="82">
        <f>IF('6C'!B42&lt;&gt;"",'6C'!G42,"")</f>
        <v/>
      </c>
      <c r="H1192" s="92">
        <f>IF('6C'!B42&lt;&gt;"",'6C'!H42,"")</f>
        <v/>
      </c>
      <c r="I1192" s="92">
        <f>IF('6C'!B42&lt;&gt;"",'6C'!I42,"")</f>
        <v/>
      </c>
      <c r="J1192" s="82">
        <f>IF('6C'!B42&lt;&gt;"",'6C'!J42,"")</f>
        <v/>
      </c>
    </row>
    <row r="1193" ht="15.75" customHeight="1" s="52">
      <c r="A1193" s="97">
        <f>IF('6C'!B43&lt;&gt;"","6C","")</f>
        <v/>
      </c>
      <c r="B1193" s="78">
        <f>IF('6C'!B43&lt;&gt;"",'6C'!B43,"")</f>
        <v/>
      </c>
      <c r="C1193" s="78">
        <f>IF('6C'!B43&lt;&gt;"",'6C'!C43,"")</f>
        <v/>
      </c>
      <c r="D1193" s="78">
        <f>IF('6C'!B43&lt;&gt;"",'6C'!D43,"")</f>
        <v/>
      </c>
      <c r="E1193" s="78">
        <f>IF('6C'!B43&lt;&gt;"",'6C'!E43,"")</f>
        <v/>
      </c>
      <c r="F1193" s="78">
        <f>IF('6C'!B43&lt;&gt;"",'6C'!F43,"")</f>
        <v/>
      </c>
      <c r="G1193" s="78">
        <f>IF('6C'!B43&lt;&gt;"",'6C'!G43,"")</f>
        <v/>
      </c>
      <c r="H1193" s="97">
        <f>IF('6C'!B43&lt;&gt;"",'6C'!H43,"")</f>
        <v/>
      </c>
      <c r="I1193" s="97">
        <f>IF('6C'!B43&lt;&gt;"",'6C'!I43,"")</f>
        <v/>
      </c>
      <c r="J1193" s="78">
        <f>IF('6C'!B43&lt;&gt;"",'6C'!J43,"")</f>
        <v/>
      </c>
    </row>
    <row r="1194" ht="15.75" customHeight="1" s="52">
      <c r="A1194" s="92">
        <f>IF('6C'!B44&lt;&gt;"","6C","")</f>
        <v/>
      </c>
      <c r="B1194" s="82">
        <f>IF('6C'!B44&lt;&gt;"",'6C'!B44,"")</f>
        <v/>
      </c>
      <c r="C1194" s="82">
        <f>IF('6C'!B44&lt;&gt;"",'6C'!C44,"")</f>
        <v/>
      </c>
      <c r="D1194" s="82">
        <f>IF('6C'!B44&lt;&gt;"",'6C'!D44,"")</f>
        <v/>
      </c>
      <c r="E1194" s="82">
        <f>IF('6C'!B44&lt;&gt;"",'6C'!E44,"")</f>
        <v/>
      </c>
      <c r="F1194" s="82">
        <f>IF('6C'!B44&lt;&gt;"",'6C'!F44,"")</f>
        <v/>
      </c>
      <c r="G1194" s="82">
        <f>IF('6C'!B44&lt;&gt;"",'6C'!G44,"")</f>
        <v/>
      </c>
      <c r="H1194" s="92">
        <f>IF('6C'!B44&lt;&gt;"",'6C'!H44,"")</f>
        <v/>
      </c>
      <c r="I1194" s="92">
        <f>IF('6C'!B44&lt;&gt;"",'6C'!I44,"")</f>
        <v/>
      </c>
      <c r="J1194" s="82">
        <f>IF('6C'!B44&lt;&gt;"",'6C'!J44,"")</f>
        <v/>
      </c>
    </row>
    <row r="1195" ht="15.75" customHeight="1" s="52">
      <c r="A1195" s="97">
        <f>IF('6C'!B45&lt;&gt;"","6C","")</f>
        <v/>
      </c>
      <c r="B1195" s="78">
        <f>IF('6C'!B45&lt;&gt;"",'6C'!B45,"")</f>
        <v/>
      </c>
      <c r="C1195" s="78">
        <f>IF('6C'!B45&lt;&gt;"",'6C'!C45,"")</f>
        <v/>
      </c>
      <c r="D1195" s="78">
        <f>IF('6C'!B45&lt;&gt;"",'6C'!D45,"")</f>
        <v/>
      </c>
      <c r="E1195" s="78">
        <f>IF('6C'!B45&lt;&gt;"",'6C'!E45,"")</f>
        <v/>
      </c>
      <c r="F1195" s="78">
        <f>IF('6C'!B45&lt;&gt;"",'6C'!F45,"")</f>
        <v/>
      </c>
      <c r="G1195" s="78">
        <f>IF('6C'!B45&lt;&gt;"",'6C'!G45,"")</f>
        <v/>
      </c>
      <c r="H1195" s="97">
        <f>IF('6C'!B45&lt;&gt;"",'6C'!H45,"")</f>
        <v/>
      </c>
      <c r="I1195" s="97">
        <f>IF('6C'!B45&lt;&gt;"",'6C'!I45,"")</f>
        <v/>
      </c>
      <c r="J1195" s="78">
        <f>IF('6C'!B45&lt;&gt;"",'6C'!J45,"")</f>
        <v/>
      </c>
    </row>
    <row r="1196" ht="15.75" customHeight="1" s="52">
      <c r="A1196" s="92">
        <f>IF('6C'!B46&lt;&gt;"","6C","")</f>
        <v/>
      </c>
      <c r="B1196" s="82">
        <f>IF('6C'!B46&lt;&gt;"",'6C'!B46,"")</f>
        <v/>
      </c>
      <c r="C1196" s="82">
        <f>IF('6C'!B46&lt;&gt;"",'6C'!C46,"")</f>
        <v/>
      </c>
      <c r="D1196" s="82">
        <f>IF('6C'!B46&lt;&gt;"",'6C'!D46,"")</f>
        <v/>
      </c>
      <c r="E1196" s="82">
        <f>IF('6C'!B46&lt;&gt;"",'6C'!E46,"")</f>
        <v/>
      </c>
      <c r="F1196" s="82">
        <f>IF('6C'!B46&lt;&gt;"",'6C'!F46,"")</f>
        <v/>
      </c>
      <c r="G1196" s="82">
        <f>IF('6C'!B46&lt;&gt;"",'6C'!G46,"")</f>
        <v/>
      </c>
      <c r="H1196" s="92">
        <f>IF('6C'!B46&lt;&gt;"",'6C'!H46,"")</f>
        <v/>
      </c>
      <c r="I1196" s="92">
        <f>IF('6C'!B46&lt;&gt;"",'6C'!I46,"")</f>
        <v/>
      </c>
      <c r="J1196" s="82">
        <f>IF('6C'!B46&lt;&gt;"",'6C'!J46,"")</f>
        <v/>
      </c>
    </row>
    <row r="1197" ht="15.75" customHeight="1" s="52">
      <c r="A1197" s="97">
        <f>IF('6C'!B47&lt;&gt;"","6C","")</f>
        <v/>
      </c>
      <c r="B1197" s="78">
        <f>IF('6C'!B47&lt;&gt;"",'6C'!B47,"")</f>
        <v/>
      </c>
      <c r="C1197" s="78">
        <f>IF('6C'!B47&lt;&gt;"",'6C'!C47,"")</f>
        <v/>
      </c>
      <c r="D1197" s="78">
        <f>IF('6C'!B47&lt;&gt;"",'6C'!D47,"")</f>
        <v/>
      </c>
      <c r="E1197" s="78">
        <f>IF('6C'!B47&lt;&gt;"",'6C'!E47,"")</f>
        <v/>
      </c>
      <c r="F1197" s="78">
        <f>IF('6C'!B47&lt;&gt;"",'6C'!F47,"")</f>
        <v/>
      </c>
      <c r="G1197" s="78">
        <f>IF('6C'!B47&lt;&gt;"",'6C'!G47,"")</f>
        <v/>
      </c>
      <c r="H1197" s="97">
        <f>IF('6C'!B47&lt;&gt;"",'6C'!H47,"")</f>
        <v/>
      </c>
      <c r="I1197" s="97">
        <f>IF('6C'!B47&lt;&gt;"",'6C'!I47,"")</f>
        <v/>
      </c>
      <c r="J1197" s="78">
        <f>IF('6C'!B47&lt;&gt;"",'6C'!J47,"")</f>
        <v/>
      </c>
    </row>
    <row r="1198" ht="15.75" customHeight="1" s="52">
      <c r="A1198" s="92">
        <f>IF('6C'!B48&lt;&gt;"","6C","")</f>
        <v/>
      </c>
      <c r="B1198" s="82">
        <f>IF('6C'!B48&lt;&gt;"",'6C'!B48,"")</f>
        <v/>
      </c>
      <c r="C1198" s="82">
        <f>IF('6C'!B48&lt;&gt;"",'6C'!C48,"")</f>
        <v/>
      </c>
      <c r="D1198" s="82">
        <f>IF('6C'!B48&lt;&gt;"",'6C'!D48,"")</f>
        <v/>
      </c>
      <c r="E1198" s="82">
        <f>IF('6C'!B48&lt;&gt;"",'6C'!E48,"")</f>
        <v/>
      </c>
      <c r="F1198" s="82">
        <f>IF('6C'!B48&lt;&gt;"",'6C'!F48,"")</f>
        <v/>
      </c>
      <c r="G1198" s="82">
        <f>IF('6C'!B48&lt;&gt;"",'6C'!G48,"")</f>
        <v/>
      </c>
      <c r="H1198" s="92">
        <f>IF('6C'!B48&lt;&gt;"",'6C'!H48,"")</f>
        <v/>
      </c>
      <c r="I1198" s="92">
        <f>IF('6C'!B48&lt;&gt;"",'6C'!I48,"")</f>
        <v/>
      </c>
      <c r="J1198" s="82">
        <f>IF('6C'!B48&lt;&gt;"",'6C'!J48,"")</f>
        <v/>
      </c>
    </row>
    <row r="1199" ht="15.75" customHeight="1" s="52">
      <c r="A1199" s="97">
        <f>IF('6C'!B49&lt;&gt;"","6C","")</f>
        <v/>
      </c>
      <c r="B1199" s="78">
        <f>IF('6C'!B49&lt;&gt;"",'6C'!B49,"")</f>
        <v/>
      </c>
      <c r="C1199" s="78">
        <f>IF('6C'!B49&lt;&gt;"",'6C'!C49,"")</f>
        <v/>
      </c>
      <c r="D1199" s="78">
        <f>IF('6C'!B49&lt;&gt;"",'6C'!D49,"")</f>
        <v/>
      </c>
      <c r="E1199" s="78">
        <f>IF('6C'!B49&lt;&gt;"",'6C'!E49,"")</f>
        <v/>
      </c>
      <c r="F1199" s="78">
        <f>IF('6C'!B49&lt;&gt;"",'6C'!F49,"")</f>
        <v/>
      </c>
      <c r="G1199" s="78">
        <f>IF('6C'!B49&lt;&gt;"",'6C'!G49,"")</f>
        <v/>
      </c>
      <c r="H1199" s="97">
        <f>IF('6C'!B49&lt;&gt;"",'6C'!H49,"")</f>
        <v/>
      </c>
      <c r="I1199" s="97">
        <f>IF('6C'!B49&lt;&gt;"",'6C'!I49,"")</f>
        <v/>
      </c>
      <c r="J1199" s="78">
        <f>IF('6C'!B49&lt;&gt;"",'6C'!J49,"")</f>
        <v/>
      </c>
    </row>
    <row r="1200" ht="15.75" customHeight="1" s="52">
      <c r="A1200" s="92">
        <f>IF('6C'!B50&lt;&gt;"","6C","")</f>
        <v/>
      </c>
      <c r="B1200" s="82">
        <f>IF('6C'!B50&lt;&gt;"",'6C'!B50,"")</f>
        <v/>
      </c>
      <c r="C1200" s="82">
        <f>IF('6C'!B50&lt;&gt;"",'6C'!C50,"")</f>
        <v/>
      </c>
      <c r="D1200" s="82">
        <f>IF('6C'!B50&lt;&gt;"",'6C'!D50,"")</f>
        <v/>
      </c>
      <c r="E1200" s="82">
        <f>IF('6C'!B50&lt;&gt;"",'6C'!E50,"")</f>
        <v/>
      </c>
      <c r="F1200" s="82">
        <f>IF('6C'!B50&lt;&gt;"",'6C'!F50,"")</f>
        <v/>
      </c>
      <c r="G1200" s="82">
        <f>IF('6C'!B50&lt;&gt;"",'6C'!G50,"")</f>
        <v/>
      </c>
      <c r="H1200" s="92">
        <f>IF('6C'!B50&lt;&gt;"",'6C'!H50,"")</f>
        <v/>
      </c>
      <c r="I1200" s="92">
        <f>IF('6C'!B50&lt;&gt;"",'6C'!I50,"")</f>
        <v/>
      </c>
      <c r="J1200" s="82">
        <f>IF('6C'!B50&lt;&gt;"",'6C'!J50,"")</f>
        <v/>
      </c>
    </row>
    <row r="1201" ht="15.75" customHeight="1" s="52">
      <c r="A1201" s="97">
        <f>IF('6C'!B51&lt;&gt;"","6C","")</f>
        <v/>
      </c>
      <c r="B1201" s="78">
        <f>IF('6C'!B51&lt;&gt;"",'6C'!B51,"")</f>
        <v/>
      </c>
      <c r="C1201" s="78">
        <f>IF('6C'!B51&lt;&gt;"",'6C'!C51,"")</f>
        <v/>
      </c>
      <c r="D1201" s="78">
        <f>IF('6C'!B51&lt;&gt;"",'6C'!D51,"")</f>
        <v/>
      </c>
      <c r="E1201" s="78">
        <f>IF('6C'!B51&lt;&gt;"",'6C'!E51,"")</f>
        <v/>
      </c>
      <c r="F1201" s="78">
        <f>IF('6C'!B51&lt;&gt;"",'6C'!F51,"")</f>
        <v/>
      </c>
      <c r="G1201" s="78">
        <f>IF('6C'!B51&lt;&gt;"",'6C'!G51,"")</f>
        <v/>
      </c>
      <c r="H1201" s="97">
        <f>IF('6C'!B51&lt;&gt;"",'6C'!H51,"")</f>
        <v/>
      </c>
      <c r="I1201" s="97">
        <f>IF('6C'!B51&lt;&gt;"",'6C'!I51,"")</f>
        <v/>
      </c>
      <c r="J1201" s="78">
        <f>IF('6C'!B51&lt;&gt;"",'6C'!J51,"")</f>
        <v/>
      </c>
    </row>
    <row r="1202" ht="15.75" customHeight="1" s="52">
      <c r="A1202" s="92">
        <f>IF('6C'!B52&lt;&gt;"","6C","")</f>
        <v/>
      </c>
      <c r="B1202" s="82">
        <f>IF('6C'!B52&lt;&gt;"",'6C'!B52,"")</f>
        <v/>
      </c>
      <c r="C1202" s="82">
        <f>IF('6C'!B52&lt;&gt;"",'6C'!C52,"")</f>
        <v/>
      </c>
      <c r="D1202" s="82">
        <f>IF('6C'!B52&lt;&gt;"",'6C'!D52,"")</f>
        <v/>
      </c>
      <c r="E1202" s="82">
        <f>IF('6C'!B52&lt;&gt;"",'6C'!E52,"")</f>
        <v/>
      </c>
      <c r="F1202" s="82">
        <f>IF('6C'!B52&lt;&gt;"",'6C'!F52,"")</f>
        <v/>
      </c>
      <c r="G1202" s="82">
        <f>IF('6C'!B52&lt;&gt;"",'6C'!G52,"")</f>
        <v/>
      </c>
      <c r="H1202" s="92">
        <f>IF('6C'!B52&lt;&gt;"",'6C'!H52,"")</f>
        <v/>
      </c>
      <c r="I1202" s="92">
        <f>IF('6C'!B52&lt;&gt;"",'6C'!I52,"")</f>
        <v/>
      </c>
      <c r="J1202" s="82">
        <f>IF('6C'!B52&lt;&gt;"",'6C'!J52,"")</f>
        <v/>
      </c>
    </row>
    <row r="1203" ht="15.75" customHeight="1" s="52">
      <c r="A1203" s="97">
        <f>IF('6C'!B53&lt;&gt;"","6C","")</f>
        <v/>
      </c>
      <c r="B1203" s="78">
        <f>IF('6C'!B53&lt;&gt;"",'6C'!B53,"")</f>
        <v/>
      </c>
      <c r="C1203" s="78">
        <f>IF('6C'!B53&lt;&gt;"",'6C'!C53,"")</f>
        <v/>
      </c>
      <c r="D1203" s="78">
        <f>IF('6C'!B53&lt;&gt;"",'6C'!D53,"")</f>
        <v/>
      </c>
      <c r="E1203" s="78">
        <f>IF('6C'!B53&lt;&gt;"",'6C'!E53,"")</f>
        <v/>
      </c>
      <c r="F1203" s="78">
        <f>IF('6C'!B53&lt;&gt;"",'6C'!F53,"")</f>
        <v/>
      </c>
      <c r="G1203" s="78">
        <f>IF('6C'!B53&lt;&gt;"",'6C'!G53,"")</f>
        <v/>
      </c>
      <c r="H1203" s="97">
        <f>IF('6C'!B53&lt;&gt;"",'6C'!H53,"")</f>
        <v/>
      </c>
      <c r="I1203" s="97">
        <f>IF('6C'!B53&lt;&gt;"",'6C'!I53,"")</f>
        <v/>
      </c>
      <c r="J1203" s="78">
        <f>IF('6C'!B53&lt;&gt;"",'6C'!J53,"")</f>
        <v/>
      </c>
    </row>
    <row r="1204" ht="15.75" customHeight="1" s="52">
      <c r="A1204" s="92">
        <f>IF('6C'!B54&lt;&gt;"","6C","")</f>
        <v/>
      </c>
      <c r="B1204" s="82">
        <f>IF('6C'!B54&lt;&gt;"",'6C'!B54,"")</f>
        <v/>
      </c>
      <c r="C1204" s="82">
        <f>IF('6C'!B54&lt;&gt;"",'6C'!C54,"")</f>
        <v/>
      </c>
      <c r="D1204" s="82">
        <f>IF('6C'!B54&lt;&gt;"",'6C'!D54,"")</f>
        <v/>
      </c>
      <c r="E1204" s="82">
        <f>IF('6C'!B54&lt;&gt;"",'6C'!E54,"")</f>
        <v/>
      </c>
      <c r="F1204" s="82">
        <f>IF('6C'!B54&lt;&gt;"",'6C'!F54,"")</f>
        <v/>
      </c>
      <c r="G1204" s="82">
        <f>IF('6C'!B54&lt;&gt;"",'6C'!G54,"")</f>
        <v/>
      </c>
      <c r="H1204" s="92">
        <f>IF('6C'!B54&lt;&gt;"",'6C'!H54,"")</f>
        <v/>
      </c>
      <c r="I1204" s="92">
        <f>IF('6C'!B54&lt;&gt;"",'6C'!I54,"")</f>
        <v/>
      </c>
      <c r="J1204" s="82">
        <f>IF('6C'!B54&lt;&gt;"",'6C'!J54,"")</f>
        <v/>
      </c>
    </row>
    <row r="1205" ht="15.75" customHeight="1" s="52">
      <c r="A1205" s="97">
        <f>IF('7A'!B5&lt;&gt;"","7A","")</f>
        <v/>
      </c>
      <c r="B1205" s="78">
        <f>IF('7A'!B5&lt;&gt;"",'7A'!B5,"")</f>
        <v/>
      </c>
      <c r="C1205" s="78">
        <f>IF('7A'!B5&lt;&gt;"",'7A'!C5,"")</f>
        <v/>
      </c>
      <c r="D1205" s="78">
        <f>IF('7A'!B5&lt;&gt;"",'7A'!D5,"")</f>
        <v/>
      </c>
      <c r="E1205" s="78">
        <f>IF('7A'!B5&lt;&gt;"",'7A'!E5,"")</f>
        <v/>
      </c>
      <c r="F1205" s="78">
        <f>IF('7A'!B5&lt;&gt;"",'7A'!F5,"")</f>
        <v/>
      </c>
      <c r="G1205" s="78">
        <f>IF('7A'!B5&lt;&gt;"",'7A'!G5,"")</f>
        <v/>
      </c>
      <c r="H1205" s="97">
        <f>IF('7A'!B5&lt;&gt;"",'7A'!H5,"")</f>
        <v/>
      </c>
      <c r="I1205" s="97">
        <f>IF('7A'!B5&lt;&gt;"",'7A'!I5,"")</f>
        <v/>
      </c>
      <c r="J1205" s="78">
        <f>IF('7A'!B5&lt;&gt;"",'7A'!J5,"")</f>
        <v/>
      </c>
    </row>
    <row r="1206" ht="15.75" customHeight="1" s="52">
      <c r="A1206" s="92">
        <f>IF('7A'!B6&lt;&gt;"","7A","")</f>
        <v/>
      </c>
      <c r="B1206" s="82">
        <f>IF('7A'!B6&lt;&gt;"",'7A'!B6,"")</f>
        <v/>
      </c>
      <c r="C1206" s="82">
        <f>IF('7A'!B6&lt;&gt;"",'7A'!C6,"")</f>
        <v/>
      </c>
      <c r="D1206" s="82">
        <f>IF('7A'!B6&lt;&gt;"",'7A'!D6,"")</f>
        <v/>
      </c>
      <c r="E1206" s="82">
        <f>IF('7A'!B6&lt;&gt;"",'7A'!E6,"")</f>
        <v/>
      </c>
      <c r="F1206" s="82">
        <f>IF('7A'!B6&lt;&gt;"",'7A'!F6,"")</f>
        <v/>
      </c>
      <c r="G1206" s="82">
        <f>IF('7A'!B6&lt;&gt;"",'7A'!G6,"")</f>
        <v/>
      </c>
      <c r="H1206" s="92">
        <f>IF('7A'!B6&lt;&gt;"",'7A'!H6,"")</f>
        <v/>
      </c>
      <c r="I1206" s="92">
        <f>IF('7A'!B6&lt;&gt;"",'7A'!I6,"")</f>
        <v/>
      </c>
      <c r="J1206" s="82">
        <f>IF('7A'!B6&lt;&gt;"",'7A'!J6,"")</f>
        <v/>
      </c>
    </row>
    <row r="1207" ht="15.75" customHeight="1" s="52">
      <c r="A1207" s="97">
        <f>IF('7A'!B7&lt;&gt;"","7A","")</f>
        <v/>
      </c>
      <c r="B1207" s="78">
        <f>IF('7A'!B7&lt;&gt;"",'7A'!B7,"")</f>
        <v/>
      </c>
      <c r="C1207" s="78">
        <f>IF('7A'!B7&lt;&gt;"",'7A'!C7,"")</f>
        <v/>
      </c>
      <c r="D1207" s="78">
        <f>IF('7A'!B7&lt;&gt;"",'7A'!D7,"")</f>
        <v/>
      </c>
      <c r="E1207" s="78">
        <f>IF('7A'!B7&lt;&gt;"",'7A'!E7,"")</f>
        <v/>
      </c>
      <c r="F1207" s="78">
        <f>IF('7A'!B7&lt;&gt;"",'7A'!F7,"")</f>
        <v/>
      </c>
      <c r="G1207" s="78">
        <f>IF('7A'!B7&lt;&gt;"",'7A'!G7,"")</f>
        <v/>
      </c>
      <c r="H1207" s="97">
        <f>IF('7A'!B7&lt;&gt;"",'7A'!H7,"")</f>
        <v/>
      </c>
      <c r="I1207" s="97">
        <f>IF('7A'!B7&lt;&gt;"",'7A'!I7,"")</f>
        <v/>
      </c>
      <c r="J1207" s="78">
        <f>IF('7A'!B7&lt;&gt;"",'7A'!J7,"")</f>
        <v/>
      </c>
    </row>
    <row r="1208" ht="15.75" customHeight="1" s="52">
      <c r="A1208" s="92">
        <f>IF('7A'!B8&lt;&gt;"","7A","")</f>
        <v/>
      </c>
      <c r="B1208" s="82">
        <f>IF('7A'!B8&lt;&gt;"",'7A'!B8,"")</f>
        <v/>
      </c>
      <c r="C1208" s="82">
        <f>IF('7A'!B8&lt;&gt;"",'7A'!C8,"")</f>
        <v/>
      </c>
      <c r="D1208" s="82">
        <f>IF('7A'!B8&lt;&gt;"",'7A'!D8,"")</f>
        <v/>
      </c>
      <c r="E1208" s="82">
        <f>IF('7A'!B8&lt;&gt;"",'7A'!E8,"")</f>
        <v/>
      </c>
      <c r="F1208" s="82">
        <f>IF('7A'!B8&lt;&gt;"",'7A'!F8,"")</f>
        <v/>
      </c>
      <c r="G1208" s="82">
        <f>IF('7A'!B8&lt;&gt;"",'7A'!G8,"")</f>
        <v/>
      </c>
      <c r="H1208" s="92">
        <f>IF('7A'!B8&lt;&gt;"",'7A'!H8,"")</f>
        <v/>
      </c>
      <c r="I1208" s="92">
        <f>IF('7A'!B8&lt;&gt;"",'7A'!I8,"")</f>
        <v/>
      </c>
      <c r="J1208" s="82">
        <f>IF('7A'!B8&lt;&gt;"",'7A'!J8,"")</f>
        <v/>
      </c>
    </row>
    <row r="1209" ht="15.75" customHeight="1" s="52">
      <c r="A1209" s="97">
        <f>IF('7A'!B9&lt;&gt;"","7A","")</f>
        <v/>
      </c>
      <c r="B1209" s="78">
        <f>IF('7A'!B9&lt;&gt;"",'7A'!B9,"")</f>
        <v/>
      </c>
      <c r="C1209" s="78">
        <f>IF('7A'!B9&lt;&gt;"",'7A'!C9,"")</f>
        <v/>
      </c>
      <c r="D1209" s="78">
        <f>IF('7A'!B9&lt;&gt;"",'7A'!D9,"")</f>
        <v/>
      </c>
      <c r="E1209" s="78">
        <f>IF('7A'!B9&lt;&gt;"",'7A'!E9,"")</f>
        <v/>
      </c>
      <c r="F1209" s="78">
        <f>IF('7A'!B9&lt;&gt;"",'7A'!F9,"")</f>
        <v/>
      </c>
      <c r="G1209" s="78">
        <f>IF('7A'!B9&lt;&gt;"",'7A'!G9,"")</f>
        <v/>
      </c>
      <c r="H1209" s="97">
        <f>IF('7A'!B9&lt;&gt;"",'7A'!H9,"")</f>
        <v/>
      </c>
      <c r="I1209" s="97">
        <f>IF('7A'!B9&lt;&gt;"",'7A'!I9,"")</f>
        <v/>
      </c>
      <c r="J1209" s="78">
        <f>IF('7A'!B9&lt;&gt;"",'7A'!J9,"")</f>
        <v/>
      </c>
    </row>
    <row r="1210" ht="15.75" customHeight="1" s="52">
      <c r="A1210" s="92">
        <f>IF('7A'!B10&lt;&gt;"","7A","")</f>
        <v/>
      </c>
      <c r="B1210" s="82">
        <f>IF('7A'!B10&lt;&gt;"",'7A'!B10,"")</f>
        <v/>
      </c>
      <c r="C1210" s="82">
        <f>IF('7A'!B10&lt;&gt;"",'7A'!C10,"")</f>
        <v/>
      </c>
      <c r="D1210" s="82">
        <f>IF('7A'!B10&lt;&gt;"",'7A'!D10,"")</f>
        <v/>
      </c>
      <c r="E1210" s="82">
        <f>IF('7A'!B10&lt;&gt;"",'7A'!E10,"")</f>
        <v/>
      </c>
      <c r="F1210" s="82">
        <f>IF('7A'!B10&lt;&gt;"",'7A'!F10,"")</f>
        <v/>
      </c>
      <c r="G1210" s="82">
        <f>IF('7A'!B10&lt;&gt;"",'7A'!G10,"")</f>
        <v/>
      </c>
      <c r="H1210" s="92">
        <f>IF('7A'!B10&lt;&gt;"",'7A'!H10,"")</f>
        <v/>
      </c>
      <c r="I1210" s="92">
        <f>IF('7A'!B10&lt;&gt;"",'7A'!I10,"")</f>
        <v/>
      </c>
      <c r="J1210" s="82">
        <f>IF('7A'!B10&lt;&gt;"",'7A'!J10,"")</f>
        <v/>
      </c>
    </row>
    <row r="1211" ht="15.75" customHeight="1" s="52">
      <c r="A1211" s="97">
        <f>IF('7A'!B11&lt;&gt;"","7A","")</f>
        <v/>
      </c>
      <c r="B1211" s="78">
        <f>IF('7A'!B11&lt;&gt;"",'7A'!B11,"")</f>
        <v/>
      </c>
      <c r="C1211" s="78">
        <f>IF('7A'!B11&lt;&gt;"",'7A'!C11,"")</f>
        <v/>
      </c>
      <c r="D1211" s="78">
        <f>IF('7A'!B11&lt;&gt;"",'7A'!D11,"")</f>
        <v/>
      </c>
      <c r="E1211" s="78">
        <f>IF('7A'!B11&lt;&gt;"",'7A'!E11,"")</f>
        <v/>
      </c>
      <c r="F1211" s="78">
        <f>IF('7A'!B11&lt;&gt;"",'7A'!F11,"")</f>
        <v/>
      </c>
      <c r="G1211" s="78">
        <f>IF('7A'!B11&lt;&gt;"",'7A'!G11,"")</f>
        <v/>
      </c>
      <c r="H1211" s="97">
        <f>IF('7A'!B11&lt;&gt;"",'7A'!H11,"")</f>
        <v/>
      </c>
      <c r="I1211" s="97">
        <f>IF('7A'!B11&lt;&gt;"",'7A'!I11,"")</f>
        <v/>
      </c>
      <c r="J1211" s="78">
        <f>IF('7A'!B11&lt;&gt;"",'7A'!J11,"")</f>
        <v/>
      </c>
    </row>
    <row r="1212" ht="15.75" customHeight="1" s="52">
      <c r="A1212" s="92">
        <f>IF('7A'!B12&lt;&gt;"","7A","")</f>
        <v/>
      </c>
      <c r="B1212" s="82">
        <f>IF('7A'!B12&lt;&gt;"",'7A'!B12,"")</f>
        <v/>
      </c>
      <c r="C1212" s="82">
        <f>IF('7A'!B12&lt;&gt;"",'7A'!C12,"")</f>
        <v/>
      </c>
      <c r="D1212" s="82">
        <f>IF('7A'!B12&lt;&gt;"",'7A'!D12,"")</f>
        <v/>
      </c>
      <c r="E1212" s="82">
        <f>IF('7A'!B12&lt;&gt;"",'7A'!E12,"")</f>
        <v/>
      </c>
      <c r="F1212" s="82">
        <f>IF('7A'!B12&lt;&gt;"",'7A'!F12,"")</f>
        <v/>
      </c>
      <c r="G1212" s="82">
        <f>IF('7A'!B12&lt;&gt;"",'7A'!G12,"")</f>
        <v/>
      </c>
      <c r="H1212" s="92">
        <f>IF('7A'!B12&lt;&gt;"",'7A'!H12,"")</f>
        <v/>
      </c>
      <c r="I1212" s="92">
        <f>IF('7A'!B12&lt;&gt;"",'7A'!I12,"")</f>
        <v/>
      </c>
      <c r="J1212" s="82">
        <f>IF('7A'!B12&lt;&gt;"",'7A'!J12,"")</f>
        <v/>
      </c>
    </row>
    <row r="1213" ht="15.75" customHeight="1" s="52">
      <c r="A1213" s="97">
        <f>IF('7A'!B13&lt;&gt;"","7A","")</f>
        <v/>
      </c>
      <c r="B1213" s="78">
        <f>IF('7A'!B13&lt;&gt;"",'7A'!B13,"")</f>
        <v/>
      </c>
      <c r="C1213" s="78">
        <f>IF('7A'!B13&lt;&gt;"",'7A'!C13,"")</f>
        <v/>
      </c>
      <c r="D1213" s="78">
        <f>IF('7A'!B13&lt;&gt;"",'7A'!D13,"")</f>
        <v/>
      </c>
      <c r="E1213" s="78">
        <f>IF('7A'!B13&lt;&gt;"",'7A'!E13,"")</f>
        <v/>
      </c>
      <c r="F1213" s="78">
        <f>IF('7A'!B13&lt;&gt;"",'7A'!F13,"")</f>
        <v/>
      </c>
      <c r="G1213" s="78">
        <f>IF('7A'!B13&lt;&gt;"",'7A'!G13,"")</f>
        <v/>
      </c>
      <c r="H1213" s="97">
        <f>IF('7A'!B13&lt;&gt;"",'7A'!H13,"")</f>
        <v/>
      </c>
      <c r="I1213" s="97">
        <f>IF('7A'!B13&lt;&gt;"",'7A'!I13,"")</f>
        <v/>
      </c>
      <c r="J1213" s="78">
        <f>IF('7A'!B13&lt;&gt;"",'7A'!J13,"")</f>
        <v/>
      </c>
    </row>
    <row r="1214" ht="15.75" customHeight="1" s="52">
      <c r="A1214" s="92">
        <f>IF('7A'!B14&lt;&gt;"","7A","")</f>
        <v/>
      </c>
      <c r="B1214" s="82">
        <f>IF('7A'!B14&lt;&gt;"",'7A'!B14,"")</f>
        <v/>
      </c>
      <c r="C1214" s="82">
        <f>IF('7A'!B14&lt;&gt;"",'7A'!C14,"")</f>
        <v/>
      </c>
      <c r="D1214" s="82">
        <f>IF('7A'!B14&lt;&gt;"",'7A'!D14,"")</f>
        <v/>
      </c>
      <c r="E1214" s="82">
        <f>IF('7A'!B14&lt;&gt;"",'7A'!E14,"")</f>
        <v/>
      </c>
      <c r="F1214" s="82">
        <f>IF('7A'!B14&lt;&gt;"",'7A'!F14,"")</f>
        <v/>
      </c>
      <c r="G1214" s="82">
        <f>IF('7A'!B14&lt;&gt;"",'7A'!G14,"")</f>
        <v/>
      </c>
      <c r="H1214" s="92">
        <f>IF('7A'!B14&lt;&gt;"",'7A'!H14,"")</f>
        <v/>
      </c>
      <c r="I1214" s="92">
        <f>IF('7A'!B14&lt;&gt;"",'7A'!I14,"")</f>
        <v/>
      </c>
      <c r="J1214" s="82">
        <f>IF('7A'!B14&lt;&gt;"",'7A'!J14,"")</f>
        <v/>
      </c>
    </row>
    <row r="1215" ht="15.75" customHeight="1" s="52">
      <c r="A1215" s="97">
        <f>IF('7A'!B15&lt;&gt;"","7A","")</f>
        <v/>
      </c>
      <c r="B1215" s="78">
        <f>IF('7A'!B15&lt;&gt;"",'7A'!B15,"")</f>
        <v/>
      </c>
      <c r="C1215" s="78">
        <f>IF('7A'!B15&lt;&gt;"",'7A'!C15,"")</f>
        <v/>
      </c>
      <c r="D1215" s="78">
        <f>IF('7A'!B15&lt;&gt;"",'7A'!D15,"")</f>
        <v/>
      </c>
      <c r="E1215" s="78">
        <f>IF('7A'!B15&lt;&gt;"",'7A'!E15,"")</f>
        <v/>
      </c>
      <c r="F1215" s="78">
        <f>IF('7A'!B15&lt;&gt;"",'7A'!F15,"")</f>
        <v/>
      </c>
      <c r="G1215" s="78">
        <f>IF('7A'!B15&lt;&gt;"",'7A'!G15,"")</f>
        <v/>
      </c>
      <c r="H1215" s="97">
        <f>IF('7A'!B15&lt;&gt;"",'7A'!H15,"")</f>
        <v/>
      </c>
      <c r="I1215" s="97">
        <f>IF('7A'!B15&lt;&gt;"",'7A'!I15,"")</f>
        <v/>
      </c>
      <c r="J1215" s="78">
        <f>IF('7A'!B15&lt;&gt;"",'7A'!J15,"")</f>
        <v/>
      </c>
    </row>
    <row r="1216" ht="15.75" customHeight="1" s="52">
      <c r="A1216" s="92">
        <f>IF('7A'!B16&lt;&gt;"","7A","")</f>
        <v/>
      </c>
      <c r="B1216" s="82">
        <f>IF('7A'!B16&lt;&gt;"",'7A'!B16,"")</f>
        <v/>
      </c>
      <c r="C1216" s="82">
        <f>IF('7A'!B16&lt;&gt;"",'7A'!C16,"")</f>
        <v/>
      </c>
      <c r="D1216" s="82">
        <f>IF('7A'!B16&lt;&gt;"",'7A'!D16,"")</f>
        <v/>
      </c>
      <c r="E1216" s="82">
        <f>IF('7A'!B16&lt;&gt;"",'7A'!E16,"")</f>
        <v/>
      </c>
      <c r="F1216" s="82">
        <f>IF('7A'!B16&lt;&gt;"",'7A'!F16,"")</f>
        <v/>
      </c>
      <c r="G1216" s="82">
        <f>IF('7A'!B16&lt;&gt;"",'7A'!G16,"")</f>
        <v/>
      </c>
      <c r="H1216" s="92">
        <f>IF('7A'!B16&lt;&gt;"",'7A'!H16,"")</f>
        <v/>
      </c>
      <c r="I1216" s="92">
        <f>IF('7A'!B16&lt;&gt;"",'7A'!I16,"")</f>
        <v/>
      </c>
      <c r="J1216" s="82">
        <f>IF('7A'!B16&lt;&gt;"",'7A'!J16,"")</f>
        <v/>
      </c>
    </row>
    <row r="1217" ht="15.75" customHeight="1" s="52">
      <c r="A1217" s="97">
        <f>IF('7A'!B17&lt;&gt;"","7A","")</f>
        <v/>
      </c>
      <c r="B1217" s="78">
        <f>IF('7A'!B17&lt;&gt;"",'7A'!B17,"")</f>
        <v/>
      </c>
      <c r="C1217" s="78">
        <f>IF('7A'!B17&lt;&gt;"",'7A'!C17,"")</f>
        <v/>
      </c>
      <c r="D1217" s="78">
        <f>IF('7A'!B17&lt;&gt;"",'7A'!D17,"")</f>
        <v/>
      </c>
      <c r="E1217" s="78">
        <f>IF('7A'!B17&lt;&gt;"",'7A'!E17,"")</f>
        <v/>
      </c>
      <c r="F1217" s="78">
        <f>IF('7A'!B17&lt;&gt;"",'7A'!F17,"")</f>
        <v/>
      </c>
      <c r="G1217" s="78">
        <f>IF('7A'!B17&lt;&gt;"",'7A'!G17,"")</f>
        <v/>
      </c>
      <c r="H1217" s="97">
        <f>IF('7A'!B17&lt;&gt;"",'7A'!H17,"")</f>
        <v/>
      </c>
      <c r="I1217" s="97">
        <f>IF('7A'!B17&lt;&gt;"",'7A'!I17,"")</f>
        <v/>
      </c>
      <c r="J1217" s="78">
        <f>IF('7A'!B17&lt;&gt;"",'7A'!J17,"")</f>
        <v/>
      </c>
    </row>
    <row r="1218" ht="15.75" customHeight="1" s="52">
      <c r="A1218" s="92">
        <f>IF('7A'!B18&lt;&gt;"","7A","")</f>
        <v/>
      </c>
      <c r="B1218" s="82">
        <f>IF('7A'!B18&lt;&gt;"",'7A'!B18,"")</f>
        <v/>
      </c>
      <c r="C1218" s="82">
        <f>IF('7A'!B18&lt;&gt;"",'7A'!C18,"")</f>
        <v/>
      </c>
      <c r="D1218" s="82">
        <f>IF('7A'!B18&lt;&gt;"",'7A'!D18,"")</f>
        <v/>
      </c>
      <c r="E1218" s="82">
        <f>IF('7A'!B18&lt;&gt;"",'7A'!E18,"")</f>
        <v/>
      </c>
      <c r="F1218" s="82">
        <f>IF('7A'!B18&lt;&gt;"",'7A'!F18,"")</f>
        <v/>
      </c>
      <c r="G1218" s="82">
        <f>IF('7A'!B18&lt;&gt;"",'7A'!G18,"")</f>
        <v/>
      </c>
      <c r="H1218" s="92">
        <f>IF('7A'!B18&lt;&gt;"",'7A'!H18,"")</f>
        <v/>
      </c>
      <c r="I1218" s="92">
        <f>IF('7A'!B18&lt;&gt;"",'7A'!I18,"")</f>
        <v/>
      </c>
      <c r="J1218" s="82">
        <f>IF('7A'!B18&lt;&gt;"",'7A'!J18,"")</f>
        <v/>
      </c>
    </row>
    <row r="1219" ht="15.75" customHeight="1" s="52">
      <c r="A1219" s="97">
        <f>IF('7A'!B19&lt;&gt;"","7A","")</f>
        <v/>
      </c>
      <c r="B1219" s="78">
        <f>IF('7A'!B19&lt;&gt;"",'7A'!B19,"")</f>
        <v/>
      </c>
      <c r="C1219" s="78">
        <f>IF('7A'!B19&lt;&gt;"",'7A'!C19,"")</f>
        <v/>
      </c>
      <c r="D1219" s="78">
        <f>IF('7A'!B19&lt;&gt;"",'7A'!D19,"")</f>
        <v/>
      </c>
      <c r="E1219" s="78">
        <f>IF('7A'!B19&lt;&gt;"",'7A'!E19,"")</f>
        <v/>
      </c>
      <c r="F1219" s="78">
        <f>IF('7A'!B19&lt;&gt;"",'7A'!F19,"")</f>
        <v/>
      </c>
      <c r="G1219" s="78">
        <f>IF('7A'!B19&lt;&gt;"",'7A'!G19,"")</f>
        <v/>
      </c>
      <c r="H1219" s="97">
        <f>IF('7A'!B19&lt;&gt;"",'7A'!H19,"")</f>
        <v/>
      </c>
      <c r="I1219" s="97">
        <f>IF('7A'!B19&lt;&gt;"",'7A'!I19,"")</f>
        <v/>
      </c>
      <c r="J1219" s="78">
        <f>IF('7A'!B19&lt;&gt;"",'7A'!J19,"")</f>
        <v/>
      </c>
    </row>
    <row r="1220" ht="15.75" customHeight="1" s="52">
      <c r="A1220" s="92">
        <f>IF('7A'!B20&lt;&gt;"","7A","")</f>
        <v/>
      </c>
      <c r="B1220" s="82">
        <f>IF('7A'!B20&lt;&gt;"",'7A'!B20,"")</f>
        <v/>
      </c>
      <c r="C1220" s="82">
        <f>IF('7A'!B20&lt;&gt;"",'7A'!C20,"")</f>
        <v/>
      </c>
      <c r="D1220" s="82">
        <f>IF('7A'!B20&lt;&gt;"",'7A'!D20,"")</f>
        <v/>
      </c>
      <c r="E1220" s="82">
        <f>IF('7A'!B20&lt;&gt;"",'7A'!E20,"")</f>
        <v/>
      </c>
      <c r="F1220" s="82">
        <f>IF('7A'!B20&lt;&gt;"",'7A'!F20,"")</f>
        <v/>
      </c>
      <c r="G1220" s="82">
        <f>IF('7A'!B20&lt;&gt;"",'7A'!G20,"")</f>
        <v/>
      </c>
      <c r="H1220" s="92">
        <f>IF('7A'!B20&lt;&gt;"",'7A'!H20,"")</f>
        <v/>
      </c>
      <c r="I1220" s="92">
        <f>IF('7A'!B20&lt;&gt;"",'7A'!I20,"")</f>
        <v/>
      </c>
      <c r="J1220" s="82">
        <f>IF('7A'!B20&lt;&gt;"",'7A'!J20,"")</f>
        <v/>
      </c>
    </row>
    <row r="1221" ht="15.75" customHeight="1" s="52">
      <c r="A1221" s="97">
        <f>IF('7A'!B21&lt;&gt;"","7A","")</f>
        <v/>
      </c>
      <c r="B1221" s="78">
        <f>IF('7A'!B21&lt;&gt;"",'7A'!B21,"")</f>
        <v/>
      </c>
      <c r="C1221" s="78">
        <f>IF('7A'!B21&lt;&gt;"",'7A'!C21,"")</f>
        <v/>
      </c>
      <c r="D1221" s="78">
        <f>IF('7A'!B21&lt;&gt;"",'7A'!D21,"")</f>
        <v/>
      </c>
      <c r="E1221" s="78">
        <f>IF('7A'!B21&lt;&gt;"",'7A'!E21,"")</f>
        <v/>
      </c>
      <c r="F1221" s="78">
        <f>IF('7A'!B21&lt;&gt;"",'7A'!F21,"")</f>
        <v/>
      </c>
      <c r="G1221" s="78">
        <f>IF('7A'!B21&lt;&gt;"",'7A'!G21,"")</f>
        <v/>
      </c>
      <c r="H1221" s="97">
        <f>IF('7A'!B21&lt;&gt;"",'7A'!H21,"")</f>
        <v/>
      </c>
      <c r="I1221" s="97">
        <f>IF('7A'!B21&lt;&gt;"",'7A'!I21,"")</f>
        <v/>
      </c>
      <c r="J1221" s="78">
        <f>IF('7A'!B21&lt;&gt;"",'7A'!J21,"")</f>
        <v/>
      </c>
    </row>
    <row r="1222" ht="15.75" customHeight="1" s="52">
      <c r="A1222" s="92">
        <f>IF('7A'!B22&lt;&gt;"","7A","")</f>
        <v/>
      </c>
      <c r="B1222" s="82">
        <f>IF('7A'!B22&lt;&gt;"",'7A'!B22,"")</f>
        <v/>
      </c>
      <c r="C1222" s="82">
        <f>IF('7A'!B22&lt;&gt;"",'7A'!C22,"")</f>
        <v/>
      </c>
      <c r="D1222" s="82">
        <f>IF('7A'!B22&lt;&gt;"",'7A'!D22,"")</f>
        <v/>
      </c>
      <c r="E1222" s="82">
        <f>IF('7A'!B22&lt;&gt;"",'7A'!E22,"")</f>
        <v/>
      </c>
      <c r="F1222" s="82">
        <f>IF('7A'!B22&lt;&gt;"",'7A'!F22,"")</f>
        <v/>
      </c>
      <c r="G1222" s="82">
        <f>IF('7A'!B22&lt;&gt;"",'7A'!G22,"")</f>
        <v/>
      </c>
      <c r="H1222" s="92">
        <f>IF('7A'!B22&lt;&gt;"",'7A'!H22,"")</f>
        <v/>
      </c>
      <c r="I1222" s="92">
        <f>IF('7A'!B22&lt;&gt;"",'7A'!I22,"")</f>
        <v/>
      </c>
      <c r="J1222" s="82">
        <f>IF('7A'!B22&lt;&gt;"",'7A'!J22,"")</f>
        <v/>
      </c>
    </row>
    <row r="1223" ht="15.75" customHeight="1" s="52">
      <c r="A1223" s="97">
        <f>IF('7A'!B23&lt;&gt;"","7A","")</f>
        <v/>
      </c>
      <c r="B1223" s="78">
        <f>IF('7A'!B23&lt;&gt;"",'7A'!B23,"")</f>
        <v/>
      </c>
      <c r="C1223" s="78">
        <f>IF('7A'!B23&lt;&gt;"",'7A'!C23,"")</f>
        <v/>
      </c>
      <c r="D1223" s="78">
        <f>IF('7A'!B23&lt;&gt;"",'7A'!D23,"")</f>
        <v/>
      </c>
      <c r="E1223" s="78">
        <f>IF('7A'!B23&lt;&gt;"",'7A'!E23,"")</f>
        <v/>
      </c>
      <c r="F1223" s="78">
        <f>IF('7A'!B23&lt;&gt;"",'7A'!F23,"")</f>
        <v/>
      </c>
      <c r="G1223" s="78">
        <f>IF('7A'!B23&lt;&gt;"",'7A'!G23,"")</f>
        <v/>
      </c>
      <c r="H1223" s="97">
        <f>IF('7A'!B23&lt;&gt;"",'7A'!H23,"")</f>
        <v/>
      </c>
      <c r="I1223" s="97">
        <f>IF('7A'!B23&lt;&gt;"",'7A'!I23,"")</f>
        <v/>
      </c>
      <c r="J1223" s="78">
        <f>IF('7A'!B23&lt;&gt;"",'7A'!J23,"")</f>
        <v/>
      </c>
    </row>
    <row r="1224" ht="15.75" customHeight="1" s="52">
      <c r="A1224" s="92">
        <f>IF('7A'!B24&lt;&gt;"","7A","")</f>
        <v/>
      </c>
      <c r="B1224" s="82">
        <f>IF('7A'!B24&lt;&gt;"",'7A'!B24,"")</f>
        <v/>
      </c>
      <c r="C1224" s="82">
        <f>IF('7A'!B24&lt;&gt;"",'7A'!C24,"")</f>
        <v/>
      </c>
      <c r="D1224" s="82">
        <f>IF('7A'!B24&lt;&gt;"",'7A'!D24,"")</f>
        <v/>
      </c>
      <c r="E1224" s="82">
        <f>IF('7A'!B24&lt;&gt;"",'7A'!E24,"")</f>
        <v/>
      </c>
      <c r="F1224" s="82">
        <f>IF('7A'!B24&lt;&gt;"",'7A'!F24,"")</f>
        <v/>
      </c>
      <c r="G1224" s="82">
        <f>IF('7A'!B24&lt;&gt;"",'7A'!G24,"")</f>
        <v/>
      </c>
      <c r="H1224" s="92">
        <f>IF('7A'!B24&lt;&gt;"",'7A'!H24,"")</f>
        <v/>
      </c>
      <c r="I1224" s="92">
        <f>IF('7A'!B24&lt;&gt;"",'7A'!I24,"")</f>
        <v/>
      </c>
      <c r="J1224" s="82">
        <f>IF('7A'!B24&lt;&gt;"",'7A'!J24,"")</f>
        <v/>
      </c>
    </row>
    <row r="1225" ht="15.75" customHeight="1" s="52">
      <c r="A1225" s="97">
        <f>IF('7A'!B25&lt;&gt;"","7A","")</f>
        <v/>
      </c>
      <c r="B1225" s="78">
        <f>IF('7A'!B25&lt;&gt;"",'7A'!B25,"")</f>
        <v/>
      </c>
      <c r="C1225" s="78">
        <f>IF('7A'!B25&lt;&gt;"",'7A'!C25,"")</f>
        <v/>
      </c>
      <c r="D1225" s="78">
        <f>IF('7A'!B25&lt;&gt;"",'7A'!D25,"")</f>
        <v/>
      </c>
      <c r="E1225" s="78">
        <f>IF('7A'!B25&lt;&gt;"",'7A'!E25,"")</f>
        <v/>
      </c>
      <c r="F1225" s="78">
        <f>IF('7A'!B25&lt;&gt;"",'7A'!F25,"")</f>
        <v/>
      </c>
      <c r="G1225" s="78">
        <f>IF('7A'!B25&lt;&gt;"",'7A'!G25,"")</f>
        <v/>
      </c>
      <c r="H1225" s="97">
        <f>IF('7A'!B25&lt;&gt;"",'7A'!H25,"")</f>
        <v/>
      </c>
      <c r="I1225" s="97">
        <f>IF('7A'!B25&lt;&gt;"",'7A'!I25,"")</f>
        <v/>
      </c>
      <c r="J1225" s="78">
        <f>IF('7A'!B25&lt;&gt;"",'7A'!J25,"")</f>
        <v/>
      </c>
    </row>
    <row r="1226" ht="15.75" customHeight="1" s="52">
      <c r="A1226" s="92">
        <f>IF('7A'!B26&lt;&gt;"","7A","")</f>
        <v/>
      </c>
      <c r="B1226" s="82">
        <f>IF('7A'!B26&lt;&gt;"",'7A'!B26,"")</f>
        <v/>
      </c>
      <c r="C1226" s="82">
        <f>IF('7A'!B26&lt;&gt;"",'7A'!C26,"")</f>
        <v/>
      </c>
      <c r="D1226" s="82">
        <f>IF('7A'!B26&lt;&gt;"",'7A'!D26,"")</f>
        <v/>
      </c>
      <c r="E1226" s="82">
        <f>IF('7A'!B26&lt;&gt;"",'7A'!E26,"")</f>
        <v/>
      </c>
      <c r="F1226" s="82">
        <f>IF('7A'!B26&lt;&gt;"",'7A'!F26,"")</f>
        <v/>
      </c>
      <c r="G1226" s="82">
        <f>IF('7A'!B26&lt;&gt;"",'7A'!G26,"")</f>
        <v/>
      </c>
      <c r="H1226" s="92">
        <f>IF('7A'!B26&lt;&gt;"",'7A'!H26,"")</f>
        <v/>
      </c>
      <c r="I1226" s="92">
        <f>IF('7A'!B26&lt;&gt;"",'7A'!I26,"")</f>
        <v/>
      </c>
      <c r="J1226" s="82">
        <f>IF('7A'!B26&lt;&gt;"",'7A'!J26,"")</f>
        <v/>
      </c>
    </row>
    <row r="1227" ht="15.75" customHeight="1" s="52">
      <c r="A1227" s="97">
        <f>IF('7A'!B27&lt;&gt;"","7A","")</f>
        <v/>
      </c>
      <c r="B1227" s="78">
        <f>IF('7A'!B27&lt;&gt;"",'7A'!B27,"")</f>
        <v/>
      </c>
      <c r="C1227" s="78">
        <f>IF('7A'!B27&lt;&gt;"",'7A'!C27,"")</f>
        <v/>
      </c>
      <c r="D1227" s="78">
        <f>IF('7A'!B27&lt;&gt;"",'7A'!D27,"")</f>
        <v/>
      </c>
      <c r="E1227" s="78">
        <f>IF('7A'!B27&lt;&gt;"",'7A'!E27,"")</f>
        <v/>
      </c>
      <c r="F1227" s="78">
        <f>IF('7A'!B27&lt;&gt;"",'7A'!F27,"")</f>
        <v/>
      </c>
      <c r="G1227" s="78">
        <f>IF('7A'!B27&lt;&gt;"",'7A'!G27,"")</f>
        <v/>
      </c>
      <c r="H1227" s="97">
        <f>IF('7A'!B27&lt;&gt;"",'7A'!H27,"")</f>
        <v/>
      </c>
      <c r="I1227" s="97">
        <f>IF('7A'!B27&lt;&gt;"",'7A'!I27,"")</f>
        <v/>
      </c>
      <c r="J1227" s="78">
        <f>IF('7A'!B27&lt;&gt;"",'7A'!J27,"")</f>
        <v/>
      </c>
    </row>
    <row r="1228" ht="15.75" customHeight="1" s="52">
      <c r="A1228" s="92">
        <f>IF('7A'!B28&lt;&gt;"","7A","")</f>
        <v/>
      </c>
      <c r="B1228" s="82">
        <f>IF('7A'!B28&lt;&gt;"",'7A'!B28,"")</f>
        <v/>
      </c>
      <c r="C1228" s="82">
        <f>IF('7A'!B28&lt;&gt;"",'7A'!C28,"")</f>
        <v/>
      </c>
      <c r="D1228" s="82">
        <f>IF('7A'!B28&lt;&gt;"",'7A'!D28,"")</f>
        <v/>
      </c>
      <c r="E1228" s="82">
        <f>IF('7A'!B28&lt;&gt;"",'7A'!E28,"")</f>
        <v/>
      </c>
      <c r="F1228" s="82">
        <f>IF('7A'!B28&lt;&gt;"",'7A'!F28,"")</f>
        <v/>
      </c>
      <c r="G1228" s="82">
        <f>IF('7A'!B28&lt;&gt;"",'7A'!G28,"")</f>
        <v/>
      </c>
      <c r="H1228" s="92">
        <f>IF('7A'!B28&lt;&gt;"",'7A'!H28,"")</f>
        <v/>
      </c>
      <c r="I1228" s="92">
        <f>IF('7A'!B28&lt;&gt;"",'7A'!I28,"")</f>
        <v/>
      </c>
      <c r="J1228" s="82">
        <f>IF('7A'!B28&lt;&gt;"",'7A'!J28,"")</f>
        <v/>
      </c>
    </row>
    <row r="1229" ht="15.75" customHeight="1" s="52">
      <c r="A1229" s="97">
        <f>IF('7A'!B29&lt;&gt;"","7A","")</f>
        <v/>
      </c>
      <c r="B1229" s="78">
        <f>IF('7A'!B29&lt;&gt;"",'7A'!B29,"")</f>
        <v/>
      </c>
      <c r="C1229" s="78">
        <f>IF('7A'!B29&lt;&gt;"",'7A'!C29,"")</f>
        <v/>
      </c>
      <c r="D1229" s="78">
        <f>IF('7A'!B29&lt;&gt;"",'7A'!D29,"")</f>
        <v/>
      </c>
      <c r="E1229" s="78">
        <f>IF('7A'!B29&lt;&gt;"",'7A'!E29,"")</f>
        <v/>
      </c>
      <c r="F1229" s="78">
        <f>IF('7A'!B29&lt;&gt;"",'7A'!F29,"")</f>
        <v/>
      </c>
      <c r="G1229" s="78">
        <f>IF('7A'!B29&lt;&gt;"",'7A'!G29,"")</f>
        <v/>
      </c>
      <c r="H1229" s="97">
        <f>IF('7A'!B29&lt;&gt;"",'7A'!H29,"")</f>
        <v/>
      </c>
      <c r="I1229" s="97">
        <f>IF('7A'!B29&lt;&gt;"",'7A'!I29,"")</f>
        <v/>
      </c>
      <c r="J1229" s="78">
        <f>IF('7A'!B29&lt;&gt;"",'7A'!J29,"")</f>
        <v/>
      </c>
    </row>
    <row r="1230" ht="15.75" customHeight="1" s="52">
      <c r="A1230" s="92">
        <f>IF('7A'!B30&lt;&gt;"","7A","")</f>
        <v/>
      </c>
      <c r="B1230" s="82">
        <f>IF('7A'!B30&lt;&gt;"",'7A'!B30,"")</f>
        <v/>
      </c>
      <c r="C1230" s="82">
        <f>IF('7A'!B30&lt;&gt;"",'7A'!C30,"")</f>
        <v/>
      </c>
      <c r="D1230" s="82">
        <f>IF('7A'!B30&lt;&gt;"",'7A'!D30,"")</f>
        <v/>
      </c>
      <c r="E1230" s="82">
        <f>IF('7A'!B30&lt;&gt;"",'7A'!E30,"")</f>
        <v/>
      </c>
      <c r="F1230" s="82">
        <f>IF('7A'!B30&lt;&gt;"",'7A'!F30,"")</f>
        <v/>
      </c>
      <c r="G1230" s="82">
        <f>IF('7A'!B30&lt;&gt;"",'7A'!G30,"")</f>
        <v/>
      </c>
      <c r="H1230" s="92">
        <f>IF('7A'!B30&lt;&gt;"",'7A'!H30,"")</f>
        <v/>
      </c>
      <c r="I1230" s="92">
        <f>IF('7A'!B30&lt;&gt;"",'7A'!I30,"")</f>
        <v/>
      </c>
      <c r="J1230" s="82">
        <f>IF('7A'!B30&lt;&gt;"",'7A'!J30,"")</f>
        <v/>
      </c>
    </row>
    <row r="1231" ht="15.75" customHeight="1" s="52">
      <c r="A1231" s="97">
        <f>IF('7A'!B31&lt;&gt;"","7A","")</f>
        <v/>
      </c>
      <c r="B1231" s="78">
        <f>IF('7A'!B31&lt;&gt;"",'7A'!B31,"")</f>
        <v/>
      </c>
      <c r="C1231" s="78">
        <f>IF('7A'!B31&lt;&gt;"",'7A'!C31,"")</f>
        <v/>
      </c>
      <c r="D1231" s="78">
        <f>IF('7A'!B31&lt;&gt;"",'7A'!D31,"")</f>
        <v/>
      </c>
      <c r="E1231" s="78">
        <f>IF('7A'!B31&lt;&gt;"",'7A'!E31,"")</f>
        <v/>
      </c>
      <c r="F1231" s="78">
        <f>IF('7A'!B31&lt;&gt;"",'7A'!F31,"")</f>
        <v/>
      </c>
      <c r="G1231" s="78">
        <f>IF('7A'!B31&lt;&gt;"",'7A'!G31,"")</f>
        <v/>
      </c>
      <c r="H1231" s="97">
        <f>IF('7A'!B31&lt;&gt;"",'7A'!H31,"")</f>
        <v/>
      </c>
      <c r="I1231" s="97">
        <f>IF('7A'!B31&lt;&gt;"",'7A'!I31,"")</f>
        <v/>
      </c>
      <c r="J1231" s="78">
        <f>IF('7A'!B31&lt;&gt;"",'7A'!J31,"")</f>
        <v/>
      </c>
    </row>
    <row r="1232" ht="15.75" customHeight="1" s="52">
      <c r="A1232" s="92">
        <f>IF('7A'!B32&lt;&gt;"","7A","")</f>
        <v/>
      </c>
      <c r="B1232" s="82">
        <f>IF('7A'!B32&lt;&gt;"",'7A'!B32,"")</f>
        <v/>
      </c>
      <c r="C1232" s="82">
        <f>IF('7A'!B32&lt;&gt;"",'7A'!C32,"")</f>
        <v/>
      </c>
      <c r="D1232" s="82">
        <f>IF('7A'!B32&lt;&gt;"",'7A'!D32,"")</f>
        <v/>
      </c>
      <c r="E1232" s="82">
        <f>IF('7A'!B32&lt;&gt;"",'7A'!E32,"")</f>
        <v/>
      </c>
      <c r="F1232" s="82">
        <f>IF('7A'!B32&lt;&gt;"",'7A'!F32,"")</f>
        <v/>
      </c>
      <c r="G1232" s="82">
        <f>IF('7A'!B32&lt;&gt;"",'7A'!G32,"")</f>
        <v/>
      </c>
      <c r="H1232" s="92">
        <f>IF('7A'!B32&lt;&gt;"",'7A'!H32,"")</f>
        <v/>
      </c>
      <c r="I1232" s="92">
        <f>IF('7A'!B32&lt;&gt;"",'7A'!I32,"")</f>
        <v/>
      </c>
      <c r="J1232" s="82">
        <f>IF('7A'!B32&lt;&gt;"",'7A'!J32,"")</f>
        <v/>
      </c>
    </row>
    <row r="1233" ht="15.75" customHeight="1" s="52">
      <c r="A1233" s="97">
        <f>IF('7A'!B33&lt;&gt;"","7A","")</f>
        <v/>
      </c>
      <c r="B1233" s="78">
        <f>IF('7A'!B33&lt;&gt;"",'7A'!B33,"")</f>
        <v/>
      </c>
      <c r="C1233" s="78">
        <f>IF('7A'!B33&lt;&gt;"",'7A'!C33,"")</f>
        <v/>
      </c>
      <c r="D1233" s="78">
        <f>IF('7A'!B33&lt;&gt;"",'7A'!D33,"")</f>
        <v/>
      </c>
      <c r="E1233" s="78">
        <f>IF('7A'!B33&lt;&gt;"",'7A'!E33,"")</f>
        <v/>
      </c>
      <c r="F1233" s="78">
        <f>IF('7A'!B33&lt;&gt;"",'7A'!F33,"")</f>
        <v/>
      </c>
      <c r="G1233" s="78">
        <f>IF('7A'!B33&lt;&gt;"",'7A'!G33,"")</f>
        <v/>
      </c>
      <c r="H1233" s="97">
        <f>IF('7A'!B33&lt;&gt;"",'7A'!H33,"")</f>
        <v/>
      </c>
      <c r="I1233" s="97">
        <f>IF('7A'!B33&lt;&gt;"",'7A'!I33,"")</f>
        <v/>
      </c>
      <c r="J1233" s="78">
        <f>IF('7A'!B33&lt;&gt;"",'7A'!J33,"")</f>
        <v/>
      </c>
    </row>
    <row r="1234" ht="15.75" customHeight="1" s="52">
      <c r="A1234" s="92">
        <f>IF('7A'!B34&lt;&gt;"","7A","")</f>
        <v/>
      </c>
      <c r="B1234" s="82">
        <f>IF('7A'!B34&lt;&gt;"",'7A'!B34,"")</f>
        <v/>
      </c>
      <c r="C1234" s="82">
        <f>IF('7A'!B34&lt;&gt;"",'7A'!C34,"")</f>
        <v/>
      </c>
      <c r="D1234" s="82">
        <f>IF('7A'!B34&lt;&gt;"",'7A'!D34,"")</f>
        <v/>
      </c>
      <c r="E1234" s="82">
        <f>IF('7A'!B34&lt;&gt;"",'7A'!E34,"")</f>
        <v/>
      </c>
      <c r="F1234" s="82">
        <f>IF('7A'!B34&lt;&gt;"",'7A'!F34,"")</f>
        <v/>
      </c>
      <c r="G1234" s="82">
        <f>IF('7A'!B34&lt;&gt;"",'7A'!G34,"")</f>
        <v/>
      </c>
      <c r="H1234" s="92">
        <f>IF('7A'!B34&lt;&gt;"",'7A'!H34,"")</f>
        <v/>
      </c>
      <c r="I1234" s="92">
        <f>IF('7A'!B34&lt;&gt;"",'7A'!I34,"")</f>
        <v/>
      </c>
      <c r="J1234" s="82">
        <f>IF('7A'!B34&lt;&gt;"",'7A'!J34,"")</f>
        <v/>
      </c>
    </row>
    <row r="1235" ht="15.75" customHeight="1" s="52">
      <c r="A1235" s="97">
        <f>IF('7A'!B35&lt;&gt;"","7A","")</f>
        <v/>
      </c>
      <c r="B1235" s="78">
        <f>IF('7A'!B35&lt;&gt;"",'7A'!B35,"")</f>
        <v/>
      </c>
      <c r="C1235" s="78">
        <f>IF('7A'!B35&lt;&gt;"",'7A'!C35,"")</f>
        <v/>
      </c>
      <c r="D1235" s="78">
        <f>IF('7A'!B35&lt;&gt;"",'7A'!D35,"")</f>
        <v/>
      </c>
      <c r="E1235" s="78">
        <f>IF('7A'!B35&lt;&gt;"",'7A'!E35,"")</f>
        <v/>
      </c>
      <c r="F1235" s="78">
        <f>IF('7A'!B35&lt;&gt;"",'7A'!F35,"")</f>
        <v/>
      </c>
      <c r="G1235" s="78">
        <f>IF('7A'!B35&lt;&gt;"",'7A'!G35,"")</f>
        <v/>
      </c>
      <c r="H1235" s="97">
        <f>IF('7A'!B35&lt;&gt;"",'7A'!H35,"")</f>
        <v/>
      </c>
      <c r="I1235" s="97">
        <f>IF('7A'!B35&lt;&gt;"",'7A'!I35,"")</f>
        <v/>
      </c>
      <c r="J1235" s="78">
        <f>IF('7A'!B35&lt;&gt;"",'7A'!J35,"")</f>
        <v/>
      </c>
    </row>
    <row r="1236" ht="15.75" customHeight="1" s="52">
      <c r="A1236" s="92">
        <f>IF('7A'!B36&lt;&gt;"","7A","")</f>
        <v/>
      </c>
      <c r="B1236" s="82">
        <f>IF('7A'!B36&lt;&gt;"",'7A'!B36,"")</f>
        <v/>
      </c>
      <c r="C1236" s="82">
        <f>IF('7A'!B36&lt;&gt;"",'7A'!C36,"")</f>
        <v/>
      </c>
      <c r="D1236" s="82">
        <f>IF('7A'!B36&lt;&gt;"",'7A'!D36,"")</f>
        <v/>
      </c>
      <c r="E1236" s="82">
        <f>IF('7A'!B36&lt;&gt;"",'7A'!E36,"")</f>
        <v/>
      </c>
      <c r="F1236" s="82">
        <f>IF('7A'!B36&lt;&gt;"",'7A'!F36,"")</f>
        <v/>
      </c>
      <c r="G1236" s="82">
        <f>IF('7A'!B36&lt;&gt;"",'7A'!G36,"")</f>
        <v/>
      </c>
      <c r="H1236" s="92">
        <f>IF('7A'!B36&lt;&gt;"",'7A'!H36,"")</f>
        <v/>
      </c>
      <c r="I1236" s="92">
        <f>IF('7A'!B36&lt;&gt;"",'7A'!I36,"")</f>
        <v/>
      </c>
      <c r="J1236" s="82">
        <f>IF('7A'!B36&lt;&gt;"",'7A'!J36,"")</f>
        <v/>
      </c>
    </row>
    <row r="1237" ht="15.75" customHeight="1" s="52">
      <c r="A1237" s="97">
        <f>IF('7A'!B37&lt;&gt;"","7A","")</f>
        <v/>
      </c>
      <c r="B1237" s="78">
        <f>IF('7A'!B37&lt;&gt;"",'7A'!B37,"")</f>
        <v/>
      </c>
      <c r="C1237" s="78">
        <f>IF('7A'!B37&lt;&gt;"",'7A'!C37,"")</f>
        <v/>
      </c>
      <c r="D1237" s="78">
        <f>IF('7A'!B37&lt;&gt;"",'7A'!D37,"")</f>
        <v/>
      </c>
      <c r="E1237" s="78">
        <f>IF('7A'!B37&lt;&gt;"",'7A'!E37,"")</f>
        <v/>
      </c>
      <c r="F1237" s="78">
        <f>IF('7A'!B37&lt;&gt;"",'7A'!F37,"")</f>
        <v/>
      </c>
      <c r="G1237" s="78">
        <f>IF('7A'!B37&lt;&gt;"",'7A'!G37,"")</f>
        <v/>
      </c>
      <c r="H1237" s="97">
        <f>IF('7A'!B37&lt;&gt;"",'7A'!H37,"")</f>
        <v/>
      </c>
      <c r="I1237" s="97">
        <f>IF('7A'!B37&lt;&gt;"",'7A'!I37,"")</f>
        <v/>
      </c>
      <c r="J1237" s="78">
        <f>IF('7A'!B37&lt;&gt;"",'7A'!J37,"")</f>
        <v/>
      </c>
    </row>
    <row r="1238" ht="15.75" customHeight="1" s="52">
      <c r="A1238" s="92">
        <f>IF('7A'!B38&lt;&gt;"","7A","")</f>
        <v/>
      </c>
      <c r="B1238" s="82">
        <f>IF('7A'!B38&lt;&gt;"",'7A'!B38,"")</f>
        <v/>
      </c>
      <c r="C1238" s="82">
        <f>IF('7A'!B38&lt;&gt;"",'7A'!C38,"")</f>
        <v/>
      </c>
      <c r="D1238" s="82">
        <f>IF('7A'!B38&lt;&gt;"",'7A'!D38,"")</f>
        <v/>
      </c>
      <c r="E1238" s="82">
        <f>IF('7A'!B38&lt;&gt;"",'7A'!E38,"")</f>
        <v/>
      </c>
      <c r="F1238" s="82">
        <f>IF('7A'!B38&lt;&gt;"",'7A'!F38,"")</f>
        <v/>
      </c>
      <c r="G1238" s="82">
        <f>IF('7A'!B38&lt;&gt;"",'7A'!G38,"")</f>
        <v/>
      </c>
      <c r="H1238" s="92">
        <f>IF('7A'!B38&lt;&gt;"",'7A'!H38,"")</f>
        <v/>
      </c>
      <c r="I1238" s="92">
        <f>IF('7A'!B38&lt;&gt;"",'7A'!I38,"")</f>
        <v/>
      </c>
      <c r="J1238" s="82">
        <f>IF('7A'!B38&lt;&gt;"",'7A'!J38,"")</f>
        <v/>
      </c>
    </row>
    <row r="1239" ht="15.75" customHeight="1" s="52">
      <c r="A1239" s="97">
        <f>IF('7A'!B39&lt;&gt;"","7A","")</f>
        <v/>
      </c>
      <c r="B1239" s="78">
        <f>IF('7A'!B39&lt;&gt;"",'7A'!B39,"")</f>
        <v/>
      </c>
      <c r="C1239" s="78">
        <f>IF('7A'!B39&lt;&gt;"",'7A'!C39,"")</f>
        <v/>
      </c>
      <c r="D1239" s="78">
        <f>IF('7A'!B39&lt;&gt;"",'7A'!D39,"")</f>
        <v/>
      </c>
      <c r="E1239" s="78">
        <f>IF('7A'!B39&lt;&gt;"",'7A'!E39,"")</f>
        <v/>
      </c>
      <c r="F1239" s="78">
        <f>IF('7A'!B39&lt;&gt;"",'7A'!F39,"")</f>
        <v/>
      </c>
      <c r="G1239" s="78">
        <f>IF('7A'!B39&lt;&gt;"",'7A'!G39,"")</f>
        <v/>
      </c>
      <c r="H1239" s="97">
        <f>IF('7A'!B39&lt;&gt;"",'7A'!H39,"")</f>
        <v/>
      </c>
      <c r="I1239" s="97">
        <f>IF('7A'!B39&lt;&gt;"",'7A'!I39,"")</f>
        <v/>
      </c>
      <c r="J1239" s="78">
        <f>IF('7A'!B39&lt;&gt;"",'7A'!J39,"")</f>
        <v/>
      </c>
    </row>
    <row r="1240" ht="15.75" customHeight="1" s="52">
      <c r="A1240" s="92">
        <f>IF('7A'!B40&lt;&gt;"","7A","")</f>
        <v/>
      </c>
      <c r="B1240" s="82">
        <f>IF('7A'!B40&lt;&gt;"",'7A'!B40,"")</f>
        <v/>
      </c>
      <c r="C1240" s="82">
        <f>IF('7A'!B40&lt;&gt;"",'7A'!C40,"")</f>
        <v/>
      </c>
      <c r="D1240" s="82">
        <f>IF('7A'!B40&lt;&gt;"",'7A'!D40,"")</f>
        <v/>
      </c>
      <c r="E1240" s="82">
        <f>IF('7A'!B40&lt;&gt;"",'7A'!E40,"")</f>
        <v/>
      </c>
      <c r="F1240" s="82">
        <f>IF('7A'!B40&lt;&gt;"",'7A'!F40,"")</f>
        <v/>
      </c>
      <c r="G1240" s="82">
        <f>IF('7A'!B40&lt;&gt;"",'7A'!G40,"")</f>
        <v/>
      </c>
      <c r="H1240" s="92">
        <f>IF('7A'!B40&lt;&gt;"",'7A'!H40,"")</f>
        <v/>
      </c>
      <c r="I1240" s="92">
        <f>IF('7A'!B40&lt;&gt;"",'7A'!I40,"")</f>
        <v/>
      </c>
      <c r="J1240" s="82">
        <f>IF('7A'!B40&lt;&gt;"",'7A'!J40,"")</f>
        <v/>
      </c>
    </row>
    <row r="1241" ht="15.75" customHeight="1" s="52">
      <c r="A1241" s="97">
        <f>IF('7A'!B41&lt;&gt;"","7A","")</f>
        <v/>
      </c>
      <c r="B1241" s="78">
        <f>IF('7A'!B41&lt;&gt;"",'7A'!B41,"")</f>
        <v/>
      </c>
      <c r="C1241" s="78">
        <f>IF('7A'!B41&lt;&gt;"",'7A'!C41,"")</f>
        <v/>
      </c>
      <c r="D1241" s="78">
        <f>IF('7A'!B41&lt;&gt;"",'7A'!D41,"")</f>
        <v/>
      </c>
      <c r="E1241" s="78">
        <f>IF('7A'!B41&lt;&gt;"",'7A'!E41,"")</f>
        <v/>
      </c>
      <c r="F1241" s="78">
        <f>IF('7A'!B41&lt;&gt;"",'7A'!F41,"")</f>
        <v/>
      </c>
      <c r="G1241" s="78">
        <f>IF('7A'!B41&lt;&gt;"",'7A'!G41,"")</f>
        <v/>
      </c>
      <c r="H1241" s="97">
        <f>IF('7A'!B41&lt;&gt;"",'7A'!H41,"")</f>
        <v/>
      </c>
      <c r="I1241" s="97">
        <f>IF('7A'!B41&lt;&gt;"",'7A'!I41,"")</f>
        <v/>
      </c>
      <c r="J1241" s="78">
        <f>IF('7A'!B41&lt;&gt;"",'7A'!J41,"")</f>
        <v/>
      </c>
    </row>
    <row r="1242" ht="15.75" customHeight="1" s="52">
      <c r="A1242" s="92">
        <f>IF('7A'!B42&lt;&gt;"","7A","")</f>
        <v/>
      </c>
      <c r="B1242" s="82">
        <f>IF('7A'!B42&lt;&gt;"",'7A'!B42,"")</f>
        <v/>
      </c>
      <c r="C1242" s="82">
        <f>IF('7A'!B42&lt;&gt;"",'7A'!C42,"")</f>
        <v/>
      </c>
      <c r="D1242" s="82">
        <f>IF('7A'!B42&lt;&gt;"",'7A'!D42,"")</f>
        <v/>
      </c>
      <c r="E1242" s="82">
        <f>IF('7A'!B42&lt;&gt;"",'7A'!E42,"")</f>
        <v/>
      </c>
      <c r="F1242" s="82">
        <f>IF('7A'!B42&lt;&gt;"",'7A'!F42,"")</f>
        <v/>
      </c>
      <c r="G1242" s="82">
        <f>IF('7A'!B42&lt;&gt;"",'7A'!G42,"")</f>
        <v/>
      </c>
      <c r="H1242" s="92">
        <f>IF('7A'!B42&lt;&gt;"",'7A'!H42,"")</f>
        <v/>
      </c>
      <c r="I1242" s="92">
        <f>IF('7A'!B42&lt;&gt;"",'7A'!I42,"")</f>
        <v/>
      </c>
      <c r="J1242" s="82">
        <f>IF('7A'!B42&lt;&gt;"",'7A'!J42,"")</f>
        <v/>
      </c>
    </row>
    <row r="1243" ht="15.75" customHeight="1" s="52">
      <c r="A1243" s="97">
        <f>IF('7A'!B43&lt;&gt;"","7A","")</f>
        <v/>
      </c>
      <c r="B1243" s="78">
        <f>IF('7A'!B43&lt;&gt;"",'7A'!B43,"")</f>
        <v/>
      </c>
      <c r="C1243" s="78">
        <f>IF('7A'!B43&lt;&gt;"",'7A'!C43,"")</f>
        <v/>
      </c>
      <c r="D1243" s="78">
        <f>IF('7A'!B43&lt;&gt;"",'7A'!D43,"")</f>
        <v/>
      </c>
      <c r="E1243" s="78">
        <f>IF('7A'!B43&lt;&gt;"",'7A'!E43,"")</f>
        <v/>
      </c>
      <c r="F1243" s="78">
        <f>IF('7A'!B43&lt;&gt;"",'7A'!F43,"")</f>
        <v/>
      </c>
      <c r="G1243" s="78">
        <f>IF('7A'!B43&lt;&gt;"",'7A'!G43,"")</f>
        <v/>
      </c>
      <c r="H1243" s="97">
        <f>IF('7A'!B43&lt;&gt;"",'7A'!H43,"")</f>
        <v/>
      </c>
      <c r="I1243" s="97">
        <f>IF('7A'!B43&lt;&gt;"",'7A'!I43,"")</f>
        <v/>
      </c>
      <c r="J1243" s="78">
        <f>IF('7A'!B43&lt;&gt;"",'7A'!J43,"")</f>
        <v/>
      </c>
    </row>
    <row r="1244" ht="15.75" customHeight="1" s="52">
      <c r="A1244" s="92">
        <f>IF('7A'!B44&lt;&gt;"","7A","")</f>
        <v/>
      </c>
      <c r="B1244" s="82">
        <f>IF('7A'!B44&lt;&gt;"",'7A'!B44,"")</f>
        <v/>
      </c>
      <c r="C1244" s="82">
        <f>IF('7A'!B44&lt;&gt;"",'7A'!C44,"")</f>
        <v/>
      </c>
      <c r="D1244" s="82">
        <f>IF('7A'!B44&lt;&gt;"",'7A'!D44,"")</f>
        <v/>
      </c>
      <c r="E1244" s="82">
        <f>IF('7A'!B44&lt;&gt;"",'7A'!E44,"")</f>
        <v/>
      </c>
      <c r="F1244" s="82">
        <f>IF('7A'!B44&lt;&gt;"",'7A'!F44,"")</f>
        <v/>
      </c>
      <c r="G1244" s="82">
        <f>IF('7A'!B44&lt;&gt;"",'7A'!G44,"")</f>
        <v/>
      </c>
      <c r="H1244" s="92">
        <f>IF('7A'!B44&lt;&gt;"",'7A'!H44,"")</f>
        <v/>
      </c>
      <c r="I1244" s="92">
        <f>IF('7A'!B44&lt;&gt;"",'7A'!I44,"")</f>
        <v/>
      </c>
      <c r="J1244" s="82">
        <f>IF('7A'!B44&lt;&gt;"",'7A'!J44,"")</f>
        <v/>
      </c>
    </row>
    <row r="1245" ht="15.75" customHeight="1" s="52">
      <c r="A1245" s="97">
        <f>IF('7A'!B45&lt;&gt;"","7A","")</f>
        <v/>
      </c>
      <c r="B1245" s="78">
        <f>IF('7A'!B45&lt;&gt;"",'7A'!B45,"")</f>
        <v/>
      </c>
      <c r="C1245" s="78">
        <f>IF('7A'!B45&lt;&gt;"",'7A'!C45,"")</f>
        <v/>
      </c>
      <c r="D1245" s="78">
        <f>IF('7A'!B45&lt;&gt;"",'7A'!D45,"")</f>
        <v/>
      </c>
      <c r="E1245" s="78">
        <f>IF('7A'!B45&lt;&gt;"",'7A'!E45,"")</f>
        <v/>
      </c>
      <c r="F1245" s="78">
        <f>IF('7A'!B45&lt;&gt;"",'7A'!F45,"")</f>
        <v/>
      </c>
      <c r="G1245" s="78">
        <f>IF('7A'!B45&lt;&gt;"",'7A'!G45,"")</f>
        <v/>
      </c>
      <c r="H1245" s="97">
        <f>IF('7A'!B45&lt;&gt;"",'7A'!H45,"")</f>
        <v/>
      </c>
      <c r="I1245" s="97">
        <f>IF('7A'!B45&lt;&gt;"",'7A'!I45,"")</f>
        <v/>
      </c>
      <c r="J1245" s="78">
        <f>IF('7A'!B45&lt;&gt;"",'7A'!J45,"")</f>
        <v/>
      </c>
    </row>
    <row r="1246" ht="15.75" customHeight="1" s="52">
      <c r="A1246" s="92">
        <f>IF('7A'!B46&lt;&gt;"","7A","")</f>
        <v/>
      </c>
      <c r="B1246" s="82">
        <f>IF('7A'!B46&lt;&gt;"",'7A'!B46,"")</f>
        <v/>
      </c>
      <c r="C1246" s="82">
        <f>IF('7A'!B46&lt;&gt;"",'7A'!C46,"")</f>
        <v/>
      </c>
      <c r="D1246" s="82">
        <f>IF('7A'!B46&lt;&gt;"",'7A'!D46,"")</f>
        <v/>
      </c>
      <c r="E1246" s="82">
        <f>IF('7A'!B46&lt;&gt;"",'7A'!E46,"")</f>
        <v/>
      </c>
      <c r="F1246" s="82">
        <f>IF('7A'!B46&lt;&gt;"",'7A'!F46,"")</f>
        <v/>
      </c>
      <c r="G1246" s="82">
        <f>IF('7A'!B46&lt;&gt;"",'7A'!G46,"")</f>
        <v/>
      </c>
      <c r="H1246" s="92">
        <f>IF('7A'!B46&lt;&gt;"",'7A'!H46,"")</f>
        <v/>
      </c>
      <c r="I1246" s="92">
        <f>IF('7A'!B46&lt;&gt;"",'7A'!I46,"")</f>
        <v/>
      </c>
      <c r="J1246" s="82">
        <f>IF('7A'!B46&lt;&gt;"",'7A'!J46,"")</f>
        <v/>
      </c>
    </row>
    <row r="1247" ht="15.75" customHeight="1" s="52">
      <c r="A1247" s="97">
        <f>IF('7A'!B47&lt;&gt;"","7A","")</f>
        <v/>
      </c>
      <c r="B1247" s="78">
        <f>IF('7A'!B47&lt;&gt;"",'7A'!B47,"")</f>
        <v/>
      </c>
      <c r="C1247" s="78">
        <f>IF('7A'!B47&lt;&gt;"",'7A'!C47,"")</f>
        <v/>
      </c>
      <c r="D1247" s="78">
        <f>IF('7A'!B47&lt;&gt;"",'7A'!D47,"")</f>
        <v/>
      </c>
      <c r="E1247" s="78">
        <f>IF('7A'!B47&lt;&gt;"",'7A'!E47,"")</f>
        <v/>
      </c>
      <c r="F1247" s="78">
        <f>IF('7A'!B47&lt;&gt;"",'7A'!F47,"")</f>
        <v/>
      </c>
      <c r="G1247" s="78">
        <f>IF('7A'!B47&lt;&gt;"",'7A'!G47,"")</f>
        <v/>
      </c>
      <c r="H1247" s="97">
        <f>IF('7A'!B47&lt;&gt;"",'7A'!H47,"")</f>
        <v/>
      </c>
      <c r="I1247" s="97">
        <f>IF('7A'!B47&lt;&gt;"",'7A'!I47,"")</f>
        <v/>
      </c>
      <c r="J1247" s="78">
        <f>IF('7A'!B47&lt;&gt;"",'7A'!J47,"")</f>
        <v/>
      </c>
    </row>
    <row r="1248" ht="15.75" customHeight="1" s="52">
      <c r="A1248" s="92">
        <f>IF('7A'!B48&lt;&gt;"","7A","")</f>
        <v/>
      </c>
      <c r="B1248" s="82">
        <f>IF('7A'!B48&lt;&gt;"",'7A'!B48,"")</f>
        <v/>
      </c>
      <c r="C1248" s="82">
        <f>IF('7A'!B48&lt;&gt;"",'7A'!C48,"")</f>
        <v/>
      </c>
      <c r="D1248" s="82">
        <f>IF('7A'!B48&lt;&gt;"",'7A'!D48,"")</f>
        <v/>
      </c>
      <c r="E1248" s="82">
        <f>IF('7A'!B48&lt;&gt;"",'7A'!E48,"")</f>
        <v/>
      </c>
      <c r="F1248" s="82">
        <f>IF('7A'!B48&lt;&gt;"",'7A'!F48,"")</f>
        <v/>
      </c>
      <c r="G1248" s="82">
        <f>IF('7A'!B48&lt;&gt;"",'7A'!G48,"")</f>
        <v/>
      </c>
      <c r="H1248" s="92">
        <f>IF('7A'!B48&lt;&gt;"",'7A'!H48,"")</f>
        <v/>
      </c>
      <c r="I1248" s="92">
        <f>IF('7A'!B48&lt;&gt;"",'7A'!I48,"")</f>
        <v/>
      </c>
      <c r="J1248" s="82">
        <f>IF('7A'!B48&lt;&gt;"",'7A'!J48,"")</f>
        <v/>
      </c>
    </row>
    <row r="1249" ht="15.75" customHeight="1" s="52">
      <c r="A1249" s="97">
        <f>IF('7A'!B49&lt;&gt;"","7A","")</f>
        <v/>
      </c>
      <c r="B1249" s="78">
        <f>IF('7A'!B49&lt;&gt;"",'7A'!B49,"")</f>
        <v/>
      </c>
      <c r="C1249" s="78">
        <f>IF('7A'!B49&lt;&gt;"",'7A'!C49,"")</f>
        <v/>
      </c>
      <c r="D1249" s="78">
        <f>IF('7A'!B49&lt;&gt;"",'7A'!D49,"")</f>
        <v/>
      </c>
      <c r="E1249" s="78">
        <f>IF('7A'!B49&lt;&gt;"",'7A'!E49,"")</f>
        <v/>
      </c>
      <c r="F1249" s="78">
        <f>IF('7A'!B49&lt;&gt;"",'7A'!F49,"")</f>
        <v/>
      </c>
      <c r="G1249" s="78">
        <f>IF('7A'!B49&lt;&gt;"",'7A'!G49,"")</f>
        <v/>
      </c>
      <c r="H1249" s="97">
        <f>IF('7A'!B49&lt;&gt;"",'7A'!H49,"")</f>
        <v/>
      </c>
      <c r="I1249" s="97">
        <f>IF('7A'!B49&lt;&gt;"",'7A'!I49,"")</f>
        <v/>
      </c>
      <c r="J1249" s="78">
        <f>IF('7A'!B49&lt;&gt;"",'7A'!J49,"")</f>
        <v/>
      </c>
    </row>
    <row r="1250" ht="15.75" customHeight="1" s="52">
      <c r="A1250" s="92">
        <f>IF('7A'!B50&lt;&gt;"","7A","")</f>
        <v/>
      </c>
      <c r="B1250" s="82">
        <f>IF('7A'!B50&lt;&gt;"",'7A'!B50,"")</f>
        <v/>
      </c>
      <c r="C1250" s="82">
        <f>IF('7A'!B50&lt;&gt;"",'7A'!C50,"")</f>
        <v/>
      </c>
      <c r="D1250" s="82">
        <f>IF('7A'!B50&lt;&gt;"",'7A'!D50,"")</f>
        <v/>
      </c>
      <c r="E1250" s="82">
        <f>IF('7A'!B50&lt;&gt;"",'7A'!E50,"")</f>
        <v/>
      </c>
      <c r="F1250" s="82">
        <f>IF('7A'!B50&lt;&gt;"",'7A'!F50,"")</f>
        <v/>
      </c>
      <c r="G1250" s="82">
        <f>IF('7A'!B50&lt;&gt;"",'7A'!G50,"")</f>
        <v/>
      </c>
      <c r="H1250" s="92">
        <f>IF('7A'!B50&lt;&gt;"",'7A'!H50,"")</f>
        <v/>
      </c>
      <c r="I1250" s="92">
        <f>IF('7A'!B50&lt;&gt;"",'7A'!I50,"")</f>
        <v/>
      </c>
      <c r="J1250" s="82">
        <f>IF('7A'!B50&lt;&gt;"",'7A'!J50,"")</f>
        <v/>
      </c>
    </row>
    <row r="1251" ht="15.75" customHeight="1" s="52">
      <c r="A1251" s="97">
        <f>IF('7A'!B51&lt;&gt;"","7A","")</f>
        <v/>
      </c>
      <c r="B1251" s="78">
        <f>IF('7A'!B51&lt;&gt;"",'7A'!B51,"")</f>
        <v/>
      </c>
      <c r="C1251" s="78">
        <f>IF('7A'!B51&lt;&gt;"",'7A'!C51,"")</f>
        <v/>
      </c>
      <c r="D1251" s="78">
        <f>IF('7A'!B51&lt;&gt;"",'7A'!D51,"")</f>
        <v/>
      </c>
      <c r="E1251" s="78">
        <f>IF('7A'!B51&lt;&gt;"",'7A'!E51,"")</f>
        <v/>
      </c>
      <c r="F1251" s="78">
        <f>IF('7A'!B51&lt;&gt;"",'7A'!F51,"")</f>
        <v/>
      </c>
      <c r="G1251" s="78">
        <f>IF('7A'!B51&lt;&gt;"",'7A'!G51,"")</f>
        <v/>
      </c>
      <c r="H1251" s="97">
        <f>IF('7A'!B51&lt;&gt;"",'7A'!H51,"")</f>
        <v/>
      </c>
      <c r="I1251" s="97">
        <f>IF('7A'!B51&lt;&gt;"",'7A'!I51,"")</f>
        <v/>
      </c>
      <c r="J1251" s="78">
        <f>IF('7A'!B51&lt;&gt;"",'7A'!J51,"")</f>
        <v/>
      </c>
    </row>
    <row r="1252" ht="15.75" customHeight="1" s="52">
      <c r="A1252" s="92">
        <f>IF('7A'!B52&lt;&gt;"","7A","")</f>
        <v/>
      </c>
      <c r="B1252" s="82">
        <f>IF('7A'!B52&lt;&gt;"",'7A'!B52,"")</f>
        <v/>
      </c>
      <c r="C1252" s="82">
        <f>IF('7A'!B52&lt;&gt;"",'7A'!C52,"")</f>
        <v/>
      </c>
      <c r="D1252" s="82">
        <f>IF('7A'!B52&lt;&gt;"",'7A'!D52,"")</f>
        <v/>
      </c>
      <c r="E1252" s="82">
        <f>IF('7A'!B52&lt;&gt;"",'7A'!E52,"")</f>
        <v/>
      </c>
      <c r="F1252" s="82">
        <f>IF('7A'!B52&lt;&gt;"",'7A'!F52,"")</f>
        <v/>
      </c>
      <c r="G1252" s="82">
        <f>IF('7A'!B52&lt;&gt;"",'7A'!G52,"")</f>
        <v/>
      </c>
      <c r="H1252" s="92">
        <f>IF('7A'!B52&lt;&gt;"",'7A'!H52,"")</f>
        <v/>
      </c>
      <c r="I1252" s="92">
        <f>IF('7A'!B52&lt;&gt;"",'7A'!I52,"")</f>
        <v/>
      </c>
      <c r="J1252" s="82">
        <f>IF('7A'!B52&lt;&gt;"",'7A'!J52,"")</f>
        <v/>
      </c>
    </row>
    <row r="1253" ht="15.75" customHeight="1" s="52">
      <c r="A1253" s="97">
        <f>IF('7A'!B53&lt;&gt;"","7A","")</f>
        <v/>
      </c>
      <c r="B1253" s="78">
        <f>IF('7A'!B53&lt;&gt;"",'7A'!B53,"")</f>
        <v/>
      </c>
      <c r="C1253" s="78">
        <f>IF('7A'!B53&lt;&gt;"",'7A'!C53,"")</f>
        <v/>
      </c>
      <c r="D1253" s="78">
        <f>IF('7A'!B53&lt;&gt;"",'7A'!D53,"")</f>
        <v/>
      </c>
      <c r="E1253" s="78">
        <f>IF('7A'!B53&lt;&gt;"",'7A'!E53,"")</f>
        <v/>
      </c>
      <c r="F1253" s="78">
        <f>IF('7A'!B53&lt;&gt;"",'7A'!F53,"")</f>
        <v/>
      </c>
      <c r="G1253" s="78">
        <f>IF('7A'!B53&lt;&gt;"",'7A'!G53,"")</f>
        <v/>
      </c>
      <c r="H1253" s="97">
        <f>IF('7A'!B53&lt;&gt;"",'7A'!H53,"")</f>
        <v/>
      </c>
      <c r="I1253" s="97">
        <f>IF('7A'!B53&lt;&gt;"",'7A'!I53,"")</f>
        <v/>
      </c>
      <c r="J1253" s="78">
        <f>IF('7A'!B53&lt;&gt;"",'7A'!J53,"")</f>
        <v/>
      </c>
    </row>
    <row r="1254" ht="15.75" customHeight="1" s="52">
      <c r="A1254" s="92">
        <f>IF('7A'!B54&lt;&gt;"","7A","")</f>
        <v/>
      </c>
      <c r="B1254" s="82">
        <f>IF('7A'!B54&lt;&gt;"",'7A'!B54,"")</f>
        <v/>
      </c>
      <c r="C1254" s="82">
        <f>IF('7A'!B54&lt;&gt;"",'7A'!C54,"")</f>
        <v/>
      </c>
      <c r="D1254" s="82">
        <f>IF('7A'!B54&lt;&gt;"",'7A'!D54,"")</f>
        <v/>
      </c>
      <c r="E1254" s="82">
        <f>IF('7A'!B54&lt;&gt;"",'7A'!E54,"")</f>
        <v/>
      </c>
      <c r="F1254" s="82">
        <f>IF('7A'!B54&lt;&gt;"",'7A'!F54,"")</f>
        <v/>
      </c>
      <c r="G1254" s="82">
        <f>IF('7A'!B54&lt;&gt;"",'7A'!G54,"")</f>
        <v/>
      </c>
      <c r="H1254" s="92">
        <f>IF('7A'!B54&lt;&gt;"",'7A'!H54,"")</f>
        <v/>
      </c>
      <c r="I1254" s="92">
        <f>IF('7A'!B54&lt;&gt;"",'7A'!I54,"")</f>
        <v/>
      </c>
      <c r="J1254" s="82">
        <f>IF('7A'!B54&lt;&gt;"",'7A'!J54,"")</f>
        <v/>
      </c>
    </row>
    <row r="1255" ht="15.75" customHeight="1" s="52">
      <c r="A1255" s="97">
        <f>IF('7B'!B5&lt;&gt;"","7B","")</f>
        <v/>
      </c>
      <c r="B1255" s="78">
        <f>IF('7B'!B5&lt;&gt;"",'7B'!B5,"")</f>
        <v/>
      </c>
      <c r="C1255" s="78">
        <f>IF('7B'!B5&lt;&gt;"",'7B'!C5,"")</f>
        <v/>
      </c>
      <c r="D1255" s="78">
        <f>IF('7B'!B5&lt;&gt;"",'7B'!D5,"")</f>
        <v/>
      </c>
      <c r="E1255" s="78">
        <f>IF('7B'!B5&lt;&gt;"",'7B'!E5,"")</f>
        <v/>
      </c>
      <c r="F1255" s="78">
        <f>IF('7B'!B5&lt;&gt;"",'7B'!F5,"")</f>
        <v/>
      </c>
      <c r="G1255" s="78">
        <f>IF('7B'!B5&lt;&gt;"",'7B'!G5,"")</f>
        <v/>
      </c>
      <c r="H1255" s="97">
        <f>IF('7B'!B5&lt;&gt;"",'7B'!H5,"")</f>
        <v/>
      </c>
      <c r="I1255" s="97">
        <f>IF('7B'!B5&lt;&gt;"",'7B'!I5,"")</f>
        <v/>
      </c>
      <c r="J1255" s="78">
        <f>IF('7B'!B5&lt;&gt;"",'7B'!J5,"")</f>
        <v/>
      </c>
    </row>
    <row r="1256" ht="15.75" customHeight="1" s="52">
      <c r="A1256" s="92">
        <f>IF('7B'!B6&lt;&gt;"","7B","")</f>
        <v/>
      </c>
      <c r="B1256" s="82">
        <f>IF('7B'!B6&lt;&gt;"",'7B'!B6,"")</f>
        <v/>
      </c>
      <c r="C1256" s="82">
        <f>IF('7B'!B6&lt;&gt;"",'7B'!C6,"")</f>
        <v/>
      </c>
      <c r="D1256" s="82">
        <f>IF('7B'!B6&lt;&gt;"",'7B'!D6,"")</f>
        <v/>
      </c>
      <c r="E1256" s="82">
        <f>IF('7B'!B6&lt;&gt;"",'7B'!E6,"")</f>
        <v/>
      </c>
      <c r="F1256" s="82">
        <f>IF('7B'!B6&lt;&gt;"",'7B'!F6,"")</f>
        <v/>
      </c>
      <c r="G1256" s="82">
        <f>IF('7B'!B6&lt;&gt;"",'7B'!G6,"")</f>
        <v/>
      </c>
      <c r="H1256" s="92">
        <f>IF('7B'!B6&lt;&gt;"",'7B'!H6,"")</f>
        <v/>
      </c>
      <c r="I1256" s="92">
        <f>IF('7B'!B6&lt;&gt;"",'7B'!I6,"")</f>
        <v/>
      </c>
      <c r="J1256" s="82">
        <f>IF('7B'!B6&lt;&gt;"",'7B'!J6,"")</f>
        <v/>
      </c>
    </row>
    <row r="1257" ht="15.75" customHeight="1" s="52">
      <c r="A1257" s="97">
        <f>IF('7B'!B7&lt;&gt;"","7B","")</f>
        <v/>
      </c>
      <c r="B1257" s="78">
        <f>IF('7B'!B7&lt;&gt;"",'7B'!B7,"")</f>
        <v/>
      </c>
      <c r="C1257" s="78">
        <f>IF('7B'!B7&lt;&gt;"",'7B'!C7,"")</f>
        <v/>
      </c>
      <c r="D1257" s="78">
        <f>IF('7B'!B7&lt;&gt;"",'7B'!D7,"")</f>
        <v/>
      </c>
      <c r="E1257" s="78">
        <f>IF('7B'!B7&lt;&gt;"",'7B'!E7,"")</f>
        <v/>
      </c>
      <c r="F1257" s="78">
        <f>IF('7B'!B7&lt;&gt;"",'7B'!F7,"")</f>
        <v/>
      </c>
      <c r="G1257" s="78">
        <f>IF('7B'!B7&lt;&gt;"",'7B'!G7,"")</f>
        <v/>
      </c>
      <c r="H1257" s="97">
        <f>IF('7B'!B7&lt;&gt;"",'7B'!H7,"")</f>
        <v/>
      </c>
      <c r="I1257" s="97">
        <f>IF('7B'!B7&lt;&gt;"",'7B'!I7,"")</f>
        <v/>
      </c>
      <c r="J1257" s="78">
        <f>IF('7B'!B7&lt;&gt;"",'7B'!J7,"")</f>
        <v/>
      </c>
    </row>
    <row r="1258" ht="15.75" customHeight="1" s="52">
      <c r="A1258" s="92">
        <f>IF('7B'!B8&lt;&gt;"","7B","")</f>
        <v/>
      </c>
      <c r="B1258" s="82">
        <f>IF('7B'!B8&lt;&gt;"",'7B'!B8,"")</f>
        <v/>
      </c>
      <c r="C1258" s="82">
        <f>IF('7B'!B8&lt;&gt;"",'7B'!C8,"")</f>
        <v/>
      </c>
      <c r="D1258" s="82">
        <f>IF('7B'!B8&lt;&gt;"",'7B'!D8,"")</f>
        <v/>
      </c>
      <c r="E1258" s="82">
        <f>IF('7B'!B8&lt;&gt;"",'7B'!E8,"")</f>
        <v/>
      </c>
      <c r="F1258" s="82">
        <f>IF('7B'!B8&lt;&gt;"",'7B'!F8,"")</f>
        <v/>
      </c>
      <c r="G1258" s="82">
        <f>IF('7B'!B8&lt;&gt;"",'7B'!G8,"")</f>
        <v/>
      </c>
      <c r="H1258" s="92">
        <f>IF('7B'!B8&lt;&gt;"",'7B'!H8,"")</f>
        <v/>
      </c>
      <c r="I1258" s="92">
        <f>IF('7B'!B8&lt;&gt;"",'7B'!I8,"")</f>
        <v/>
      </c>
      <c r="J1258" s="82">
        <f>IF('7B'!B8&lt;&gt;"",'7B'!J8,"")</f>
        <v/>
      </c>
    </row>
    <row r="1259" ht="15.75" customHeight="1" s="52">
      <c r="A1259" s="97">
        <f>IF('7B'!B9&lt;&gt;"","7B","")</f>
        <v/>
      </c>
      <c r="B1259" s="78">
        <f>IF('7B'!B9&lt;&gt;"",'7B'!B9,"")</f>
        <v/>
      </c>
      <c r="C1259" s="78">
        <f>IF('7B'!B9&lt;&gt;"",'7B'!C9,"")</f>
        <v/>
      </c>
      <c r="D1259" s="78">
        <f>IF('7B'!B9&lt;&gt;"",'7B'!D9,"")</f>
        <v/>
      </c>
      <c r="E1259" s="78">
        <f>IF('7B'!B9&lt;&gt;"",'7B'!E9,"")</f>
        <v/>
      </c>
      <c r="F1259" s="78">
        <f>IF('7B'!B9&lt;&gt;"",'7B'!F9,"")</f>
        <v/>
      </c>
      <c r="G1259" s="78">
        <f>IF('7B'!B9&lt;&gt;"",'7B'!G9,"")</f>
        <v/>
      </c>
      <c r="H1259" s="97">
        <f>IF('7B'!B9&lt;&gt;"",'7B'!H9,"")</f>
        <v/>
      </c>
      <c r="I1259" s="97">
        <f>IF('7B'!B9&lt;&gt;"",'7B'!I9,"")</f>
        <v/>
      </c>
      <c r="J1259" s="78">
        <f>IF('7B'!B9&lt;&gt;"",'7B'!J9,"")</f>
        <v/>
      </c>
    </row>
    <row r="1260" ht="15.75" customHeight="1" s="52">
      <c r="A1260" s="92">
        <f>IF('7B'!B10&lt;&gt;"","7B","")</f>
        <v/>
      </c>
      <c r="B1260" s="82">
        <f>IF('7B'!B10&lt;&gt;"",'7B'!B10,"")</f>
        <v/>
      </c>
      <c r="C1260" s="82">
        <f>IF('7B'!B10&lt;&gt;"",'7B'!C10,"")</f>
        <v/>
      </c>
      <c r="D1260" s="82">
        <f>IF('7B'!B10&lt;&gt;"",'7B'!D10,"")</f>
        <v/>
      </c>
      <c r="E1260" s="82">
        <f>IF('7B'!B10&lt;&gt;"",'7B'!E10,"")</f>
        <v/>
      </c>
      <c r="F1260" s="82">
        <f>IF('7B'!B10&lt;&gt;"",'7B'!F10,"")</f>
        <v/>
      </c>
      <c r="G1260" s="82">
        <f>IF('7B'!B10&lt;&gt;"",'7B'!G10,"")</f>
        <v/>
      </c>
      <c r="H1260" s="92">
        <f>IF('7B'!B10&lt;&gt;"",'7B'!H10,"")</f>
        <v/>
      </c>
      <c r="I1260" s="92">
        <f>IF('7B'!B10&lt;&gt;"",'7B'!I10,"")</f>
        <v/>
      </c>
      <c r="J1260" s="82">
        <f>IF('7B'!B10&lt;&gt;"",'7B'!J10,"")</f>
        <v/>
      </c>
    </row>
    <row r="1261" ht="15.75" customHeight="1" s="52">
      <c r="A1261" s="97">
        <f>IF('7B'!B11&lt;&gt;"","7B","")</f>
        <v/>
      </c>
      <c r="B1261" s="78">
        <f>IF('7B'!B11&lt;&gt;"",'7B'!B11,"")</f>
        <v/>
      </c>
      <c r="C1261" s="78">
        <f>IF('7B'!B11&lt;&gt;"",'7B'!C11,"")</f>
        <v/>
      </c>
      <c r="D1261" s="78">
        <f>IF('7B'!B11&lt;&gt;"",'7B'!D11,"")</f>
        <v/>
      </c>
      <c r="E1261" s="78">
        <f>IF('7B'!B11&lt;&gt;"",'7B'!E11,"")</f>
        <v/>
      </c>
      <c r="F1261" s="78">
        <f>IF('7B'!B11&lt;&gt;"",'7B'!F11,"")</f>
        <v/>
      </c>
      <c r="G1261" s="78">
        <f>IF('7B'!B11&lt;&gt;"",'7B'!G11,"")</f>
        <v/>
      </c>
      <c r="H1261" s="97">
        <f>IF('7B'!B11&lt;&gt;"",'7B'!H11,"")</f>
        <v/>
      </c>
      <c r="I1261" s="97">
        <f>IF('7B'!B11&lt;&gt;"",'7B'!I11,"")</f>
        <v/>
      </c>
      <c r="J1261" s="78">
        <f>IF('7B'!B11&lt;&gt;"",'7B'!J11,"")</f>
        <v/>
      </c>
    </row>
    <row r="1262" ht="15.75" customHeight="1" s="52">
      <c r="A1262" s="92">
        <f>IF('7B'!B12&lt;&gt;"","7B","")</f>
        <v/>
      </c>
      <c r="B1262" s="82">
        <f>IF('7B'!B12&lt;&gt;"",'7B'!B12,"")</f>
        <v/>
      </c>
      <c r="C1262" s="82">
        <f>IF('7B'!B12&lt;&gt;"",'7B'!C12,"")</f>
        <v/>
      </c>
      <c r="D1262" s="82">
        <f>IF('7B'!B12&lt;&gt;"",'7B'!D12,"")</f>
        <v/>
      </c>
      <c r="E1262" s="82">
        <f>IF('7B'!B12&lt;&gt;"",'7B'!E12,"")</f>
        <v/>
      </c>
      <c r="F1262" s="82">
        <f>IF('7B'!B12&lt;&gt;"",'7B'!F12,"")</f>
        <v/>
      </c>
      <c r="G1262" s="82">
        <f>IF('7B'!B12&lt;&gt;"",'7B'!G12,"")</f>
        <v/>
      </c>
      <c r="H1262" s="92">
        <f>IF('7B'!B12&lt;&gt;"",'7B'!H12,"")</f>
        <v/>
      </c>
      <c r="I1262" s="92">
        <f>IF('7B'!B12&lt;&gt;"",'7B'!I12,"")</f>
        <v/>
      </c>
      <c r="J1262" s="82">
        <f>IF('7B'!B12&lt;&gt;"",'7B'!J12,"")</f>
        <v/>
      </c>
    </row>
    <row r="1263" ht="15.75" customHeight="1" s="52">
      <c r="A1263" s="97">
        <f>IF('7B'!B13&lt;&gt;"","7B","")</f>
        <v/>
      </c>
      <c r="B1263" s="78">
        <f>IF('7B'!B13&lt;&gt;"",'7B'!B13,"")</f>
        <v/>
      </c>
      <c r="C1263" s="78">
        <f>IF('7B'!B13&lt;&gt;"",'7B'!C13,"")</f>
        <v/>
      </c>
      <c r="D1263" s="78">
        <f>IF('7B'!B13&lt;&gt;"",'7B'!D13,"")</f>
        <v/>
      </c>
      <c r="E1263" s="78">
        <f>IF('7B'!B13&lt;&gt;"",'7B'!E13,"")</f>
        <v/>
      </c>
      <c r="F1263" s="78">
        <f>IF('7B'!B13&lt;&gt;"",'7B'!F13,"")</f>
        <v/>
      </c>
      <c r="G1263" s="78">
        <f>IF('7B'!B13&lt;&gt;"",'7B'!G13,"")</f>
        <v/>
      </c>
      <c r="H1263" s="97">
        <f>IF('7B'!B13&lt;&gt;"",'7B'!H13,"")</f>
        <v/>
      </c>
      <c r="I1263" s="97">
        <f>IF('7B'!B13&lt;&gt;"",'7B'!I13,"")</f>
        <v/>
      </c>
      <c r="J1263" s="78">
        <f>IF('7B'!B13&lt;&gt;"",'7B'!J13,"")</f>
        <v/>
      </c>
    </row>
    <row r="1264" ht="15.75" customHeight="1" s="52">
      <c r="A1264" s="92">
        <f>IF('7B'!B14&lt;&gt;"","7B","")</f>
        <v/>
      </c>
      <c r="B1264" s="82">
        <f>IF('7B'!B14&lt;&gt;"",'7B'!B14,"")</f>
        <v/>
      </c>
      <c r="C1264" s="82">
        <f>IF('7B'!B14&lt;&gt;"",'7B'!C14,"")</f>
        <v/>
      </c>
      <c r="D1264" s="82">
        <f>IF('7B'!B14&lt;&gt;"",'7B'!D14,"")</f>
        <v/>
      </c>
      <c r="E1264" s="82">
        <f>IF('7B'!B14&lt;&gt;"",'7B'!E14,"")</f>
        <v/>
      </c>
      <c r="F1264" s="82">
        <f>IF('7B'!B14&lt;&gt;"",'7B'!F14,"")</f>
        <v/>
      </c>
      <c r="G1264" s="82">
        <f>IF('7B'!B14&lt;&gt;"",'7B'!G14,"")</f>
        <v/>
      </c>
      <c r="H1264" s="92">
        <f>IF('7B'!B14&lt;&gt;"",'7B'!H14,"")</f>
        <v/>
      </c>
      <c r="I1264" s="92">
        <f>IF('7B'!B14&lt;&gt;"",'7B'!I14,"")</f>
        <v/>
      </c>
      <c r="J1264" s="82">
        <f>IF('7B'!B14&lt;&gt;"",'7B'!J14,"")</f>
        <v/>
      </c>
    </row>
    <row r="1265" ht="15.75" customHeight="1" s="52">
      <c r="A1265" s="97">
        <f>IF('7B'!B15&lt;&gt;"","7B","")</f>
        <v/>
      </c>
      <c r="B1265" s="78">
        <f>IF('7B'!B15&lt;&gt;"",'7B'!B15,"")</f>
        <v/>
      </c>
      <c r="C1265" s="78">
        <f>IF('7B'!B15&lt;&gt;"",'7B'!C15,"")</f>
        <v/>
      </c>
      <c r="D1265" s="78">
        <f>IF('7B'!B15&lt;&gt;"",'7B'!D15,"")</f>
        <v/>
      </c>
      <c r="E1265" s="78">
        <f>IF('7B'!B15&lt;&gt;"",'7B'!E15,"")</f>
        <v/>
      </c>
      <c r="F1265" s="78">
        <f>IF('7B'!B15&lt;&gt;"",'7B'!F15,"")</f>
        <v/>
      </c>
      <c r="G1265" s="78">
        <f>IF('7B'!B15&lt;&gt;"",'7B'!G15,"")</f>
        <v/>
      </c>
      <c r="H1265" s="97">
        <f>IF('7B'!B15&lt;&gt;"",'7B'!H15,"")</f>
        <v/>
      </c>
      <c r="I1265" s="97">
        <f>IF('7B'!B15&lt;&gt;"",'7B'!I15,"")</f>
        <v/>
      </c>
      <c r="J1265" s="78">
        <f>IF('7B'!B15&lt;&gt;"",'7B'!J15,"")</f>
        <v/>
      </c>
    </row>
    <row r="1266" ht="15.75" customHeight="1" s="52">
      <c r="A1266" s="92">
        <f>IF('7B'!B16&lt;&gt;"","7B","")</f>
        <v/>
      </c>
      <c r="B1266" s="82">
        <f>IF('7B'!B16&lt;&gt;"",'7B'!B16,"")</f>
        <v/>
      </c>
      <c r="C1266" s="82">
        <f>IF('7B'!B16&lt;&gt;"",'7B'!C16,"")</f>
        <v/>
      </c>
      <c r="D1266" s="82">
        <f>IF('7B'!B16&lt;&gt;"",'7B'!D16,"")</f>
        <v/>
      </c>
      <c r="E1266" s="82">
        <f>IF('7B'!B16&lt;&gt;"",'7B'!E16,"")</f>
        <v/>
      </c>
      <c r="F1266" s="82">
        <f>IF('7B'!B16&lt;&gt;"",'7B'!F16,"")</f>
        <v/>
      </c>
      <c r="G1266" s="82">
        <f>IF('7B'!B16&lt;&gt;"",'7B'!G16,"")</f>
        <v/>
      </c>
      <c r="H1266" s="92">
        <f>IF('7B'!B16&lt;&gt;"",'7B'!H16,"")</f>
        <v/>
      </c>
      <c r="I1266" s="92">
        <f>IF('7B'!B16&lt;&gt;"",'7B'!I16,"")</f>
        <v/>
      </c>
      <c r="J1266" s="82">
        <f>IF('7B'!B16&lt;&gt;"",'7B'!J16,"")</f>
        <v/>
      </c>
    </row>
    <row r="1267" ht="15.75" customHeight="1" s="52">
      <c r="A1267" s="97">
        <f>IF('7B'!B17&lt;&gt;"","7B","")</f>
        <v/>
      </c>
      <c r="B1267" s="78">
        <f>IF('7B'!B17&lt;&gt;"",'7B'!B17,"")</f>
        <v/>
      </c>
      <c r="C1267" s="78">
        <f>IF('7B'!B17&lt;&gt;"",'7B'!C17,"")</f>
        <v/>
      </c>
      <c r="D1267" s="78">
        <f>IF('7B'!B17&lt;&gt;"",'7B'!D17,"")</f>
        <v/>
      </c>
      <c r="E1267" s="78">
        <f>IF('7B'!B17&lt;&gt;"",'7B'!E17,"")</f>
        <v/>
      </c>
      <c r="F1267" s="78">
        <f>IF('7B'!B17&lt;&gt;"",'7B'!F17,"")</f>
        <v/>
      </c>
      <c r="G1267" s="78">
        <f>IF('7B'!B17&lt;&gt;"",'7B'!G17,"")</f>
        <v/>
      </c>
      <c r="H1267" s="97">
        <f>IF('7B'!B17&lt;&gt;"",'7B'!H17,"")</f>
        <v/>
      </c>
      <c r="I1267" s="97">
        <f>IF('7B'!B17&lt;&gt;"",'7B'!I17,"")</f>
        <v/>
      </c>
      <c r="J1267" s="78">
        <f>IF('7B'!B17&lt;&gt;"",'7B'!J17,"")</f>
        <v/>
      </c>
    </row>
    <row r="1268" ht="15.75" customHeight="1" s="52">
      <c r="A1268" s="92">
        <f>IF('7B'!B18&lt;&gt;"","7B","")</f>
        <v/>
      </c>
      <c r="B1268" s="82">
        <f>IF('7B'!B18&lt;&gt;"",'7B'!B18,"")</f>
        <v/>
      </c>
      <c r="C1268" s="82">
        <f>IF('7B'!B18&lt;&gt;"",'7B'!C18,"")</f>
        <v/>
      </c>
      <c r="D1268" s="82">
        <f>IF('7B'!B18&lt;&gt;"",'7B'!D18,"")</f>
        <v/>
      </c>
      <c r="E1268" s="82">
        <f>IF('7B'!B18&lt;&gt;"",'7B'!E18,"")</f>
        <v/>
      </c>
      <c r="F1268" s="82">
        <f>IF('7B'!B18&lt;&gt;"",'7B'!F18,"")</f>
        <v/>
      </c>
      <c r="G1268" s="82">
        <f>IF('7B'!B18&lt;&gt;"",'7B'!G18,"")</f>
        <v/>
      </c>
      <c r="H1268" s="92">
        <f>IF('7B'!B18&lt;&gt;"",'7B'!H18,"")</f>
        <v/>
      </c>
      <c r="I1268" s="92">
        <f>IF('7B'!B18&lt;&gt;"",'7B'!I18,"")</f>
        <v/>
      </c>
      <c r="J1268" s="82">
        <f>IF('7B'!B18&lt;&gt;"",'7B'!J18,"")</f>
        <v/>
      </c>
    </row>
    <row r="1269" ht="15.75" customHeight="1" s="52">
      <c r="A1269" s="97">
        <f>IF('7B'!B19&lt;&gt;"","7B","")</f>
        <v/>
      </c>
      <c r="B1269" s="78">
        <f>IF('7B'!B19&lt;&gt;"",'7B'!B19,"")</f>
        <v/>
      </c>
      <c r="C1269" s="78">
        <f>IF('7B'!B19&lt;&gt;"",'7B'!C19,"")</f>
        <v/>
      </c>
      <c r="D1269" s="78">
        <f>IF('7B'!B19&lt;&gt;"",'7B'!D19,"")</f>
        <v/>
      </c>
      <c r="E1269" s="78">
        <f>IF('7B'!B19&lt;&gt;"",'7B'!E19,"")</f>
        <v/>
      </c>
      <c r="F1269" s="78">
        <f>IF('7B'!B19&lt;&gt;"",'7B'!F19,"")</f>
        <v/>
      </c>
      <c r="G1269" s="78">
        <f>IF('7B'!B19&lt;&gt;"",'7B'!G19,"")</f>
        <v/>
      </c>
      <c r="H1269" s="97">
        <f>IF('7B'!B19&lt;&gt;"",'7B'!H19,"")</f>
        <v/>
      </c>
      <c r="I1269" s="97">
        <f>IF('7B'!B19&lt;&gt;"",'7B'!I19,"")</f>
        <v/>
      </c>
      <c r="J1269" s="78">
        <f>IF('7B'!B19&lt;&gt;"",'7B'!J19,"")</f>
        <v/>
      </c>
    </row>
    <row r="1270" ht="15.75" customHeight="1" s="52">
      <c r="A1270" s="92">
        <f>IF('7B'!B20&lt;&gt;"","7B","")</f>
        <v/>
      </c>
      <c r="B1270" s="82">
        <f>IF('7B'!B20&lt;&gt;"",'7B'!B20,"")</f>
        <v/>
      </c>
      <c r="C1270" s="82">
        <f>IF('7B'!B20&lt;&gt;"",'7B'!C20,"")</f>
        <v/>
      </c>
      <c r="D1270" s="82">
        <f>IF('7B'!B20&lt;&gt;"",'7B'!D20,"")</f>
        <v/>
      </c>
      <c r="E1270" s="82">
        <f>IF('7B'!B20&lt;&gt;"",'7B'!E20,"")</f>
        <v/>
      </c>
      <c r="F1270" s="82">
        <f>IF('7B'!B20&lt;&gt;"",'7B'!F20,"")</f>
        <v/>
      </c>
      <c r="G1270" s="82">
        <f>IF('7B'!B20&lt;&gt;"",'7B'!G20,"")</f>
        <v/>
      </c>
      <c r="H1270" s="92">
        <f>IF('7B'!B20&lt;&gt;"",'7B'!H20,"")</f>
        <v/>
      </c>
      <c r="I1270" s="92">
        <f>IF('7B'!B20&lt;&gt;"",'7B'!I20,"")</f>
        <v/>
      </c>
      <c r="J1270" s="82">
        <f>IF('7B'!B20&lt;&gt;"",'7B'!J20,"")</f>
        <v/>
      </c>
    </row>
    <row r="1271" ht="15.75" customHeight="1" s="52">
      <c r="A1271" s="97">
        <f>IF('7B'!B21&lt;&gt;"","7B","")</f>
        <v/>
      </c>
      <c r="B1271" s="78">
        <f>IF('7B'!B21&lt;&gt;"",'7B'!B21,"")</f>
        <v/>
      </c>
      <c r="C1271" s="78">
        <f>IF('7B'!B21&lt;&gt;"",'7B'!C21,"")</f>
        <v/>
      </c>
      <c r="D1271" s="78">
        <f>IF('7B'!B21&lt;&gt;"",'7B'!D21,"")</f>
        <v/>
      </c>
      <c r="E1271" s="78">
        <f>IF('7B'!B21&lt;&gt;"",'7B'!E21,"")</f>
        <v/>
      </c>
      <c r="F1271" s="78">
        <f>IF('7B'!B21&lt;&gt;"",'7B'!F21,"")</f>
        <v/>
      </c>
      <c r="G1271" s="78">
        <f>IF('7B'!B21&lt;&gt;"",'7B'!G21,"")</f>
        <v/>
      </c>
      <c r="H1271" s="97">
        <f>IF('7B'!B21&lt;&gt;"",'7B'!H21,"")</f>
        <v/>
      </c>
      <c r="I1271" s="97">
        <f>IF('7B'!B21&lt;&gt;"",'7B'!I21,"")</f>
        <v/>
      </c>
      <c r="J1271" s="78">
        <f>IF('7B'!B21&lt;&gt;"",'7B'!J21,"")</f>
        <v/>
      </c>
    </row>
    <row r="1272" ht="15.75" customHeight="1" s="52">
      <c r="A1272" s="92">
        <f>IF('7B'!B22&lt;&gt;"","7B","")</f>
        <v/>
      </c>
      <c r="B1272" s="82">
        <f>IF('7B'!B22&lt;&gt;"",'7B'!B22,"")</f>
        <v/>
      </c>
      <c r="C1272" s="82">
        <f>IF('7B'!B22&lt;&gt;"",'7B'!C22,"")</f>
        <v/>
      </c>
      <c r="D1272" s="82">
        <f>IF('7B'!B22&lt;&gt;"",'7B'!D22,"")</f>
        <v/>
      </c>
      <c r="E1272" s="82">
        <f>IF('7B'!B22&lt;&gt;"",'7B'!E22,"")</f>
        <v/>
      </c>
      <c r="F1272" s="82">
        <f>IF('7B'!B22&lt;&gt;"",'7B'!F22,"")</f>
        <v/>
      </c>
      <c r="G1272" s="82">
        <f>IF('7B'!B22&lt;&gt;"",'7B'!G22,"")</f>
        <v/>
      </c>
      <c r="H1272" s="92">
        <f>IF('7B'!B22&lt;&gt;"",'7B'!H22,"")</f>
        <v/>
      </c>
      <c r="I1272" s="92">
        <f>IF('7B'!B22&lt;&gt;"",'7B'!I22,"")</f>
        <v/>
      </c>
      <c r="J1272" s="82">
        <f>IF('7B'!B22&lt;&gt;"",'7B'!J22,"")</f>
        <v/>
      </c>
    </row>
    <row r="1273" ht="15.75" customHeight="1" s="52">
      <c r="A1273" s="97">
        <f>IF('7B'!B23&lt;&gt;"","7B","")</f>
        <v/>
      </c>
      <c r="B1273" s="78">
        <f>IF('7B'!B23&lt;&gt;"",'7B'!B23,"")</f>
        <v/>
      </c>
      <c r="C1273" s="78">
        <f>IF('7B'!B23&lt;&gt;"",'7B'!C23,"")</f>
        <v/>
      </c>
      <c r="D1273" s="78">
        <f>IF('7B'!B23&lt;&gt;"",'7B'!D23,"")</f>
        <v/>
      </c>
      <c r="E1273" s="78">
        <f>IF('7B'!B23&lt;&gt;"",'7B'!E23,"")</f>
        <v/>
      </c>
      <c r="F1273" s="78">
        <f>IF('7B'!B23&lt;&gt;"",'7B'!F23,"")</f>
        <v/>
      </c>
      <c r="G1273" s="78">
        <f>IF('7B'!B23&lt;&gt;"",'7B'!G23,"")</f>
        <v/>
      </c>
      <c r="H1273" s="97">
        <f>IF('7B'!B23&lt;&gt;"",'7B'!H23,"")</f>
        <v/>
      </c>
      <c r="I1273" s="97">
        <f>IF('7B'!B23&lt;&gt;"",'7B'!I23,"")</f>
        <v/>
      </c>
      <c r="J1273" s="78">
        <f>IF('7B'!B23&lt;&gt;"",'7B'!J23,"")</f>
        <v/>
      </c>
    </row>
    <row r="1274" ht="15.75" customHeight="1" s="52">
      <c r="A1274" s="92">
        <f>IF('7B'!B24&lt;&gt;"","7B","")</f>
        <v/>
      </c>
      <c r="B1274" s="82">
        <f>IF('7B'!B24&lt;&gt;"",'7B'!B24,"")</f>
        <v/>
      </c>
      <c r="C1274" s="82">
        <f>IF('7B'!B24&lt;&gt;"",'7B'!C24,"")</f>
        <v/>
      </c>
      <c r="D1274" s="82">
        <f>IF('7B'!B24&lt;&gt;"",'7B'!D24,"")</f>
        <v/>
      </c>
      <c r="E1274" s="82">
        <f>IF('7B'!B24&lt;&gt;"",'7B'!E24,"")</f>
        <v/>
      </c>
      <c r="F1274" s="82">
        <f>IF('7B'!B24&lt;&gt;"",'7B'!F24,"")</f>
        <v/>
      </c>
      <c r="G1274" s="82">
        <f>IF('7B'!B24&lt;&gt;"",'7B'!G24,"")</f>
        <v/>
      </c>
      <c r="H1274" s="92">
        <f>IF('7B'!B24&lt;&gt;"",'7B'!H24,"")</f>
        <v/>
      </c>
      <c r="I1274" s="92">
        <f>IF('7B'!B24&lt;&gt;"",'7B'!I24,"")</f>
        <v/>
      </c>
      <c r="J1274" s="82">
        <f>IF('7B'!B24&lt;&gt;"",'7B'!J24,"")</f>
        <v/>
      </c>
    </row>
    <row r="1275" ht="15.75" customHeight="1" s="52">
      <c r="A1275" s="97">
        <f>IF('7B'!B25&lt;&gt;"","7B","")</f>
        <v/>
      </c>
      <c r="B1275" s="78">
        <f>IF('7B'!B25&lt;&gt;"",'7B'!B25,"")</f>
        <v/>
      </c>
      <c r="C1275" s="78">
        <f>IF('7B'!B25&lt;&gt;"",'7B'!C25,"")</f>
        <v/>
      </c>
      <c r="D1275" s="78">
        <f>IF('7B'!B25&lt;&gt;"",'7B'!D25,"")</f>
        <v/>
      </c>
      <c r="E1275" s="78">
        <f>IF('7B'!B25&lt;&gt;"",'7B'!E25,"")</f>
        <v/>
      </c>
      <c r="F1275" s="78">
        <f>IF('7B'!B25&lt;&gt;"",'7B'!F25,"")</f>
        <v/>
      </c>
      <c r="G1275" s="78">
        <f>IF('7B'!B25&lt;&gt;"",'7B'!G25,"")</f>
        <v/>
      </c>
      <c r="H1275" s="97">
        <f>IF('7B'!B25&lt;&gt;"",'7B'!H25,"")</f>
        <v/>
      </c>
      <c r="I1275" s="97">
        <f>IF('7B'!B25&lt;&gt;"",'7B'!I25,"")</f>
        <v/>
      </c>
      <c r="J1275" s="78">
        <f>IF('7B'!B25&lt;&gt;"",'7B'!J25,"")</f>
        <v/>
      </c>
    </row>
    <row r="1276" ht="15.75" customHeight="1" s="52">
      <c r="A1276" s="92">
        <f>IF('7B'!B26&lt;&gt;"","7B","")</f>
        <v/>
      </c>
      <c r="B1276" s="82">
        <f>IF('7B'!B26&lt;&gt;"",'7B'!B26,"")</f>
        <v/>
      </c>
      <c r="C1276" s="82">
        <f>IF('7B'!B26&lt;&gt;"",'7B'!C26,"")</f>
        <v/>
      </c>
      <c r="D1276" s="82">
        <f>IF('7B'!B26&lt;&gt;"",'7B'!D26,"")</f>
        <v/>
      </c>
      <c r="E1276" s="82">
        <f>IF('7B'!B26&lt;&gt;"",'7B'!E26,"")</f>
        <v/>
      </c>
      <c r="F1276" s="82">
        <f>IF('7B'!B26&lt;&gt;"",'7B'!F26,"")</f>
        <v/>
      </c>
      <c r="G1276" s="82">
        <f>IF('7B'!B26&lt;&gt;"",'7B'!G26,"")</f>
        <v/>
      </c>
      <c r="H1276" s="92">
        <f>IF('7B'!B26&lt;&gt;"",'7B'!H26,"")</f>
        <v/>
      </c>
      <c r="I1276" s="92">
        <f>IF('7B'!B26&lt;&gt;"",'7B'!I26,"")</f>
        <v/>
      </c>
      <c r="J1276" s="82">
        <f>IF('7B'!B26&lt;&gt;"",'7B'!J26,"")</f>
        <v/>
      </c>
    </row>
    <row r="1277" ht="15.75" customHeight="1" s="52">
      <c r="A1277" s="97">
        <f>IF('7B'!B27&lt;&gt;"","7B","")</f>
        <v/>
      </c>
      <c r="B1277" s="78">
        <f>IF('7B'!B27&lt;&gt;"",'7B'!B27,"")</f>
        <v/>
      </c>
      <c r="C1277" s="78">
        <f>IF('7B'!B27&lt;&gt;"",'7B'!C27,"")</f>
        <v/>
      </c>
      <c r="D1277" s="78">
        <f>IF('7B'!B27&lt;&gt;"",'7B'!D27,"")</f>
        <v/>
      </c>
      <c r="E1277" s="78">
        <f>IF('7B'!B27&lt;&gt;"",'7B'!E27,"")</f>
        <v/>
      </c>
      <c r="F1277" s="78">
        <f>IF('7B'!B27&lt;&gt;"",'7B'!F27,"")</f>
        <v/>
      </c>
      <c r="G1277" s="78">
        <f>IF('7B'!B27&lt;&gt;"",'7B'!G27,"")</f>
        <v/>
      </c>
      <c r="H1277" s="97">
        <f>IF('7B'!B27&lt;&gt;"",'7B'!H27,"")</f>
        <v/>
      </c>
      <c r="I1277" s="97">
        <f>IF('7B'!B27&lt;&gt;"",'7B'!I27,"")</f>
        <v/>
      </c>
      <c r="J1277" s="78">
        <f>IF('7B'!B27&lt;&gt;"",'7B'!J27,"")</f>
        <v/>
      </c>
    </row>
    <row r="1278" ht="15.75" customHeight="1" s="52">
      <c r="A1278" s="92">
        <f>IF('7B'!B28&lt;&gt;"","7B","")</f>
        <v/>
      </c>
      <c r="B1278" s="82">
        <f>IF('7B'!B28&lt;&gt;"",'7B'!B28,"")</f>
        <v/>
      </c>
      <c r="C1278" s="82">
        <f>IF('7B'!B28&lt;&gt;"",'7B'!C28,"")</f>
        <v/>
      </c>
      <c r="D1278" s="82">
        <f>IF('7B'!B28&lt;&gt;"",'7B'!D28,"")</f>
        <v/>
      </c>
      <c r="E1278" s="82">
        <f>IF('7B'!B28&lt;&gt;"",'7B'!E28,"")</f>
        <v/>
      </c>
      <c r="F1278" s="82">
        <f>IF('7B'!B28&lt;&gt;"",'7B'!F28,"")</f>
        <v/>
      </c>
      <c r="G1278" s="82">
        <f>IF('7B'!B28&lt;&gt;"",'7B'!G28,"")</f>
        <v/>
      </c>
      <c r="H1278" s="92">
        <f>IF('7B'!B28&lt;&gt;"",'7B'!H28,"")</f>
        <v/>
      </c>
      <c r="I1278" s="92">
        <f>IF('7B'!B28&lt;&gt;"",'7B'!I28,"")</f>
        <v/>
      </c>
      <c r="J1278" s="82">
        <f>IF('7B'!B28&lt;&gt;"",'7B'!J28,"")</f>
        <v/>
      </c>
    </row>
    <row r="1279" ht="15.75" customHeight="1" s="52">
      <c r="A1279" s="97">
        <f>IF('7B'!B29&lt;&gt;"","7B","")</f>
        <v/>
      </c>
      <c r="B1279" s="78">
        <f>IF('7B'!B29&lt;&gt;"",'7B'!B29,"")</f>
        <v/>
      </c>
      <c r="C1279" s="78">
        <f>IF('7B'!B29&lt;&gt;"",'7B'!C29,"")</f>
        <v/>
      </c>
      <c r="D1279" s="78">
        <f>IF('7B'!B29&lt;&gt;"",'7B'!D29,"")</f>
        <v/>
      </c>
      <c r="E1279" s="78">
        <f>IF('7B'!B29&lt;&gt;"",'7B'!E29,"")</f>
        <v/>
      </c>
      <c r="F1279" s="78">
        <f>IF('7B'!B29&lt;&gt;"",'7B'!F29,"")</f>
        <v/>
      </c>
      <c r="G1279" s="78">
        <f>IF('7B'!B29&lt;&gt;"",'7B'!G29,"")</f>
        <v/>
      </c>
      <c r="H1279" s="97">
        <f>IF('7B'!B29&lt;&gt;"",'7B'!H29,"")</f>
        <v/>
      </c>
      <c r="I1279" s="97">
        <f>IF('7B'!B29&lt;&gt;"",'7B'!I29,"")</f>
        <v/>
      </c>
      <c r="J1279" s="78">
        <f>IF('7B'!B29&lt;&gt;"",'7B'!J29,"")</f>
        <v/>
      </c>
    </row>
    <row r="1280" ht="15.75" customHeight="1" s="52">
      <c r="A1280" s="92">
        <f>IF('7B'!B30&lt;&gt;"","7B","")</f>
        <v/>
      </c>
      <c r="B1280" s="82">
        <f>IF('7B'!B30&lt;&gt;"",'7B'!B30,"")</f>
        <v/>
      </c>
      <c r="C1280" s="82">
        <f>IF('7B'!B30&lt;&gt;"",'7B'!C30,"")</f>
        <v/>
      </c>
      <c r="D1280" s="82">
        <f>IF('7B'!B30&lt;&gt;"",'7B'!D30,"")</f>
        <v/>
      </c>
      <c r="E1280" s="82">
        <f>IF('7B'!B30&lt;&gt;"",'7B'!E30,"")</f>
        <v/>
      </c>
      <c r="F1280" s="82">
        <f>IF('7B'!B30&lt;&gt;"",'7B'!F30,"")</f>
        <v/>
      </c>
      <c r="G1280" s="82">
        <f>IF('7B'!B30&lt;&gt;"",'7B'!G30,"")</f>
        <v/>
      </c>
      <c r="H1280" s="92">
        <f>IF('7B'!B30&lt;&gt;"",'7B'!H30,"")</f>
        <v/>
      </c>
      <c r="I1280" s="92">
        <f>IF('7B'!B30&lt;&gt;"",'7B'!I30,"")</f>
        <v/>
      </c>
      <c r="J1280" s="82">
        <f>IF('7B'!B30&lt;&gt;"",'7B'!J30,"")</f>
        <v/>
      </c>
    </row>
    <row r="1281" ht="15.75" customHeight="1" s="52">
      <c r="A1281" s="97">
        <f>IF('7B'!B31&lt;&gt;"","7B","")</f>
        <v/>
      </c>
      <c r="B1281" s="78">
        <f>IF('7B'!B31&lt;&gt;"",'7B'!B31,"")</f>
        <v/>
      </c>
      <c r="C1281" s="78">
        <f>IF('7B'!B31&lt;&gt;"",'7B'!C31,"")</f>
        <v/>
      </c>
      <c r="D1281" s="78">
        <f>IF('7B'!B31&lt;&gt;"",'7B'!D31,"")</f>
        <v/>
      </c>
      <c r="E1281" s="78">
        <f>IF('7B'!B31&lt;&gt;"",'7B'!E31,"")</f>
        <v/>
      </c>
      <c r="F1281" s="78">
        <f>IF('7B'!B31&lt;&gt;"",'7B'!F31,"")</f>
        <v/>
      </c>
      <c r="G1281" s="78">
        <f>IF('7B'!B31&lt;&gt;"",'7B'!G31,"")</f>
        <v/>
      </c>
      <c r="H1281" s="97">
        <f>IF('7B'!B31&lt;&gt;"",'7B'!H31,"")</f>
        <v/>
      </c>
      <c r="I1281" s="97">
        <f>IF('7B'!B31&lt;&gt;"",'7B'!I31,"")</f>
        <v/>
      </c>
      <c r="J1281" s="78">
        <f>IF('7B'!B31&lt;&gt;"",'7B'!J31,"")</f>
        <v/>
      </c>
    </row>
    <row r="1282" ht="15.75" customHeight="1" s="52">
      <c r="A1282" s="92">
        <f>IF('7B'!B32&lt;&gt;"","7B","")</f>
        <v/>
      </c>
      <c r="B1282" s="82">
        <f>IF('7B'!B32&lt;&gt;"",'7B'!B32,"")</f>
        <v/>
      </c>
      <c r="C1282" s="82">
        <f>IF('7B'!B32&lt;&gt;"",'7B'!C32,"")</f>
        <v/>
      </c>
      <c r="D1282" s="82">
        <f>IF('7B'!B32&lt;&gt;"",'7B'!D32,"")</f>
        <v/>
      </c>
      <c r="E1282" s="82">
        <f>IF('7B'!B32&lt;&gt;"",'7B'!E32,"")</f>
        <v/>
      </c>
      <c r="F1282" s="82">
        <f>IF('7B'!B32&lt;&gt;"",'7B'!F32,"")</f>
        <v/>
      </c>
      <c r="G1282" s="82">
        <f>IF('7B'!B32&lt;&gt;"",'7B'!G32,"")</f>
        <v/>
      </c>
      <c r="H1282" s="92">
        <f>IF('7B'!B32&lt;&gt;"",'7B'!H32,"")</f>
        <v/>
      </c>
      <c r="I1282" s="92">
        <f>IF('7B'!B32&lt;&gt;"",'7B'!I32,"")</f>
        <v/>
      </c>
      <c r="J1282" s="82">
        <f>IF('7B'!B32&lt;&gt;"",'7B'!J32,"")</f>
        <v/>
      </c>
    </row>
    <row r="1283" ht="15.75" customHeight="1" s="52">
      <c r="A1283" s="97">
        <f>IF('7B'!B33&lt;&gt;"","7B","")</f>
        <v/>
      </c>
      <c r="B1283" s="78">
        <f>IF('7B'!B33&lt;&gt;"",'7B'!B33,"")</f>
        <v/>
      </c>
      <c r="C1283" s="78">
        <f>IF('7B'!B33&lt;&gt;"",'7B'!C33,"")</f>
        <v/>
      </c>
      <c r="D1283" s="78">
        <f>IF('7B'!B33&lt;&gt;"",'7B'!D33,"")</f>
        <v/>
      </c>
      <c r="E1283" s="78">
        <f>IF('7B'!B33&lt;&gt;"",'7B'!E33,"")</f>
        <v/>
      </c>
      <c r="F1283" s="78">
        <f>IF('7B'!B33&lt;&gt;"",'7B'!F33,"")</f>
        <v/>
      </c>
      <c r="G1283" s="78">
        <f>IF('7B'!B33&lt;&gt;"",'7B'!G33,"")</f>
        <v/>
      </c>
      <c r="H1283" s="97">
        <f>IF('7B'!B33&lt;&gt;"",'7B'!H33,"")</f>
        <v/>
      </c>
      <c r="I1283" s="97">
        <f>IF('7B'!B33&lt;&gt;"",'7B'!I33,"")</f>
        <v/>
      </c>
      <c r="J1283" s="78">
        <f>IF('7B'!B33&lt;&gt;"",'7B'!J33,"")</f>
        <v/>
      </c>
    </row>
    <row r="1284" ht="15.75" customHeight="1" s="52">
      <c r="A1284" s="92">
        <f>IF('7B'!B34&lt;&gt;"","7B","")</f>
        <v/>
      </c>
      <c r="B1284" s="82">
        <f>IF('7B'!B34&lt;&gt;"",'7B'!B34,"")</f>
        <v/>
      </c>
      <c r="C1284" s="82">
        <f>IF('7B'!B34&lt;&gt;"",'7B'!C34,"")</f>
        <v/>
      </c>
      <c r="D1284" s="82">
        <f>IF('7B'!B34&lt;&gt;"",'7B'!D34,"")</f>
        <v/>
      </c>
      <c r="E1284" s="82">
        <f>IF('7B'!B34&lt;&gt;"",'7B'!E34,"")</f>
        <v/>
      </c>
      <c r="F1284" s="82">
        <f>IF('7B'!B34&lt;&gt;"",'7B'!F34,"")</f>
        <v/>
      </c>
      <c r="G1284" s="82">
        <f>IF('7B'!B34&lt;&gt;"",'7B'!G34,"")</f>
        <v/>
      </c>
      <c r="H1284" s="92">
        <f>IF('7B'!B34&lt;&gt;"",'7B'!H34,"")</f>
        <v/>
      </c>
      <c r="I1284" s="92">
        <f>IF('7B'!B34&lt;&gt;"",'7B'!I34,"")</f>
        <v/>
      </c>
      <c r="J1284" s="82">
        <f>IF('7B'!B34&lt;&gt;"",'7B'!J34,"")</f>
        <v/>
      </c>
    </row>
    <row r="1285" ht="15.75" customHeight="1" s="52">
      <c r="A1285" s="97">
        <f>IF('7B'!B35&lt;&gt;"","7B","")</f>
        <v/>
      </c>
      <c r="B1285" s="78">
        <f>IF('7B'!B35&lt;&gt;"",'7B'!B35,"")</f>
        <v/>
      </c>
      <c r="C1285" s="78">
        <f>IF('7B'!B35&lt;&gt;"",'7B'!C35,"")</f>
        <v/>
      </c>
      <c r="D1285" s="78">
        <f>IF('7B'!B35&lt;&gt;"",'7B'!D35,"")</f>
        <v/>
      </c>
      <c r="E1285" s="78">
        <f>IF('7B'!B35&lt;&gt;"",'7B'!E35,"")</f>
        <v/>
      </c>
      <c r="F1285" s="78">
        <f>IF('7B'!B35&lt;&gt;"",'7B'!F35,"")</f>
        <v/>
      </c>
      <c r="G1285" s="78">
        <f>IF('7B'!B35&lt;&gt;"",'7B'!G35,"")</f>
        <v/>
      </c>
      <c r="H1285" s="97">
        <f>IF('7B'!B35&lt;&gt;"",'7B'!H35,"")</f>
        <v/>
      </c>
      <c r="I1285" s="97">
        <f>IF('7B'!B35&lt;&gt;"",'7B'!I35,"")</f>
        <v/>
      </c>
      <c r="J1285" s="78">
        <f>IF('7B'!B35&lt;&gt;"",'7B'!J35,"")</f>
        <v/>
      </c>
    </row>
    <row r="1286" ht="15.75" customHeight="1" s="52">
      <c r="A1286" s="92">
        <f>IF('7B'!B36&lt;&gt;"","7B","")</f>
        <v/>
      </c>
      <c r="B1286" s="82">
        <f>IF('7B'!B36&lt;&gt;"",'7B'!B36,"")</f>
        <v/>
      </c>
      <c r="C1286" s="82">
        <f>IF('7B'!B36&lt;&gt;"",'7B'!C36,"")</f>
        <v/>
      </c>
      <c r="D1286" s="82">
        <f>IF('7B'!B36&lt;&gt;"",'7B'!D36,"")</f>
        <v/>
      </c>
      <c r="E1286" s="82">
        <f>IF('7B'!B36&lt;&gt;"",'7B'!E36,"")</f>
        <v/>
      </c>
      <c r="F1286" s="82">
        <f>IF('7B'!B36&lt;&gt;"",'7B'!F36,"")</f>
        <v/>
      </c>
      <c r="G1286" s="82">
        <f>IF('7B'!B36&lt;&gt;"",'7B'!G36,"")</f>
        <v/>
      </c>
      <c r="H1286" s="92">
        <f>IF('7B'!B36&lt;&gt;"",'7B'!H36,"")</f>
        <v/>
      </c>
      <c r="I1286" s="92">
        <f>IF('7B'!B36&lt;&gt;"",'7B'!I36,"")</f>
        <v/>
      </c>
      <c r="J1286" s="82">
        <f>IF('7B'!B36&lt;&gt;"",'7B'!J36,"")</f>
        <v/>
      </c>
    </row>
    <row r="1287" ht="15.75" customHeight="1" s="52">
      <c r="A1287" s="97">
        <f>IF('7B'!B37&lt;&gt;"","7B","")</f>
        <v/>
      </c>
      <c r="B1287" s="78">
        <f>IF('7B'!B37&lt;&gt;"",'7B'!B37,"")</f>
        <v/>
      </c>
      <c r="C1287" s="78">
        <f>IF('7B'!B37&lt;&gt;"",'7B'!C37,"")</f>
        <v/>
      </c>
      <c r="D1287" s="78">
        <f>IF('7B'!B37&lt;&gt;"",'7B'!D37,"")</f>
        <v/>
      </c>
      <c r="E1287" s="78">
        <f>IF('7B'!B37&lt;&gt;"",'7B'!E37,"")</f>
        <v/>
      </c>
      <c r="F1287" s="78">
        <f>IF('7B'!B37&lt;&gt;"",'7B'!F37,"")</f>
        <v/>
      </c>
      <c r="G1287" s="78">
        <f>IF('7B'!B37&lt;&gt;"",'7B'!G37,"")</f>
        <v/>
      </c>
      <c r="H1287" s="97">
        <f>IF('7B'!B37&lt;&gt;"",'7B'!H37,"")</f>
        <v/>
      </c>
      <c r="I1287" s="97">
        <f>IF('7B'!B37&lt;&gt;"",'7B'!I37,"")</f>
        <v/>
      </c>
      <c r="J1287" s="78">
        <f>IF('7B'!B37&lt;&gt;"",'7B'!J37,"")</f>
        <v/>
      </c>
    </row>
    <row r="1288" ht="15.75" customHeight="1" s="52">
      <c r="A1288" s="92">
        <f>IF('7B'!B38&lt;&gt;"","7B","")</f>
        <v/>
      </c>
      <c r="B1288" s="82">
        <f>IF('7B'!B38&lt;&gt;"",'7B'!B38,"")</f>
        <v/>
      </c>
      <c r="C1288" s="82">
        <f>IF('7B'!B38&lt;&gt;"",'7B'!C38,"")</f>
        <v/>
      </c>
      <c r="D1288" s="82">
        <f>IF('7B'!B38&lt;&gt;"",'7B'!D38,"")</f>
        <v/>
      </c>
      <c r="E1288" s="82">
        <f>IF('7B'!B38&lt;&gt;"",'7B'!E38,"")</f>
        <v/>
      </c>
      <c r="F1288" s="82">
        <f>IF('7B'!B38&lt;&gt;"",'7B'!F38,"")</f>
        <v/>
      </c>
      <c r="G1288" s="82">
        <f>IF('7B'!B38&lt;&gt;"",'7B'!G38,"")</f>
        <v/>
      </c>
      <c r="H1288" s="92">
        <f>IF('7B'!B38&lt;&gt;"",'7B'!H38,"")</f>
        <v/>
      </c>
      <c r="I1288" s="92">
        <f>IF('7B'!B38&lt;&gt;"",'7B'!I38,"")</f>
        <v/>
      </c>
      <c r="J1288" s="82">
        <f>IF('7B'!B38&lt;&gt;"",'7B'!J38,"")</f>
        <v/>
      </c>
    </row>
    <row r="1289" ht="15.75" customHeight="1" s="52">
      <c r="A1289" s="97">
        <f>IF('7B'!B39&lt;&gt;"","7B","")</f>
        <v/>
      </c>
      <c r="B1289" s="78">
        <f>IF('7B'!B39&lt;&gt;"",'7B'!B39,"")</f>
        <v/>
      </c>
      <c r="C1289" s="78">
        <f>IF('7B'!B39&lt;&gt;"",'7B'!C39,"")</f>
        <v/>
      </c>
      <c r="D1289" s="78">
        <f>IF('7B'!B39&lt;&gt;"",'7B'!D39,"")</f>
        <v/>
      </c>
      <c r="E1289" s="78">
        <f>IF('7B'!B39&lt;&gt;"",'7B'!E39,"")</f>
        <v/>
      </c>
      <c r="F1289" s="78">
        <f>IF('7B'!B39&lt;&gt;"",'7B'!F39,"")</f>
        <v/>
      </c>
      <c r="G1289" s="78">
        <f>IF('7B'!B39&lt;&gt;"",'7B'!G39,"")</f>
        <v/>
      </c>
      <c r="H1289" s="97">
        <f>IF('7B'!B39&lt;&gt;"",'7B'!H39,"")</f>
        <v/>
      </c>
      <c r="I1289" s="97">
        <f>IF('7B'!B39&lt;&gt;"",'7B'!I39,"")</f>
        <v/>
      </c>
      <c r="J1289" s="78">
        <f>IF('7B'!B39&lt;&gt;"",'7B'!J39,"")</f>
        <v/>
      </c>
    </row>
    <row r="1290" ht="15.75" customHeight="1" s="52">
      <c r="A1290" s="92">
        <f>IF('7B'!B40&lt;&gt;"","7B","")</f>
        <v/>
      </c>
      <c r="B1290" s="82">
        <f>IF('7B'!B40&lt;&gt;"",'7B'!B40,"")</f>
        <v/>
      </c>
      <c r="C1290" s="82">
        <f>IF('7B'!B40&lt;&gt;"",'7B'!C40,"")</f>
        <v/>
      </c>
      <c r="D1290" s="82">
        <f>IF('7B'!B40&lt;&gt;"",'7B'!D40,"")</f>
        <v/>
      </c>
      <c r="E1290" s="82">
        <f>IF('7B'!B40&lt;&gt;"",'7B'!E40,"")</f>
        <v/>
      </c>
      <c r="F1290" s="82">
        <f>IF('7B'!B40&lt;&gt;"",'7B'!F40,"")</f>
        <v/>
      </c>
      <c r="G1290" s="82">
        <f>IF('7B'!B40&lt;&gt;"",'7B'!G40,"")</f>
        <v/>
      </c>
      <c r="H1290" s="92">
        <f>IF('7B'!B40&lt;&gt;"",'7B'!H40,"")</f>
        <v/>
      </c>
      <c r="I1290" s="92">
        <f>IF('7B'!B40&lt;&gt;"",'7B'!I40,"")</f>
        <v/>
      </c>
      <c r="J1290" s="82">
        <f>IF('7B'!B40&lt;&gt;"",'7B'!J40,"")</f>
        <v/>
      </c>
    </row>
    <row r="1291" ht="15.75" customHeight="1" s="52">
      <c r="A1291" s="97">
        <f>IF('7B'!B41&lt;&gt;"","7B","")</f>
        <v/>
      </c>
      <c r="B1291" s="78">
        <f>IF('7B'!B41&lt;&gt;"",'7B'!B41,"")</f>
        <v/>
      </c>
      <c r="C1291" s="78">
        <f>IF('7B'!B41&lt;&gt;"",'7B'!C41,"")</f>
        <v/>
      </c>
      <c r="D1291" s="78">
        <f>IF('7B'!B41&lt;&gt;"",'7B'!D41,"")</f>
        <v/>
      </c>
      <c r="E1291" s="78">
        <f>IF('7B'!B41&lt;&gt;"",'7B'!E41,"")</f>
        <v/>
      </c>
      <c r="F1291" s="78">
        <f>IF('7B'!B41&lt;&gt;"",'7B'!F41,"")</f>
        <v/>
      </c>
      <c r="G1291" s="78">
        <f>IF('7B'!B41&lt;&gt;"",'7B'!G41,"")</f>
        <v/>
      </c>
      <c r="H1291" s="97">
        <f>IF('7B'!B41&lt;&gt;"",'7B'!H41,"")</f>
        <v/>
      </c>
      <c r="I1291" s="97">
        <f>IF('7B'!B41&lt;&gt;"",'7B'!I41,"")</f>
        <v/>
      </c>
      <c r="J1291" s="78">
        <f>IF('7B'!B41&lt;&gt;"",'7B'!J41,"")</f>
        <v/>
      </c>
    </row>
    <row r="1292" ht="15.75" customHeight="1" s="52">
      <c r="A1292" s="92">
        <f>IF('7B'!B42&lt;&gt;"","7B","")</f>
        <v/>
      </c>
      <c r="B1292" s="82">
        <f>IF('7B'!B42&lt;&gt;"",'7B'!B42,"")</f>
        <v/>
      </c>
      <c r="C1292" s="82">
        <f>IF('7B'!B42&lt;&gt;"",'7B'!C42,"")</f>
        <v/>
      </c>
      <c r="D1292" s="82">
        <f>IF('7B'!B42&lt;&gt;"",'7B'!D42,"")</f>
        <v/>
      </c>
      <c r="E1292" s="82">
        <f>IF('7B'!B42&lt;&gt;"",'7B'!E42,"")</f>
        <v/>
      </c>
      <c r="F1292" s="82">
        <f>IF('7B'!B42&lt;&gt;"",'7B'!F42,"")</f>
        <v/>
      </c>
      <c r="G1292" s="82">
        <f>IF('7B'!B42&lt;&gt;"",'7B'!G42,"")</f>
        <v/>
      </c>
      <c r="H1292" s="92">
        <f>IF('7B'!B42&lt;&gt;"",'7B'!H42,"")</f>
        <v/>
      </c>
      <c r="I1292" s="92">
        <f>IF('7B'!B42&lt;&gt;"",'7B'!I42,"")</f>
        <v/>
      </c>
      <c r="J1292" s="82">
        <f>IF('7B'!B42&lt;&gt;"",'7B'!J42,"")</f>
        <v/>
      </c>
    </row>
    <row r="1293" ht="15.75" customHeight="1" s="52">
      <c r="A1293" s="97">
        <f>IF('7B'!B43&lt;&gt;"","7B","")</f>
        <v/>
      </c>
      <c r="B1293" s="78">
        <f>IF('7B'!B43&lt;&gt;"",'7B'!B43,"")</f>
        <v/>
      </c>
      <c r="C1293" s="78">
        <f>IF('7B'!B43&lt;&gt;"",'7B'!C43,"")</f>
        <v/>
      </c>
      <c r="D1293" s="78">
        <f>IF('7B'!B43&lt;&gt;"",'7B'!D43,"")</f>
        <v/>
      </c>
      <c r="E1293" s="78">
        <f>IF('7B'!B43&lt;&gt;"",'7B'!E43,"")</f>
        <v/>
      </c>
      <c r="F1293" s="78">
        <f>IF('7B'!B43&lt;&gt;"",'7B'!F43,"")</f>
        <v/>
      </c>
      <c r="G1293" s="78">
        <f>IF('7B'!B43&lt;&gt;"",'7B'!G43,"")</f>
        <v/>
      </c>
      <c r="H1293" s="97">
        <f>IF('7B'!B43&lt;&gt;"",'7B'!H43,"")</f>
        <v/>
      </c>
      <c r="I1293" s="97">
        <f>IF('7B'!B43&lt;&gt;"",'7B'!I43,"")</f>
        <v/>
      </c>
      <c r="J1293" s="78">
        <f>IF('7B'!B43&lt;&gt;"",'7B'!J43,"")</f>
        <v/>
      </c>
    </row>
    <row r="1294" ht="15.75" customHeight="1" s="52">
      <c r="A1294" s="92">
        <f>IF('7B'!B44&lt;&gt;"","7B","")</f>
        <v/>
      </c>
      <c r="B1294" s="82">
        <f>IF('7B'!B44&lt;&gt;"",'7B'!B44,"")</f>
        <v/>
      </c>
      <c r="C1294" s="82">
        <f>IF('7B'!B44&lt;&gt;"",'7B'!C44,"")</f>
        <v/>
      </c>
      <c r="D1294" s="82">
        <f>IF('7B'!B44&lt;&gt;"",'7B'!D44,"")</f>
        <v/>
      </c>
      <c r="E1294" s="82">
        <f>IF('7B'!B44&lt;&gt;"",'7B'!E44,"")</f>
        <v/>
      </c>
      <c r="F1294" s="82">
        <f>IF('7B'!B44&lt;&gt;"",'7B'!F44,"")</f>
        <v/>
      </c>
      <c r="G1294" s="82">
        <f>IF('7B'!B44&lt;&gt;"",'7B'!G44,"")</f>
        <v/>
      </c>
      <c r="H1294" s="92">
        <f>IF('7B'!B44&lt;&gt;"",'7B'!H44,"")</f>
        <v/>
      </c>
      <c r="I1294" s="92">
        <f>IF('7B'!B44&lt;&gt;"",'7B'!I44,"")</f>
        <v/>
      </c>
      <c r="J1294" s="82">
        <f>IF('7B'!B44&lt;&gt;"",'7B'!J44,"")</f>
        <v/>
      </c>
    </row>
    <row r="1295" ht="15.75" customHeight="1" s="52">
      <c r="A1295" s="97">
        <f>IF('7B'!B45&lt;&gt;"","7B","")</f>
        <v/>
      </c>
      <c r="B1295" s="78">
        <f>IF('7B'!B45&lt;&gt;"",'7B'!B45,"")</f>
        <v/>
      </c>
      <c r="C1295" s="78">
        <f>IF('7B'!B45&lt;&gt;"",'7B'!C45,"")</f>
        <v/>
      </c>
      <c r="D1295" s="78">
        <f>IF('7B'!B45&lt;&gt;"",'7B'!D45,"")</f>
        <v/>
      </c>
      <c r="E1295" s="78">
        <f>IF('7B'!B45&lt;&gt;"",'7B'!E45,"")</f>
        <v/>
      </c>
      <c r="F1295" s="78">
        <f>IF('7B'!B45&lt;&gt;"",'7B'!F45,"")</f>
        <v/>
      </c>
      <c r="G1295" s="78">
        <f>IF('7B'!B45&lt;&gt;"",'7B'!G45,"")</f>
        <v/>
      </c>
      <c r="H1295" s="97">
        <f>IF('7B'!B45&lt;&gt;"",'7B'!H45,"")</f>
        <v/>
      </c>
      <c r="I1295" s="97">
        <f>IF('7B'!B45&lt;&gt;"",'7B'!I45,"")</f>
        <v/>
      </c>
      <c r="J1295" s="78">
        <f>IF('7B'!B45&lt;&gt;"",'7B'!J45,"")</f>
        <v/>
      </c>
    </row>
    <row r="1296" ht="15.75" customHeight="1" s="52">
      <c r="A1296" s="92">
        <f>IF('7B'!B46&lt;&gt;"","7B","")</f>
        <v/>
      </c>
      <c r="B1296" s="82">
        <f>IF('7B'!B46&lt;&gt;"",'7B'!B46,"")</f>
        <v/>
      </c>
      <c r="C1296" s="82">
        <f>IF('7B'!B46&lt;&gt;"",'7B'!C46,"")</f>
        <v/>
      </c>
      <c r="D1296" s="82">
        <f>IF('7B'!B46&lt;&gt;"",'7B'!D46,"")</f>
        <v/>
      </c>
      <c r="E1296" s="82">
        <f>IF('7B'!B46&lt;&gt;"",'7B'!E46,"")</f>
        <v/>
      </c>
      <c r="F1296" s="82">
        <f>IF('7B'!B46&lt;&gt;"",'7B'!F46,"")</f>
        <v/>
      </c>
      <c r="G1296" s="82">
        <f>IF('7B'!B46&lt;&gt;"",'7B'!G46,"")</f>
        <v/>
      </c>
      <c r="H1296" s="92">
        <f>IF('7B'!B46&lt;&gt;"",'7B'!H46,"")</f>
        <v/>
      </c>
      <c r="I1296" s="92">
        <f>IF('7B'!B46&lt;&gt;"",'7B'!I46,"")</f>
        <v/>
      </c>
      <c r="J1296" s="82">
        <f>IF('7B'!B46&lt;&gt;"",'7B'!J46,"")</f>
        <v/>
      </c>
    </row>
    <row r="1297" ht="15.75" customHeight="1" s="52">
      <c r="A1297" s="97">
        <f>IF('7B'!B47&lt;&gt;"","7B","")</f>
        <v/>
      </c>
      <c r="B1297" s="78">
        <f>IF('7B'!B47&lt;&gt;"",'7B'!B47,"")</f>
        <v/>
      </c>
      <c r="C1297" s="78">
        <f>IF('7B'!B47&lt;&gt;"",'7B'!C47,"")</f>
        <v/>
      </c>
      <c r="D1297" s="78">
        <f>IF('7B'!B47&lt;&gt;"",'7B'!D47,"")</f>
        <v/>
      </c>
      <c r="E1297" s="78">
        <f>IF('7B'!B47&lt;&gt;"",'7B'!E47,"")</f>
        <v/>
      </c>
      <c r="F1297" s="78">
        <f>IF('7B'!B47&lt;&gt;"",'7B'!F47,"")</f>
        <v/>
      </c>
      <c r="G1297" s="78">
        <f>IF('7B'!B47&lt;&gt;"",'7B'!G47,"")</f>
        <v/>
      </c>
      <c r="H1297" s="97">
        <f>IF('7B'!B47&lt;&gt;"",'7B'!H47,"")</f>
        <v/>
      </c>
      <c r="I1297" s="97">
        <f>IF('7B'!B47&lt;&gt;"",'7B'!I47,"")</f>
        <v/>
      </c>
      <c r="J1297" s="78">
        <f>IF('7B'!B47&lt;&gt;"",'7B'!J47,"")</f>
        <v/>
      </c>
    </row>
    <row r="1298" ht="15.75" customHeight="1" s="52">
      <c r="A1298" s="92">
        <f>IF('7B'!B48&lt;&gt;"","7B","")</f>
        <v/>
      </c>
      <c r="B1298" s="82">
        <f>IF('7B'!B48&lt;&gt;"",'7B'!B48,"")</f>
        <v/>
      </c>
      <c r="C1298" s="82">
        <f>IF('7B'!B48&lt;&gt;"",'7B'!C48,"")</f>
        <v/>
      </c>
      <c r="D1298" s="82">
        <f>IF('7B'!B48&lt;&gt;"",'7B'!D48,"")</f>
        <v/>
      </c>
      <c r="E1298" s="82">
        <f>IF('7B'!B48&lt;&gt;"",'7B'!E48,"")</f>
        <v/>
      </c>
      <c r="F1298" s="82">
        <f>IF('7B'!B48&lt;&gt;"",'7B'!F48,"")</f>
        <v/>
      </c>
      <c r="G1298" s="82">
        <f>IF('7B'!B48&lt;&gt;"",'7B'!G48,"")</f>
        <v/>
      </c>
      <c r="H1298" s="92">
        <f>IF('7B'!B48&lt;&gt;"",'7B'!H48,"")</f>
        <v/>
      </c>
      <c r="I1298" s="92">
        <f>IF('7B'!B48&lt;&gt;"",'7B'!I48,"")</f>
        <v/>
      </c>
      <c r="J1298" s="82">
        <f>IF('7B'!B48&lt;&gt;"",'7B'!J48,"")</f>
        <v/>
      </c>
    </row>
    <row r="1299" ht="15.75" customHeight="1" s="52">
      <c r="A1299" s="97">
        <f>IF('7B'!B49&lt;&gt;"","7B","")</f>
        <v/>
      </c>
      <c r="B1299" s="78">
        <f>IF('7B'!B49&lt;&gt;"",'7B'!B49,"")</f>
        <v/>
      </c>
      <c r="C1299" s="78">
        <f>IF('7B'!B49&lt;&gt;"",'7B'!C49,"")</f>
        <v/>
      </c>
      <c r="D1299" s="78">
        <f>IF('7B'!B49&lt;&gt;"",'7B'!D49,"")</f>
        <v/>
      </c>
      <c r="E1299" s="78">
        <f>IF('7B'!B49&lt;&gt;"",'7B'!E49,"")</f>
        <v/>
      </c>
      <c r="F1299" s="78">
        <f>IF('7B'!B49&lt;&gt;"",'7B'!F49,"")</f>
        <v/>
      </c>
      <c r="G1299" s="78">
        <f>IF('7B'!B49&lt;&gt;"",'7B'!G49,"")</f>
        <v/>
      </c>
      <c r="H1299" s="97">
        <f>IF('7B'!B49&lt;&gt;"",'7B'!H49,"")</f>
        <v/>
      </c>
      <c r="I1299" s="97">
        <f>IF('7B'!B49&lt;&gt;"",'7B'!I49,"")</f>
        <v/>
      </c>
      <c r="J1299" s="78">
        <f>IF('7B'!B49&lt;&gt;"",'7B'!J49,"")</f>
        <v/>
      </c>
    </row>
    <row r="1300" ht="15.75" customHeight="1" s="52">
      <c r="A1300" s="92">
        <f>IF('7B'!B50&lt;&gt;"","7B","")</f>
        <v/>
      </c>
      <c r="B1300" s="82">
        <f>IF('7B'!B50&lt;&gt;"",'7B'!B50,"")</f>
        <v/>
      </c>
      <c r="C1300" s="82">
        <f>IF('7B'!B50&lt;&gt;"",'7B'!C50,"")</f>
        <v/>
      </c>
      <c r="D1300" s="82">
        <f>IF('7B'!B50&lt;&gt;"",'7B'!D50,"")</f>
        <v/>
      </c>
      <c r="E1300" s="82">
        <f>IF('7B'!B50&lt;&gt;"",'7B'!E50,"")</f>
        <v/>
      </c>
      <c r="F1300" s="82">
        <f>IF('7B'!B50&lt;&gt;"",'7B'!F50,"")</f>
        <v/>
      </c>
      <c r="G1300" s="82">
        <f>IF('7B'!B50&lt;&gt;"",'7B'!G50,"")</f>
        <v/>
      </c>
      <c r="H1300" s="92">
        <f>IF('7B'!B50&lt;&gt;"",'7B'!H50,"")</f>
        <v/>
      </c>
      <c r="I1300" s="92">
        <f>IF('7B'!B50&lt;&gt;"",'7B'!I50,"")</f>
        <v/>
      </c>
      <c r="J1300" s="82">
        <f>IF('7B'!B50&lt;&gt;"",'7B'!J50,"")</f>
        <v/>
      </c>
    </row>
    <row r="1301" ht="15.75" customHeight="1" s="52">
      <c r="A1301" s="97">
        <f>IF('7B'!B51&lt;&gt;"","7B","")</f>
        <v/>
      </c>
      <c r="B1301" s="78">
        <f>IF('7B'!B51&lt;&gt;"",'7B'!B51,"")</f>
        <v/>
      </c>
      <c r="C1301" s="78">
        <f>IF('7B'!B51&lt;&gt;"",'7B'!C51,"")</f>
        <v/>
      </c>
      <c r="D1301" s="78">
        <f>IF('7B'!B51&lt;&gt;"",'7B'!D51,"")</f>
        <v/>
      </c>
      <c r="E1301" s="78">
        <f>IF('7B'!B51&lt;&gt;"",'7B'!E51,"")</f>
        <v/>
      </c>
      <c r="F1301" s="78">
        <f>IF('7B'!B51&lt;&gt;"",'7B'!F51,"")</f>
        <v/>
      </c>
      <c r="G1301" s="78">
        <f>IF('7B'!B51&lt;&gt;"",'7B'!G51,"")</f>
        <v/>
      </c>
      <c r="H1301" s="97">
        <f>IF('7B'!B51&lt;&gt;"",'7B'!H51,"")</f>
        <v/>
      </c>
      <c r="I1301" s="97">
        <f>IF('7B'!B51&lt;&gt;"",'7B'!I51,"")</f>
        <v/>
      </c>
      <c r="J1301" s="78">
        <f>IF('7B'!B51&lt;&gt;"",'7B'!J51,"")</f>
        <v/>
      </c>
    </row>
    <row r="1302" ht="15.75" customHeight="1" s="52">
      <c r="A1302" s="92">
        <f>IF('7B'!B52&lt;&gt;"","7B","")</f>
        <v/>
      </c>
      <c r="B1302" s="82">
        <f>IF('7B'!B52&lt;&gt;"",'7B'!B52,"")</f>
        <v/>
      </c>
      <c r="C1302" s="82">
        <f>IF('7B'!B52&lt;&gt;"",'7B'!C52,"")</f>
        <v/>
      </c>
      <c r="D1302" s="82">
        <f>IF('7B'!B52&lt;&gt;"",'7B'!D52,"")</f>
        <v/>
      </c>
      <c r="E1302" s="82">
        <f>IF('7B'!B52&lt;&gt;"",'7B'!E52,"")</f>
        <v/>
      </c>
      <c r="F1302" s="82">
        <f>IF('7B'!B52&lt;&gt;"",'7B'!F52,"")</f>
        <v/>
      </c>
      <c r="G1302" s="82">
        <f>IF('7B'!B52&lt;&gt;"",'7B'!G52,"")</f>
        <v/>
      </c>
      <c r="H1302" s="92">
        <f>IF('7B'!B52&lt;&gt;"",'7B'!H52,"")</f>
        <v/>
      </c>
      <c r="I1302" s="92">
        <f>IF('7B'!B52&lt;&gt;"",'7B'!I52,"")</f>
        <v/>
      </c>
      <c r="J1302" s="82">
        <f>IF('7B'!B52&lt;&gt;"",'7B'!J52,"")</f>
        <v/>
      </c>
    </row>
    <row r="1303" ht="15.75" customHeight="1" s="52">
      <c r="A1303" s="97">
        <f>IF('7B'!B53&lt;&gt;"","7B","")</f>
        <v/>
      </c>
      <c r="B1303" s="78">
        <f>IF('7B'!B53&lt;&gt;"",'7B'!B53,"")</f>
        <v/>
      </c>
      <c r="C1303" s="78">
        <f>IF('7B'!B53&lt;&gt;"",'7B'!C53,"")</f>
        <v/>
      </c>
      <c r="D1303" s="78">
        <f>IF('7B'!B53&lt;&gt;"",'7B'!D53,"")</f>
        <v/>
      </c>
      <c r="E1303" s="78">
        <f>IF('7B'!B53&lt;&gt;"",'7B'!E53,"")</f>
        <v/>
      </c>
      <c r="F1303" s="78">
        <f>IF('7B'!B53&lt;&gt;"",'7B'!F53,"")</f>
        <v/>
      </c>
      <c r="G1303" s="78">
        <f>IF('7B'!B53&lt;&gt;"",'7B'!G53,"")</f>
        <v/>
      </c>
      <c r="H1303" s="97">
        <f>IF('7B'!B53&lt;&gt;"",'7B'!H53,"")</f>
        <v/>
      </c>
      <c r="I1303" s="97">
        <f>IF('7B'!B53&lt;&gt;"",'7B'!I53,"")</f>
        <v/>
      </c>
      <c r="J1303" s="78">
        <f>IF('7B'!B53&lt;&gt;"",'7B'!J53,"")</f>
        <v/>
      </c>
    </row>
    <row r="1304" ht="15.75" customHeight="1" s="52">
      <c r="A1304" s="92">
        <f>IF('7B'!B54&lt;&gt;"","7B","")</f>
        <v/>
      </c>
      <c r="B1304" s="82">
        <f>IF('7B'!B54&lt;&gt;"",'7B'!B54,"")</f>
        <v/>
      </c>
      <c r="C1304" s="82">
        <f>IF('7B'!B54&lt;&gt;"",'7B'!C54,"")</f>
        <v/>
      </c>
      <c r="D1304" s="82">
        <f>IF('7B'!B54&lt;&gt;"",'7B'!D54,"")</f>
        <v/>
      </c>
      <c r="E1304" s="82">
        <f>IF('7B'!B54&lt;&gt;"",'7B'!E54,"")</f>
        <v/>
      </c>
      <c r="F1304" s="82">
        <f>IF('7B'!B54&lt;&gt;"",'7B'!F54,"")</f>
        <v/>
      </c>
      <c r="G1304" s="82">
        <f>IF('7B'!B54&lt;&gt;"",'7B'!G54,"")</f>
        <v/>
      </c>
      <c r="H1304" s="92">
        <f>IF('7B'!B54&lt;&gt;"",'7B'!H54,"")</f>
        <v/>
      </c>
      <c r="I1304" s="92">
        <f>IF('7B'!B54&lt;&gt;"",'7B'!I54,"")</f>
        <v/>
      </c>
      <c r="J1304" s="82">
        <f>IF('7B'!B54&lt;&gt;"",'7B'!J54,"")</f>
        <v/>
      </c>
    </row>
    <row r="1305" ht="15.75" customHeight="1" s="52">
      <c r="A1305" s="97">
        <f>IF('7C'!B5&lt;&gt;"","7C","")</f>
        <v/>
      </c>
      <c r="B1305" s="78">
        <f>IF('7C'!B5&lt;&gt;"",'7C'!B5,"")</f>
        <v/>
      </c>
      <c r="C1305" s="78">
        <f>IF('7C'!B5&lt;&gt;"",'7C'!C5,"")</f>
        <v/>
      </c>
      <c r="D1305" s="78">
        <f>IF('7C'!B5&lt;&gt;"",'7C'!D5,"")</f>
        <v/>
      </c>
      <c r="E1305" s="78">
        <f>IF('7C'!B5&lt;&gt;"",'7C'!E5,"")</f>
        <v/>
      </c>
      <c r="F1305" s="78">
        <f>IF('7C'!B5&lt;&gt;"",'7C'!F5,"")</f>
        <v/>
      </c>
      <c r="G1305" s="78">
        <f>IF('7C'!B5&lt;&gt;"",'7C'!G5,"")</f>
        <v/>
      </c>
      <c r="H1305" s="97">
        <f>IF('7C'!B5&lt;&gt;"",'7C'!H5,"")</f>
        <v/>
      </c>
      <c r="I1305" s="97">
        <f>IF('7C'!B5&lt;&gt;"",'7C'!I5,"")</f>
        <v/>
      </c>
      <c r="J1305" s="78">
        <f>IF('7C'!B5&lt;&gt;"",'7C'!J5,"")</f>
        <v/>
      </c>
    </row>
    <row r="1306" ht="15.75" customHeight="1" s="52">
      <c r="A1306" s="92">
        <f>IF('7C'!B6&lt;&gt;"","7C","")</f>
        <v/>
      </c>
      <c r="B1306" s="82">
        <f>IF('7C'!B6&lt;&gt;"",'7C'!B6,"")</f>
        <v/>
      </c>
      <c r="C1306" s="82">
        <f>IF('7C'!B6&lt;&gt;"",'7C'!C6,"")</f>
        <v/>
      </c>
      <c r="D1306" s="82">
        <f>IF('7C'!B6&lt;&gt;"",'7C'!D6,"")</f>
        <v/>
      </c>
      <c r="E1306" s="82">
        <f>IF('7C'!B6&lt;&gt;"",'7C'!E6,"")</f>
        <v/>
      </c>
      <c r="F1306" s="82">
        <f>IF('7C'!B6&lt;&gt;"",'7C'!F6,"")</f>
        <v/>
      </c>
      <c r="G1306" s="82">
        <f>IF('7C'!B6&lt;&gt;"",'7C'!G6,"")</f>
        <v/>
      </c>
      <c r="H1306" s="92">
        <f>IF('7C'!B6&lt;&gt;"",'7C'!H6,"")</f>
        <v/>
      </c>
      <c r="I1306" s="92">
        <f>IF('7C'!B6&lt;&gt;"",'7C'!I6,"")</f>
        <v/>
      </c>
      <c r="J1306" s="82">
        <f>IF('7C'!B6&lt;&gt;"",'7C'!J6,"")</f>
        <v/>
      </c>
    </row>
    <row r="1307" ht="15.75" customHeight="1" s="52">
      <c r="A1307" s="97">
        <f>IF('7C'!B7&lt;&gt;"","7C","")</f>
        <v/>
      </c>
      <c r="B1307" s="78">
        <f>IF('7C'!B7&lt;&gt;"",'7C'!B7,"")</f>
        <v/>
      </c>
      <c r="C1307" s="78">
        <f>IF('7C'!B7&lt;&gt;"",'7C'!C7,"")</f>
        <v/>
      </c>
      <c r="D1307" s="78">
        <f>IF('7C'!B7&lt;&gt;"",'7C'!D7,"")</f>
        <v/>
      </c>
      <c r="E1307" s="78">
        <f>IF('7C'!B7&lt;&gt;"",'7C'!E7,"")</f>
        <v/>
      </c>
      <c r="F1307" s="78">
        <f>IF('7C'!B7&lt;&gt;"",'7C'!F7,"")</f>
        <v/>
      </c>
      <c r="G1307" s="78">
        <f>IF('7C'!B7&lt;&gt;"",'7C'!G7,"")</f>
        <v/>
      </c>
      <c r="H1307" s="97">
        <f>IF('7C'!B7&lt;&gt;"",'7C'!H7,"")</f>
        <v/>
      </c>
      <c r="I1307" s="97">
        <f>IF('7C'!B7&lt;&gt;"",'7C'!I7,"")</f>
        <v/>
      </c>
      <c r="J1307" s="78">
        <f>IF('7C'!B7&lt;&gt;"",'7C'!J7,"")</f>
        <v/>
      </c>
    </row>
    <row r="1308" ht="15.75" customHeight="1" s="52">
      <c r="A1308" s="92">
        <f>IF('7C'!B8&lt;&gt;"","7C","")</f>
        <v/>
      </c>
      <c r="B1308" s="82">
        <f>IF('7C'!B8&lt;&gt;"",'7C'!B8,"")</f>
        <v/>
      </c>
      <c r="C1308" s="82">
        <f>IF('7C'!B8&lt;&gt;"",'7C'!C8,"")</f>
        <v/>
      </c>
      <c r="D1308" s="82">
        <f>IF('7C'!B8&lt;&gt;"",'7C'!D8,"")</f>
        <v/>
      </c>
      <c r="E1308" s="82">
        <f>IF('7C'!B8&lt;&gt;"",'7C'!E8,"")</f>
        <v/>
      </c>
      <c r="F1308" s="82">
        <f>IF('7C'!B8&lt;&gt;"",'7C'!F8,"")</f>
        <v/>
      </c>
      <c r="G1308" s="82">
        <f>IF('7C'!B8&lt;&gt;"",'7C'!G8,"")</f>
        <v/>
      </c>
      <c r="H1308" s="92">
        <f>IF('7C'!B8&lt;&gt;"",'7C'!H8,"")</f>
        <v/>
      </c>
      <c r="I1308" s="92">
        <f>IF('7C'!B8&lt;&gt;"",'7C'!I8,"")</f>
        <v/>
      </c>
      <c r="J1308" s="82">
        <f>IF('7C'!B8&lt;&gt;"",'7C'!J8,"")</f>
        <v/>
      </c>
    </row>
    <row r="1309" ht="15.75" customHeight="1" s="52">
      <c r="A1309" s="97">
        <f>IF('7C'!B9&lt;&gt;"","7C","")</f>
        <v/>
      </c>
      <c r="B1309" s="78">
        <f>IF('7C'!B9&lt;&gt;"",'7C'!B9,"")</f>
        <v/>
      </c>
      <c r="C1309" s="78">
        <f>IF('7C'!B9&lt;&gt;"",'7C'!C9,"")</f>
        <v/>
      </c>
      <c r="D1309" s="78">
        <f>IF('7C'!B9&lt;&gt;"",'7C'!D9,"")</f>
        <v/>
      </c>
      <c r="E1309" s="78">
        <f>IF('7C'!B9&lt;&gt;"",'7C'!E9,"")</f>
        <v/>
      </c>
      <c r="F1309" s="78">
        <f>IF('7C'!B9&lt;&gt;"",'7C'!F9,"")</f>
        <v/>
      </c>
      <c r="G1309" s="78">
        <f>IF('7C'!B9&lt;&gt;"",'7C'!G9,"")</f>
        <v/>
      </c>
      <c r="H1309" s="97">
        <f>IF('7C'!B9&lt;&gt;"",'7C'!H9,"")</f>
        <v/>
      </c>
      <c r="I1309" s="97">
        <f>IF('7C'!B9&lt;&gt;"",'7C'!I9,"")</f>
        <v/>
      </c>
      <c r="J1309" s="78">
        <f>IF('7C'!B9&lt;&gt;"",'7C'!J9,"")</f>
        <v/>
      </c>
    </row>
    <row r="1310" ht="15.75" customHeight="1" s="52">
      <c r="A1310" s="92">
        <f>IF('7C'!B10&lt;&gt;"","7C","")</f>
        <v/>
      </c>
      <c r="B1310" s="82">
        <f>IF('7C'!B10&lt;&gt;"",'7C'!B10,"")</f>
        <v/>
      </c>
      <c r="C1310" s="82">
        <f>IF('7C'!B10&lt;&gt;"",'7C'!C10,"")</f>
        <v/>
      </c>
      <c r="D1310" s="82">
        <f>IF('7C'!B10&lt;&gt;"",'7C'!D10,"")</f>
        <v/>
      </c>
      <c r="E1310" s="82">
        <f>IF('7C'!B10&lt;&gt;"",'7C'!E10,"")</f>
        <v/>
      </c>
      <c r="F1310" s="82">
        <f>IF('7C'!B10&lt;&gt;"",'7C'!F10,"")</f>
        <v/>
      </c>
      <c r="G1310" s="82">
        <f>IF('7C'!B10&lt;&gt;"",'7C'!G10,"")</f>
        <v/>
      </c>
      <c r="H1310" s="92">
        <f>IF('7C'!B10&lt;&gt;"",'7C'!H10,"")</f>
        <v/>
      </c>
      <c r="I1310" s="92">
        <f>IF('7C'!B10&lt;&gt;"",'7C'!I10,"")</f>
        <v/>
      </c>
      <c r="J1310" s="82">
        <f>IF('7C'!B10&lt;&gt;"",'7C'!J10,"")</f>
        <v/>
      </c>
    </row>
    <row r="1311" ht="15.75" customHeight="1" s="52">
      <c r="A1311" s="97">
        <f>IF('7C'!B11&lt;&gt;"","7C","")</f>
        <v/>
      </c>
      <c r="B1311" s="78">
        <f>IF('7C'!B11&lt;&gt;"",'7C'!B11,"")</f>
        <v/>
      </c>
      <c r="C1311" s="78">
        <f>IF('7C'!B11&lt;&gt;"",'7C'!C11,"")</f>
        <v/>
      </c>
      <c r="D1311" s="78">
        <f>IF('7C'!B11&lt;&gt;"",'7C'!D11,"")</f>
        <v/>
      </c>
      <c r="E1311" s="78">
        <f>IF('7C'!B11&lt;&gt;"",'7C'!E11,"")</f>
        <v/>
      </c>
      <c r="F1311" s="78">
        <f>IF('7C'!B11&lt;&gt;"",'7C'!F11,"")</f>
        <v/>
      </c>
      <c r="G1311" s="78">
        <f>IF('7C'!B11&lt;&gt;"",'7C'!G11,"")</f>
        <v/>
      </c>
      <c r="H1311" s="97">
        <f>IF('7C'!B11&lt;&gt;"",'7C'!H11,"")</f>
        <v/>
      </c>
      <c r="I1311" s="97">
        <f>IF('7C'!B11&lt;&gt;"",'7C'!I11,"")</f>
        <v/>
      </c>
      <c r="J1311" s="78">
        <f>IF('7C'!B11&lt;&gt;"",'7C'!J11,"")</f>
        <v/>
      </c>
    </row>
    <row r="1312" ht="15.75" customHeight="1" s="52">
      <c r="A1312" s="92">
        <f>IF('7C'!B12&lt;&gt;"","7C","")</f>
        <v/>
      </c>
      <c r="B1312" s="82">
        <f>IF('7C'!B12&lt;&gt;"",'7C'!B12,"")</f>
        <v/>
      </c>
      <c r="C1312" s="82">
        <f>IF('7C'!B12&lt;&gt;"",'7C'!C12,"")</f>
        <v/>
      </c>
      <c r="D1312" s="82">
        <f>IF('7C'!B12&lt;&gt;"",'7C'!D12,"")</f>
        <v/>
      </c>
      <c r="E1312" s="82">
        <f>IF('7C'!B12&lt;&gt;"",'7C'!E12,"")</f>
        <v/>
      </c>
      <c r="F1312" s="82">
        <f>IF('7C'!B12&lt;&gt;"",'7C'!F12,"")</f>
        <v/>
      </c>
      <c r="G1312" s="82">
        <f>IF('7C'!B12&lt;&gt;"",'7C'!G12,"")</f>
        <v/>
      </c>
      <c r="H1312" s="92">
        <f>IF('7C'!B12&lt;&gt;"",'7C'!H12,"")</f>
        <v/>
      </c>
      <c r="I1312" s="92">
        <f>IF('7C'!B12&lt;&gt;"",'7C'!I12,"")</f>
        <v/>
      </c>
      <c r="J1312" s="82">
        <f>IF('7C'!B12&lt;&gt;"",'7C'!J12,"")</f>
        <v/>
      </c>
    </row>
    <row r="1313" ht="15.75" customHeight="1" s="52">
      <c r="A1313" s="97">
        <f>IF('7C'!B13&lt;&gt;"","7C","")</f>
        <v/>
      </c>
      <c r="B1313" s="78">
        <f>IF('7C'!B13&lt;&gt;"",'7C'!B13,"")</f>
        <v/>
      </c>
      <c r="C1313" s="78">
        <f>IF('7C'!B13&lt;&gt;"",'7C'!C13,"")</f>
        <v/>
      </c>
      <c r="D1313" s="78">
        <f>IF('7C'!B13&lt;&gt;"",'7C'!D13,"")</f>
        <v/>
      </c>
      <c r="E1313" s="78">
        <f>IF('7C'!B13&lt;&gt;"",'7C'!E13,"")</f>
        <v/>
      </c>
      <c r="F1313" s="78">
        <f>IF('7C'!B13&lt;&gt;"",'7C'!F13,"")</f>
        <v/>
      </c>
      <c r="G1313" s="78">
        <f>IF('7C'!B13&lt;&gt;"",'7C'!G13,"")</f>
        <v/>
      </c>
      <c r="H1313" s="97">
        <f>IF('7C'!B13&lt;&gt;"",'7C'!H13,"")</f>
        <v/>
      </c>
      <c r="I1313" s="97">
        <f>IF('7C'!B13&lt;&gt;"",'7C'!I13,"")</f>
        <v/>
      </c>
      <c r="J1313" s="78">
        <f>IF('7C'!B13&lt;&gt;"",'7C'!J13,"")</f>
        <v/>
      </c>
    </row>
    <row r="1314" ht="15.75" customHeight="1" s="52">
      <c r="A1314" s="92">
        <f>IF('7C'!B14&lt;&gt;"","7C","")</f>
        <v/>
      </c>
      <c r="B1314" s="82">
        <f>IF('7C'!B14&lt;&gt;"",'7C'!B14,"")</f>
        <v/>
      </c>
      <c r="C1314" s="82">
        <f>IF('7C'!B14&lt;&gt;"",'7C'!C14,"")</f>
        <v/>
      </c>
      <c r="D1314" s="82">
        <f>IF('7C'!B14&lt;&gt;"",'7C'!D14,"")</f>
        <v/>
      </c>
      <c r="E1314" s="82">
        <f>IF('7C'!B14&lt;&gt;"",'7C'!E14,"")</f>
        <v/>
      </c>
      <c r="F1314" s="82">
        <f>IF('7C'!B14&lt;&gt;"",'7C'!F14,"")</f>
        <v/>
      </c>
      <c r="G1314" s="82">
        <f>IF('7C'!B14&lt;&gt;"",'7C'!G14,"")</f>
        <v/>
      </c>
      <c r="H1314" s="92">
        <f>IF('7C'!B14&lt;&gt;"",'7C'!H14,"")</f>
        <v/>
      </c>
      <c r="I1314" s="92">
        <f>IF('7C'!B14&lt;&gt;"",'7C'!I14,"")</f>
        <v/>
      </c>
      <c r="J1314" s="82">
        <f>IF('7C'!B14&lt;&gt;"",'7C'!J14,"")</f>
        <v/>
      </c>
    </row>
    <row r="1315" ht="15.75" customHeight="1" s="52">
      <c r="A1315" s="97">
        <f>IF('7C'!B15&lt;&gt;"","7C","")</f>
        <v/>
      </c>
      <c r="B1315" s="78">
        <f>IF('7C'!B15&lt;&gt;"",'7C'!B15,"")</f>
        <v/>
      </c>
      <c r="C1315" s="78">
        <f>IF('7C'!B15&lt;&gt;"",'7C'!C15,"")</f>
        <v/>
      </c>
      <c r="D1315" s="78">
        <f>IF('7C'!B15&lt;&gt;"",'7C'!D15,"")</f>
        <v/>
      </c>
      <c r="E1315" s="78">
        <f>IF('7C'!B15&lt;&gt;"",'7C'!E15,"")</f>
        <v/>
      </c>
      <c r="F1315" s="78">
        <f>IF('7C'!B15&lt;&gt;"",'7C'!F15,"")</f>
        <v/>
      </c>
      <c r="G1315" s="78">
        <f>IF('7C'!B15&lt;&gt;"",'7C'!G15,"")</f>
        <v/>
      </c>
      <c r="H1315" s="97">
        <f>IF('7C'!B15&lt;&gt;"",'7C'!H15,"")</f>
        <v/>
      </c>
      <c r="I1315" s="97">
        <f>IF('7C'!B15&lt;&gt;"",'7C'!I15,"")</f>
        <v/>
      </c>
      <c r="J1315" s="78">
        <f>IF('7C'!B15&lt;&gt;"",'7C'!J15,"")</f>
        <v/>
      </c>
    </row>
    <row r="1316" ht="15.75" customHeight="1" s="52">
      <c r="A1316" s="92">
        <f>IF('7C'!B16&lt;&gt;"","7C","")</f>
        <v/>
      </c>
      <c r="B1316" s="82">
        <f>IF('7C'!B16&lt;&gt;"",'7C'!B16,"")</f>
        <v/>
      </c>
      <c r="C1316" s="82">
        <f>IF('7C'!B16&lt;&gt;"",'7C'!C16,"")</f>
        <v/>
      </c>
      <c r="D1316" s="82">
        <f>IF('7C'!B16&lt;&gt;"",'7C'!D16,"")</f>
        <v/>
      </c>
      <c r="E1316" s="82">
        <f>IF('7C'!B16&lt;&gt;"",'7C'!E16,"")</f>
        <v/>
      </c>
      <c r="F1316" s="82">
        <f>IF('7C'!B16&lt;&gt;"",'7C'!F16,"")</f>
        <v/>
      </c>
      <c r="G1316" s="82">
        <f>IF('7C'!B16&lt;&gt;"",'7C'!G16,"")</f>
        <v/>
      </c>
      <c r="H1316" s="92">
        <f>IF('7C'!B16&lt;&gt;"",'7C'!H16,"")</f>
        <v/>
      </c>
      <c r="I1316" s="92">
        <f>IF('7C'!B16&lt;&gt;"",'7C'!I16,"")</f>
        <v/>
      </c>
      <c r="J1316" s="82">
        <f>IF('7C'!B16&lt;&gt;"",'7C'!J16,"")</f>
        <v/>
      </c>
    </row>
    <row r="1317" ht="15.75" customHeight="1" s="52">
      <c r="A1317" s="97">
        <f>IF('7C'!B17&lt;&gt;"","7C","")</f>
        <v/>
      </c>
      <c r="B1317" s="78">
        <f>IF('7C'!B17&lt;&gt;"",'7C'!B17,"")</f>
        <v/>
      </c>
      <c r="C1317" s="78">
        <f>IF('7C'!B17&lt;&gt;"",'7C'!C17,"")</f>
        <v/>
      </c>
      <c r="D1317" s="78">
        <f>IF('7C'!B17&lt;&gt;"",'7C'!D17,"")</f>
        <v/>
      </c>
      <c r="E1317" s="78">
        <f>IF('7C'!B17&lt;&gt;"",'7C'!E17,"")</f>
        <v/>
      </c>
      <c r="F1317" s="78">
        <f>IF('7C'!B17&lt;&gt;"",'7C'!F17,"")</f>
        <v/>
      </c>
      <c r="G1317" s="78">
        <f>IF('7C'!B17&lt;&gt;"",'7C'!G17,"")</f>
        <v/>
      </c>
      <c r="H1317" s="97">
        <f>IF('7C'!B17&lt;&gt;"",'7C'!H17,"")</f>
        <v/>
      </c>
      <c r="I1317" s="97">
        <f>IF('7C'!B17&lt;&gt;"",'7C'!I17,"")</f>
        <v/>
      </c>
      <c r="J1317" s="78">
        <f>IF('7C'!B17&lt;&gt;"",'7C'!J17,"")</f>
        <v/>
      </c>
    </row>
    <row r="1318" ht="15.75" customHeight="1" s="52">
      <c r="A1318" s="92">
        <f>IF('7C'!B18&lt;&gt;"","7C","")</f>
        <v/>
      </c>
      <c r="B1318" s="82">
        <f>IF('7C'!B18&lt;&gt;"",'7C'!B18,"")</f>
        <v/>
      </c>
      <c r="C1318" s="82">
        <f>IF('7C'!B18&lt;&gt;"",'7C'!C18,"")</f>
        <v/>
      </c>
      <c r="D1318" s="82">
        <f>IF('7C'!B18&lt;&gt;"",'7C'!D18,"")</f>
        <v/>
      </c>
      <c r="E1318" s="82">
        <f>IF('7C'!B18&lt;&gt;"",'7C'!E18,"")</f>
        <v/>
      </c>
      <c r="F1318" s="82">
        <f>IF('7C'!B18&lt;&gt;"",'7C'!F18,"")</f>
        <v/>
      </c>
      <c r="G1318" s="82">
        <f>IF('7C'!B18&lt;&gt;"",'7C'!G18,"")</f>
        <v/>
      </c>
      <c r="H1318" s="92">
        <f>IF('7C'!B18&lt;&gt;"",'7C'!H18,"")</f>
        <v/>
      </c>
      <c r="I1318" s="92">
        <f>IF('7C'!B18&lt;&gt;"",'7C'!I18,"")</f>
        <v/>
      </c>
      <c r="J1318" s="82">
        <f>IF('7C'!B18&lt;&gt;"",'7C'!J18,"")</f>
        <v/>
      </c>
    </row>
    <row r="1319" ht="15.75" customHeight="1" s="52">
      <c r="A1319" s="97">
        <f>IF('7C'!B19&lt;&gt;"","7C","")</f>
        <v/>
      </c>
      <c r="B1319" s="78">
        <f>IF('7C'!B19&lt;&gt;"",'7C'!B19,"")</f>
        <v/>
      </c>
      <c r="C1319" s="78">
        <f>IF('7C'!B19&lt;&gt;"",'7C'!C19,"")</f>
        <v/>
      </c>
      <c r="D1319" s="78">
        <f>IF('7C'!B19&lt;&gt;"",'7C'!D19,"")</f>
        <v/>
      </c>
      <c r="E1319" s="78">
        <f>IF('7C'!B19&lt;&gt;"",'7C'!E19,"")</f>
        <v/>
      </c>
      <c r="F1319" s="78">
        <f>IF('7C'!B19&lt;&gt;"",'7C'!F19,"")</f>
        <v/>
      </c>
      <c r="G1319" s="78">
        <f>IF('7C'!B19&lt;&gt;"",'7C'!G19,"")</f>
        <v/>
      </c>
      <c r="H1319" s="97">
        <f>IF('7C'!B19&lt;&gt;"",'7C'!H19,"")</f>
        <v/>
      </c>
      <c r="I1319" s="97">
        <f>IF('7C'!B19&lt;&gt;"",'7C'!I19,"")</f>
        <v/>
      </c>
      <c r="J1319" s="78">
        <f>IF('7C'!B19&lt;&gt;"",'7C'!J19,"")</f>
        <v/>
      </c>
    </row>
    <row r="1320" ht="15.75" customHeight="1" s="52">
      <c r="A1320" s="92">
        <f>IF('7C'!B20&lt;&gt;"","7C","")</f>
        <v/>
      </c>
      <c r="B1320" s="82">
        <f>IF('7C'!B20&lt;&gt;"",'7C'!B20,"")</f>
        <v/>
      </c>
      <c r="C1320" s="82">
        <f>IF('7C'!B20&lt;&gt;"",'7C'!C20,"")</f>
        <v/>
      </c>
      <c r="D1320" s="82">
        <f>IF('7C'!B20&lt;&gt;"",'7C'!D20,"")</f>
        <v/>
      </c>
      <c r="E1320" s="82">
        <f>IF('7C'!B20&lt;&gt;"",'7C'!E20,"")</f>
        <v/>
      </c>
      <c r="F1320" s="82">
        <f>IF('7C'!B20&lt;&gt;"",'7C'!F20,"")</f>
        <v/>
      </c>
      <c r="G1320" s="82">
        <f>IF('7C'!B20&lt;&gt;"",'7C'!G20,"")</f>
        <v/>
      </c>
      <c r="H1320" s="92">
        <f>IF('7C'!B20&lt;&gt;"",'7C'!H20,"")</f>
        <v/>
      </c>
      <c r="I1320" s="92">
        <f>IF('7C'!B20&lt;&gt;"",'7C'!I20,"")</f>
        <v/>
      </c>
      <c r="J1320" s="82">
        <f>IF('7C'!B20&lt;&gt;"",'7C'!J20,"")</f>
        <v/>
      </c>
    </row>
    <row r="1321" ht="15.75" customHeight="1" s="52">
      <c r="A1321" s="97">
        <f>IF('7C'!B21&lt;&gt;"","7C","")</f>
        <v/>
      </c>
      <c r="B1321" s="78">
        <f>IF('7C'!B21&lt;&gt;"",'7C'!B21,"")</f>
        <v/>
      </c>
      <c r="C1321" s="78">
        <f>IF('7C'!B21&lt;&gt;"",'7C'!C21,"")</f>
        <v/>
      </c>
      <c r="D1321" s="78">
        <f>IF('7C'!B21&lt;&gt;"",'7C'!D21,"")</f>
        <v/>
      </c>
      <c r="E1321" s="78">
        <f>IF('7C'!B21&lt;&gt;"",'7C'!E21,"")</f>
        <v/>
      </c>
      <c r="F1321" s="78">
        <f>IF('7C'!B21&lt;&gt;"",'7C'!F21,"")</f>
        <v/>
      </c>
      <c r="G1321" s="78">
        <f>IF('7C'!B21&lt;&gt;"",'7C'!G21,"")</f>
        <v/>
      </c>
      <c r="H1321" s="97">
        <f>IF('7C'!B21&lt;&gt;"",'7C'!H21,"")</f>
        <v/>
      </c>
      <c r="I1321" s="97">
        <f>IF('7C'!B21&lt;&gt;"",'7C'!I21,"")</f>
        <v/>
      </c>
      <c r="J1321" s="78">
        <f>IF('7C'!B21&lt;&gt;"",'7C'!J21,"")</f>
        <v/>
      </c>
    </row>
    <row r="1322" ht="15.75" customHeight="1" s="52">
      <c r="A1322" s="92">
        <f>IF('7C'!B22&lt;&gt;"","7C","")</f>
        <v/>
      </c>
      <c r="B1322" s="82">
        <f>IF('7C'!B22&lt;&gt;"",'7C'!B22,"")</f>
        <v/>
      </c>
      <c r="C1322" s="82">
        <f>IF('7C'!B22&lt;&gt;"",'7C'!C22,"")</f>
        <v/>
      </c>
      <c r="D1322" s="82">
        <f>IF('7C'!B22&lt;&gt;"",'7C'!D22,"")</f>
        <v/>
      </c>
      <c r="E1322" s="82">
        <f>IF('7C'!B22&lt;&gt;"",'7C'!E22,"")</f>
        <v/>
      </c>
      <c r="F1322" s="82">
        <f>IF('7C'!B22&lt;&gt;"",'7C'!F22,"")</f>
        <v/>
      </c>
      <c r="G1322" s="82">
        <f>IF('7C'!B22&lt;&gt;"",'7C'!G22,"")</f>
        <v/>
      </c>
      <c r="H1322" s="92">
        <f>IF('7C'!B22&lt;&gt;"",'7C'!H22,"")</f>
        <v/>
      </c>
      <c r="I1322" s="92">
        <f>IF('7C'!B22&lt;&gt;"",'7C'!I22,"")</f>
        <v/>
      </c>
      <c r="J1322" s="82">
        <f>IF('7C'!B22&lt;&gt;"",'7C'!J22,"")</f>
        <v/>
      </c>
    </row>
    <row r="1323" ht="15.75" customHeight="1" s="52">
      <c r="A1323" s="97">
        <f>IF('7C'!B23&lt;&gt;"","7C","")</f>
        <v/>
      </c>
      <c r="B1323" s="78">
        <f>IF('7C'!B23&lt;&gt;"",'7C'!B23,"")</f>
        <v/>
      </c>
      <c r="C1323" s="78">
        <f>IF('7C'!B23&lt;&gt;"",'7C'!C23,"")</f>
        <v/>
      </c>
      <c r="D1323" s="78">
        <f>IF('7C'!B23&lt;&gt;"",'7C'!D23,"")</f>
        <v/>
      </c>
      <c r="E1323" s="78">
        <f>IF('7C'!B23&lt;&gt;"",'7C'!E23,"")</f>
        <v/>
      </c>
      <c r="F1323" s="78">
        <f>IF('7C'!B23&lt;&gt;"",'7C'!F23,"")</f>
        <v/>
      </c>
      <c r="G1323" s="78">
        <f>IF('7C'!B23&lt;&gt;"",'7C'!G23,"")</f>
        <v/>
      </c>
      <c r="H1323" s="97">
        <f>IF('7C'!B23&lt;&gt;"",'7C'!H23,"")</f>
        <v/>
      </c>
      <c r="I1323" s="97">
        <f>IF('7C'!B23&lt;&gt;"",'7C'!I23,"")</f>
        <v/>
      </c>
      <c r="J1323" s="78">
        <f>IF('7C'!B23&lt;&gt;"",'7C'!J23,"")</f>
        <v/>
      </c>
    </row>
    <row r="1324" ht="15.75" customHeight="1" s="52">
      <c r="A1324" s="92">
        <f>IF('7C'!B24&lt;&gt;"","7C","")</f>
        <v/>
      </c>
      <c r="B1324" s="82">
        <f>IF('7C'!B24&lt;&gt;"",'7C'!B24,"")</f>
        <v/>
      </c>
      <c r="C1324" s="82">
        <f>IF('7C'!B24&lt;&gt;"",'7C'!C24,"")</f>
        <v/>
      </c>
      <c r="D1324" s="82">
        <f>IF('7C'!B24&lt;&gt;"",'7C'!D24,"")</f>
        <v/>
      </c>
      <c r="E1324" s="82">
        <f>IF('7C'!B24&lt;&gt;"",'7C'!E24,"")</f>
        <v/>
      </c>
      <c r="F1324" s="82">
        <f>IF('7C'!B24&lt;&gt;"",'7C'!F24,"")</f>
        <v/>
      </c>
      <c r="G1324" s="82">
        <f>IF('7C'!B24&lt;&gt;"",'7C'!G24,"")</f>
        <v/>
      </c>
      <c r="H1324" s="92">
        <f>IF('7C'!B24&lt;&gt;"",'7C'!H24,"")</f>
        <v/>
      </c>
      <c r="I1324" s="92">
        <f>IF('7C'!B24&lt;&gt;"",'7C'!I24,"")</f>
        <v/>
      </c>
      <c r="J1324" s="82">
        <f>IF('7C'!B24&lt;&gt;"",'7C'!J24,"")</f>
        <v/>
      </c>
    </row>
    <row r="1325" ht="15.75" customHeight="1" s="52">
      <c r="A1325" s="97">
        <f>IF('7C'!B25&lt;&gt;"","7C","")</f>
        <v/>
      </c>
      <c r="B1325" s="78">
        <f>IF('7C'!B25&lt;&gt;"",'7C'!B25,"")</f>
        <v/>
      </c>
      <c r="C1325" s="78">
        <f>IF('7C'!B25&lt;&gt;"",'7C'!C25,"")</f>
        <v/>
      </c>
      <c r="D1325" s="78">
        <f>IF('7C'!B25&lt;&gt;"",'7C'!D25,"")</f>
        <v/>
      </c>
      <c r="E1325" s="78">
        <f>IF('7C'!B25&lt;&gt;"",'7C'!E25,"")</f>
        <v/>
      </c>
      <c r="F1325" s="78">
        <f>IF('7C'!B25&lt;&gt;"",'7C'!F25,"")</f>
        <v/>
      </c>
      <c r="G1325" s="78">
        <f>IF('7C'!B25&lt;&gt;"",'7C'!G25,"")</f>
        <v/>
      </c>
      <c r="H1325" s="97">
        <f>IF('7C'!B25&lt;&gt;"",'7C'!H25,"")</f>
        <v/>
      </c>
      <c r="I1325" s="97">
        <f>IF('7C'!B25&lt;&gt;"",'7C'!I25,"")</f>
        <v/>
      </c>
      <c r="J1325" s="78">
        <f>IF('7C'!B25&lt;&gt;"",'7C'!J25,"")</f>
        <v/>
      </c>
    </row>
    <row r="1326" ht="15.75" customHeight="1" s="52">
      <c r="A1326" s="92">
        <f>IF('7C'!B26&lt;&gt;"","7C","")</f>
        <v/>
      </c>
      <c r="B1326" s="82">
        <f>IF('7C'!B26&lt;&gt;"",'7C'!B26,"")</f>
        <v/>
      </c>
      <c r="C1326" s="82">
        <f>IF('7C'!B26&lt;&gt;"",'7C'!C26,"")</f>
        <v/>
      </c>
      <c r="D1326" s="82">
        <f>IF('7C'!B26&lt;&gt;"",'7C'!D26,"")</f>
        <v/>
      </c>
      <c r="E1326" s="82">
        <f>IF('7C'!B26&lt;&gt;"",'7C'!E26,"")</f>
        <v/>
      </c>
      <c r="F1326" s="82">
        <f>IF('7C'!B26&lt;&gt;"",'7C'!F26,"")</f>
        <v/>
      </c>
      <c r="G1326" s="82">
        <f>IF('7C'!B26&lt;&gt;"",'7C'!G26,"")</f>
        <v/>
      </c>
      <c r="H1326" s="92">
        <f>IF('7C'!B26&lt;&gt;"",'7C'!H26,"")</f>
        <v/>
      </c>
      <c r="I1326" s="92">
        <f>IF('7C'!B26&lt;&gt;"",'7C'!I26,"")</f>
        <v/>
      </c>
      <c r="J1326" s="82">
        <f>IF('7C'!B26&lt;&gt;"",'7C'!J26,"")</f>
        <v/>
      </c>
    </row>
    <row r="1327" ht="15.75" customHeight="1" s="52">
      <c r="A1327" s="97">
        <f>IF('7C'!B27&lt;&gt;"","7C","")</f>
        <v/>
      </c>
      <c r="B1327" s="78">
        <f>IF('7C'!B27&lt;&gt;"",'7C'!B27,"")</f>
        <v/>
      </c>
      <c r="C1327" s="78">
        <f>IF('7C'!B27&lt;&gt;"",'7C'!C27,"")</f>
        <v/>
      </c>
      <c r="D1327" s="78">
        <f>IF('7C'!B27&lt;&gt;"",'7C'!D27,"")</f>
        <v/>
      </c>
      <c r="E1327" s="78">
        <f>IF('7C'!B27&lt;&gt;"",'7C'!E27,"")</f>
        <v/>
      </c>
      <c r="F1327" s="78">
        <f>IF('7C'!B27&lt;&gt;"",'7C'!F27,"")</f>
        <v/>
      </c>
      <c r="G1327" s="78">
        <f>IF('7C'!B27&lt;&gt;"",'7C'!G27,"")</f>
        <v/>
      </c>
      <c r="H1327" s="97">
        <f>IF('7C'!B27&lt;&gt;"",'7C'!H27,"")</f>
        <v/>
      </c>
      <c r="I1327" s="97">
        <f>IF('7C'!B27&lt;&gt;"",'7C'!I27,"")</f>
        <v/>
      </c>
      <c r="J1327" s="78">
        <f>IF('7C'!B27&lt;&gt;"",'7C'!J27,"")</f>
        <v/>
      </c>
    </row>
    <row r="1328" ht="15.75" customHeight="1" s="52">
      <c r="A1328" s="92">
        <f>IF('7C'!B28&lt;&gt;"","7C","")</f>
        <v/>
      </c>
      <c r="B1328" s="82">
        <f>IF('7C'!B28&lt;&gt;"",'7C'!B28,"")</f>
        <v/>
      </c>
      <c r="C1328" s="82">
        <f>IF('7C'!B28&lt;&gt;"",'7C'!C28,"")</f>
        <v/>
      </c>
      <c r="D1328" s="82">
        <f>IF('7C'!B28&lt;&gt;"",'7C'!D28,"")</f>
        <v/>
      </c>
      <c r="E1328" s="82">
        <f>IF('7C'!B28&lt;&gt;"",'7C'!E28,"")</f>
        <v/>
      </c>
      <c r="F1328" s="82">
        <f>IF('7C'!B28&lt;&gt;"",'7C'!F28,"")</f>
        <v/>
      </c>
      <c r="G1328" s="82">
        <f>IF('7C'!B28&lt;&gt;"",'7C'!G28,"")</f>
        <v/>
      </c>
      <c r="H1328" s="92">
        <f>IF('7C'!B28&lt;&gt;"",'7C'!H28,"")</f>
        <v/>
      </c>
      <c r="I1328" s="92">
        <f>IF('7C'!B28&lt;&gt;"",'7C'!I28,"")</f>
        <v/>
      </c>
      <c r="J1328" s="82">
        <f>IF('7C'!B28&lt;&gt;"",'7C'!J28,"")</f>
        <v/>
      </c>
    </row>
    <row r="1329" ht="15.75" customHeight="1" s="52">
      <c r="A1329" s="97">
        <f>IF('7C'!B29&lt;&gt;"","7C","")</f>
        <v/>
      </c>
      <c r="B1329" s="78">
        <f>IF('7C'!B29&lt;&gt;"",'7C'!B29,"")</f>
        <v/>
      </c>
      <c r="C1329" s="78">
        <f>IF('7C'!B29&lt;&gt;"",'7C'!C29,"")</f>
        <v/>
      </c>
      <c r="D1329" s="78">
        <f>IF('7C'!B29&lt;&gt;"",'7C'!D29,"")</f>
        <v/>
      </c>
      <c r="E1329" s="78">
        <f>IF('7C'!B29&lt;&gt;"",'7C'!E29,"")</f>
        <v/>
      </c>
      <c r="F1329" s="78">
        <f>IF('7C'!B29&lt;&gt;"",'7C'!F29,"")</f>
        <v/>
      </c>
      <c r="G1329" s="78">
        <f>IF('7C'!B29&lt;&gt;"",'7C'!G29,"")</f>
        <v/>
      </c>
      <c r="H1329" s="97">
        <f>IF('7C'!B29&lt;&gt;"",'7C'!H29,"")</f>
        <v/>
      </c>
      <c r="I1329" s="97">
        <f>IF('7C'!B29&lt;&gt;"",'7C'!I29,"")</f>
        <v/>
      </c>
      <c r="J1329" s="78">
        <f>IF('7C'!B29&lt;&gt;"",'7C'!J29,"")</f>
        <v/>
      </c>
    </row>
    <row r="1330" ht="15.75" customHeight="1" s="52">
      <c r="A1330" s="92">
        <f>IF('7C'!B30&lt;&gt;"","7C","")</f>
        <v/>
      </c>
      <c r="B1330" s="82">
        <f>IF('7C'!B30&lt;&gt;"",'7C'!B30,"")</f>
        <v/>
      </c>
      <c r="C1330" s="82">
        <f>IF('7C'!B30&lt;&gt;"",'7C'!C30,"")</f>
        <v/>
      </c>
      <c r="D1330" s="82">
        <f>IF('7C'!B30&lt;&gt;"",'7C'!D30,"")</f>
        <v/>
      </c>
      <c r="E1330" s="82">
        <f>IF('7C'!B30&lt;&gt;"",'7C'!E30,"")</f>
        <v/>
      </c>
      <c r="F1330" s="82">
        <f>IF('7C'!B30&lt;&gt;"",'7C'!F30,"")</f>
        <v/>
      </c>
      <c r="G1330" s="82">
        <f>IF('7C'!B30&lt;&gt;"",'7C'!G30,"")</f>
        <v/>
      </c>
      <c r="H1330" s="92">
        <f>IF('7C'!B30&lt;&gt;"",'7C'!H30,"")</f>
        <v/>
      </c>
      <c r="I1330" s="92">
        <f>IF('7C'!B30&lt;&gt;"",'7C'!I30,"")</f>
        <v/>
      </c>
      <c r="J1330" s="82">
        <f>IF('7C'!B30&lt;&gt;"",'7C'!J30,"")</f>
        <v/>
      </c>
    </row>
    <row r="1331" ht="15.75" customHeight="1" s="52">
      <c r="A1331" s="97">
        <f>IF('7C'!B31&lt;&gt;"","7C","")</f>
        <v/>
      </c>
      <c r="B1331" s="78">
        <f>IF('7C'!B31&lt;&gt;"",'7C'!B31,"")</f>
        <v/>
      </c>
      <c r="C1331" s="78">
        <f>IF('7C'!B31&lt;&gt;"",'7C'!C31,"")</f>
        <v/>
      </c>
      <c r="D1331" s="78">
        <f>IF('7C'!B31&lt;&gt;"",'7C'!D31,"")</f>
        <v/>
      </c>
      <c r="E1331" s="78">
        <f>IF('7C'!B31&lt;&gt;"",'7C'!E31,"")</f>
        <v/>
      </c>
      <c r="F1331" s="78">
        <f>IF('7C'!B31&lt;&gt;"",'7C'!F31,"")</f>
        <v/>
      </c>
      <c r="G1331" s="78">
        <f>IF('7C'!B31&lt;&gt;"",'7C'!G31,"")</f>
        <v/>
      </c>
      <c r="H1331" s="97">
        <f>IF('7C'!B31&lt;&gt;"",'7C'!H31,"")</f>
        <v/>
      </c>
      <c r="I1331" s="97">
        <f>IF('7C'!B31&lt;&gt;"",'7C'!I31,"")</f>
        <v/>
      </c>
      <c r="J1331" s="78">
        <f>IF('7C'!B31&lt;&gt;"",'7C'!J31,"")</f>
        <v/>
      </c>
    </row>
    <row r="1332" ht="15.75" customHeight="1" s="52">
      <c r="A1332" s="92">
        <f>IF('7C'!B32&lt;&gt;"","7C","")</f>
        <v/>
      </c>
      <c r="B1332" s="82">
        <f>IF('7C'!B32&lt;&gt;"",'7C'!B32,"")</f>
        <v/>
      </c>
      <c r="C1332" s="82">
        <f>IF('7C'!B32&lt;&gt;"",'7C'!C32,"")</f>
        <v/>
      </c>
      <c r="D1332" s="82">
        <f>IF('7C'!B32&lt;&gt;"",'7C'!D32,"")</f>
        <v/>
      </c>
      <c r="E1332" s="82">
        <f>IF('7C'!B32&lt;&gt;"",'7C'!E32,"")</f>
        <v/>
      </c>
      <c r="F1332" s="82">
        <f>IF('7C'!B32&lt;&gt;"",'7C'!F32,"")</f>
        <v/>
      </c>
      <c r="G1332" s="82">
        <f>IF('7C'!B32&lt;&gt;"",'7C'!G32,"")</f>
        <v/>
      </c>
      <c r="H1332" s="92">
        <f>IF('7C'!B32&lt;&gt;"",'7C'!H32,"")</f>
        <v/>
      </c>
      <c r="I1332" s="92">
        <f>IF('7C'!B32&lt;&gt;"",'7C'!I32,"")</f>
        <v/>
      </c>
      <c r="J1332" s="82">
        <f>IF('7C'!B32&lt;&gt;"",'7C'!J32,"")</f>
        <v/>
      </c>
    </row>
    <row r="1333" ht="15.75" customHeight="1" s="52">
      <c r="A1333" s="97">
        <f>IF('7C'!B33&lt;&gt;"","7C","")</f>
        <v/>
      </c>
      <c r="B1333" s="78">
        <f>IF('7C'!B33&lt;&gt;"",'7C'!B33,"")</f>
        <v/>
      </c>
      <c r="C1333" s="78">
        <f>IF('7C'!B33&lt;&gt;"",'7C'!C33,"")</f>
        <v/>
      </c>
      <c r="D1333" s="78">
        <f>IF('7C'!B33&lt;&gt;"",'7C'!D33,"")</f>
        <v/>
      </c>
      <c r="E1333" s="78">
        <f>IF('7C'!B33&lt;&gt;"",'7C'!E33,"")</f>
        <v/>
      </c>
      <c r="F1333" s="78">
        <f>IF('7C'!B33&lt;&gt;"",'7C'!F33,"")</f>
        <v/>
      </c>
      <c r="G1333" s="78">
        <f>IF('7C'!B33&lt;&gt;"",'7C'!G33,"")</f>
        <v/>
      </c>
      <c r="H1333" s="97">
        <f>IF('7C'!B33&lt;&gt;"",'7C'!H33,"")</f>
        <v/>
      </c>
      <c r="I1333" s="97">
        <f>IF('7C'!B33&lt;&gt;"",'7C'!I33,"")</f>
        <v/>
      </c>
      <c r="J1333" s="78">
        <f>IF('7C'!B33&lt;&gt;"",'7C'!J33,"")</f>
        <v/>
      </c>
    </row>
    <row r="1334" ht="15.75" customHeight="1" s="52">
      <c r="A1334" s="92">
        <f>IF('7C'!B34&lt;&gt;"","7C","")</f>
        <v/>
      </c>
      <c r="B1334" s="82">
        <f>IF('7C'!B34&lt;&gt;"",'7C'!B34,"")</f>
        <v/>
      </c>
      <c r="C1334" s="82">
        <f>IF('7C'!B34&lt;&gt;"",'7C'!C34,"")</f>
        <v/>
      </c>
      <c r="D1334" s="82">
        <f>IF('7C'!B34&lt;&gt;"",'7C'!D34,"")</f>
        <v/>
      </c>
      <c r="E1334" s="82">
        <f>IF('7C'!B34&lt;&gt;"",'7C'!E34,"")</f>
        <v/>
      </c>
      <c r="F1334" s="82">
        <f>IF('7C'!B34&lt;&gt;"",'7C'!F34,"")</f>
        <v/>
      </c>
      <c r="G1334" s="82">
        <f>IF('7C'!B34&lt;&gt;"",'7C'!G34,"")</f>
        <v/>
      </c>
      <c r="H1334" s="92">
        <f>IF('7C'!B34&lt;&gt;"",'7C'!H34,"")</f>
        <v/>
      </c>
      <c r="I1334" s="92">
        <f>IF('7C'!B34&lt;&gt;"",'7C'!I34,"")</f>
        <v/>
      </c>
      <c r="J1334" s="82">
        <f>IF('7C'!B34&lt;&gt;"",'7C'!J34,"")</f>
        <v/>
      </c>
    </row>
    <row r="1335" ht="15.75" customHeight="1" s="52">
      <c r="A1335" s="97">
        <f>IF('7C'!B35&lt;&gt;"","7C","")</f>
        <v/>
      </c>
      <c r="B1335" s="78">
        <f>IF('7C'!B35&lt;&gt;"",'7C'!B35,"")</f>
        <v/>
      </c>
      <c r="C1335" s="78">
        <f>IF('7C'!B35&lt;&gt;"",'7C'!C35,"")</f>
        <v/>
      </c>
      <c r="D1335" s="78">
        <f>IF('7C'!B35&lt;&gt;"",'7C'!D35,"")</f>
        <v/>
      </c>
      <c r="E1335" s="78">
        <f>IF('7C'!B35&lt;&gt;"",'7C'!E35,"")</f>
        <v/>
      </c>
      <c r="F1335" s="78">
        <f>IF('7C'!B35&lt;&gt;"",'7C'!F35,"")</f>
        <v/>
      </c>
      <c r="G1335" s="78">
        <f>IF('7C'!B35&lt;&gt;"",'7C'!G35,"")</f>
        <v/>
      </c>
      <c r="H1335" s="97">
        <f>IF('7C'!B35&lt;&gt;"",'7C'!H35,"")</f>
        <v/>
      </c>
      <c r="I1335" s="97">
        <f>IF('7C'!B35&lt;&gt;"",'7C'!I35,"")</f>
        <v/>
      </c>
      <c r="J1335" s="78">
        <f>IF('7C'!B35&lt;&gt;"",'7C'!J35,"")</f>
        <v/>
      </c>
    </row>
    <row r="1336" ht="15.75" customHeight="1" s="52">
      <c r="A1336" s="92">
        <f>IF('7C'!B36&lt;&gt;"","7C","")</f>
        <v/>
      </c>
      <c r="B1336" s="82">
        <f>IF('7C'!B36&lt;&gt;"",'7C'!B36,"")</f>
        <v/>
      </c>
      <c r="C1336" s="82">
        <f>IF('7C'!B36&lt;&gt;"",'7C'!C36,"")</f>
        <v/>
      </c>
      <c r="D1336" s="82">
        <f>IF('7C'!B36&lt;&gt;"",'7C'!D36,"")</f>
        <v/>
      </c>
      <c r="E1336" s="82">
        <f>IF('7C'!B36&lt;&gt;"",'7C'!E36,"")</f>
        <v/>
      </c>
      <c r="F1336" s="82">
        <f>IF('7C'!B36&lt;&gt;"",'7C'!F36,"")</f>
        <v/>
      </c>
      <c r="G1336" s="82">
        <f>IF('7C'!B36&lt;&gt;"",'7C'!G36,"")</f>
        <v/>
      </c>
      <c r="H1336" s="92">
        <f>IF('7C'!B36&lt;&gt;"",'7C'!H36,"")</f>
        <v/>
      </c>
      <c r="I1336" s="92">
        <f>IF('7C'!B36&lt;&gt;"",'7C'!I36,"")</f>
        <v/>
      </c>
      <c r="J1336" s="82">
        <f>IF('7C'!B36&lt;&gt;"",'7C'!J36,"")</f>
        <v/>
      </c>
    </row>
    <row r="1337" ht="15.75" customHeight="1" s="52">
      <c r="A1337" s="97">
        <f>IF('7C'!B37&lt;&gt;"","7C","")</f>
        <v/>
      </c>
      <c r="B1337" s="78">
        <f>IF('7C'!B37&lt;&gt;"",'7C'!B37,"")</f>
        <v/>
      </c>
      <c r="C1337" s="78">
        <f>IF('7C'!B37&lt;&gt;"",'7C'!C37,"")</f>
        <v/>
      </c>
      <c r="D1337" s="78">
        <f>IF('7C'!B37&lt;&gt;"",'7C'!D37,"")</f>
        <v/>
      </c>
      <c r="E1337" s="78">
        <f>IF('7C'!B37&lt;&gt;"",'7C'!E37,"")</f>
        <v/>
      </c>
      <c r="F1337" s="78">
        <f>IF('7C'!B37&lt;&gt;"",'7C'!F37,"")</f>
        <v/>
      </c>
      <c r="G1337" s="78">
        <f>IF('7C'!B37&lt;&gt;"",'7C'!G37,"")</f>
        <v/>
      </c>
      <c r="H1337" s="97">
        <f>IF('7C'!B37&lt;&gt;"",'7C'!H37,"")</f>
        <v/>
      </c>
      <c r="I1337" s="97">
        <f>IF('7C'!B37&lt;&gt;"",'7C'!I37,"")</f>
        <v/>
      </c>
      <c r="J1337" s="78">
        <f>IF('7C'!B37&lt;&gt;"",'7C'!J37,"")</f>
        <v/>
      </c>
    </row>
    <row r="1338" ht="15.75" customHeight="1" s="52">
      <c r="A1338" s="92">
        <f>IF('7C'!B38&lt;&gt;"","7C","")</f>
        <v/>
      </c>
      <c r="B1338" s="82">
        <f>IF('7C'!B38&lt;&gt;"",'7C'!B38,"")</f>
        <v/>
      </c>
      <c r="C1338" s="82">
        <f>IF('7C'!B38&lt;&gt;"",'7C'!C38,"")</f>
        <v/>
      </c>
      <c r="D1338" s="82">
        <f>IF('7C'!B38&lt;&gt;"",'7C'!D38,"")</f>
        <v/>
      </c>
      <c r="E1338" s="82">
        <f>IF('7C'!B38&lt;&gt;"",'7C'!E38,"")</f>
        <v/>
      </c>
      <c r="F1338" s="82">
        <f>IF('7C'!B38&lt;&gt;"",'7C'!F38,"")</f>
        <v/>
      </c>
      <c r="G1338" s="82">
        <f>IF('7C'!B38&lt;&gt;"",'7C'!G38,"")</f>
        <v/>
      </c>
      <c r="H1338" s="92">
        <f>IF('7C'!B38&lt;&gt;"",'7C'!H38,"")</f>
        <v/>
      </c>
      <c r="I1338" s="92">
        <f>IF('7C'!B38&lt;&gt;"",'7C'!I38,"")</f>
        <v/>
      </c>
      <c r="J1338" s="82">
        <f>IF('7C'!B38&lt;&gt;"",'7C'!J38,"")</f>
        <v/>
      </c>
    </row>
    <row r="1339" ht="15.75" customHeight="1" s="52">
      <c r="A1339" s="97">
        <f>IF('7C'!B39&lt;&gt;"","7C","")</f>
        <v/>
      </c>
      <c r="B1339" s="78">
        <f>IF('7C'!B39&lt;&gt;"",'7C'!B39,"")</f>
        <v/>
      </c>
      <c r="C1339" s="78">
        <f>IF('7C'!B39&lt;&gt;"",'7C'!C39,"")</f>
        <v/>
      </c>
      <c r="D1339" s="78">
        <f>IF('7C'!B39&lt;&gt;"",'7C'!D39,"")</f>
        <v/>
      </c>
      <c r="E1339" s="78">
        <f>IF('7C'!B39&lt;&gt;"",'7C'!E39,"")</f>
        <v/>
      </c>
      <c r="F1339" s="78">
        <f>IF('7C'!B39&lt;&gt;"",'7C'!F39,"")</f>
        <v/>
      </c>
      <c r="G1339" s="78">
        <f>IF('7C'!B39&lt;&gt;"",'7C'!G39,"")</f>
        <v/>
      </c>
      <c r="H1339" s="97">
        <f>IF('7C'!B39&lt;&gt;"",'7C'!H39,"")</f>
        <v/>
      </c>
      <c r="I1339" s="97">
        <f>IF('7C'!B39&lt;&gt;"",'7C'!I39,"")</f>
        <v/>
      </c>
      <c r="J1339" s="78">
        <f>IF('7C'!B39&lt;&gt;"",'7C'!J39,"")</f>
        <v/>
      </c>
    </row>
    <row r="1340" ht="15.75" customHeight="1" s="52">
      <c r="A1340" s="92">
        <f>IF('7C'!B40&lt;&gt;"","7C","")</f>
        <v/>
      </c>
      <c r="B1340" s="82">
        <f>IF('7C'!B40&lt;&gt;"",'7C'!B40,"")</f>
        <v/>
      </c>
      <c r="C1340" s="82">
        <f>IF('7C'!B40&lt;&gt;"",'7C'!C40,"")</f>
        <v/>
      </c>
      <c r="D1340" s="82">
        <f>IF('7C'!B40&lt;&gt;"",'7C'!D40,"")</f>
        <v/>
      </c>
      <c r="E1340" s="82">
        <f>IF('7C'!B40&lt;&gt;"",'7C'!E40,"")</f>
        <v/>
      </c>
      <c r="F1340" s="82">
        <f>IF('7C'!B40&lt;&gt;"",'7C'!F40,"")</f>
        <v/>
      </c>
      <c r="G1340" s="82">
        <f>IF('7C'!B40&lt;&gt;"",'7C'!G40,"")</f>
        <v/>
      </c>
      <c r="H1340" s="92">
        <f>IF('7C'!B40&lt;&gt;"",'7C'!H40,"")</f>
        <v/>
      </c>
      <c r="I1340" s="92">
        <f>IF('7C'!B40&lt;&gt;"",'7C'!I40,"")</f>
        <v/>
      </c>
      <c r="J1340" s="82">
        <f>IF('7C'!B40&lt;&gt;"",'7C'!J40,"")</f>
        <v/>
      </c>
    </row>
    <row r="1341" ht="15.75" customHeight="1" s="52">
      <c r="A1341" s="97">
        <f>IF('7C'!B41&lt;&gt;"","7C","")</f>
        <v/>
      </c>
      <c r="B1341" s="78">
        <f>IF('7C'!B41&lt;&gt;"",'7C'!B41,"")</f>
        <v/>
      </c>
      <c r="C1341" s="78">
        <f>IF('7C'!B41&lt;&gt;"",'7C'!C41,"")</f>
        <v/>
      </c>
      <c r="D1341" s="78">
        <f>IF('7C'!B41&lt;&gt;"",'7C'!D41,"")</f>
        <v/>
      </c>
      <c r="E1341" s="78">
        <f>IF('7C'!B41&lt;&gt;"",'7C'!E41,"")</f>
        <v/>
      </c>
      <c r="F1341" s="78">
        <f>IF('7C'!B41&lt;&gt;"",'7C'!F41,"")</f>
        <v/>
      </c>
      <c r="G1341" s="78">
        <f>IF('7C'!B41&lt;&gt;"",'7C'!G41,"")</f>
        <v/>
      </c>
      <c r="H1341" s="97">
        <f>IF('7C'!B41&lt;&gt;"",'7C'!H41,"")</f>
        <v/>
      </c>
      <c r="I1341" s="97">
        <f>IF('7C'!B41&lt;&gt;"",'7C'!I41,"")</f>
        <v/>
      </c>
      <c r="J1341" s="78">
        <f>IF('7C'!B41&lt;&gt;"",'7C'!J41,"")</f>
        <v/>
      </c>
    </row>
    <row r="1342" ht="15.75" customHeight="1" s="52">
      <c r="A1342" s="92">
        <f>IF('7C'!B42&lt;&gt;"","7C","")</f>
        <v/>
      </c>
      <c r="B1342" s="82">
        <f>IF('7C'!B42&lt;&gt;"",'7C'!B42,"")</f>
        <v/>
      </c>
      <c r="C1342" s="82">
        <f>IF('7C'!B42&lt;&gt;"",'7C'!C42,"")</f>
        <v/>
      </c>
      <c r="D1342" s="82">
        <f>IF('7C'!B42&lt;&gt;"",'7C'!D42,"")</f>
        <v/>
      </c>
      <c r="E1342" s="82">
        <f>IF('7C'!B42&lt;&gt;"",'7C'!E42,"")</f>
        <v/>
      </c>
      <c r="F1342" s="82">
        <f>IF('7C'!B42&lt;&gt;"",'7C'!F42,"")</f>
        <v/>
      </c>
      <c r="G1342" s="82">
        <f>IF('7C'!B42&lt;&gt;"",'7C'!G42,"")</f>
        <v/>
      </c>
      <c r="H1342" s="92">
        <f>IF('7C'!B42&lt;&gt;"",'7C'!H42,"")</f>
        <v/>
      </c>
      <c r="I1342" s="92">
        <f>IF('7C'!B42&lt;&gt;"",'7C'!I42,"")</f>
        <v/>
      </c>
      <c r="J1342" s="82">
        <f>IF('7C'!B42&lt;&gt;"",'7C'!J42,"")</f>
        <v/>
      </c>
    </row>
    <row r="1343" ht="15.75" customHeight="1" s="52">
      <c r="A1343" s="97">
        <f>IF('7C'!B43&lt;&gt;"","7C","")</f>
        <v/>
      </c>
      <c r="B1343" s="78">
        <f>IF('7C'!B43&lt;&gt;"",'7C'!B43,"")</f>
        <v/>
      </c>
      <c r="C1343" s="78">
        <f>IF('7C'!B43&lt;&gt;"",'7C'!C43,"")</f>
        <v/>
      </c>
      <c r="D1343" s="78">
        <f>IF('7C'!B43&lt;&gt;"",'7C'!D43,"")</f>
        <v/>
      </c>
      <c r="E1343" s="78">
        <f>IF('7C'!B43&lt;&gt;"",'7C'!E43,"")</f>
        <v/>
      </c>
      <c r="F1343" s="78">
        <f>IF('7C'!B43&lt;&gt;"",'7C'!F43,"")</f>
        <v/>
      </c>
      <c r="G1343" s="78">
        <f>IF('7C'!B43&lt;&gt;"",'7C'!G43,"")</f>
        <v/>
      </c>
      <c r="H1343" s="97">
        <f>IF('7C'!B43&lt;&gt;"",'7C'!H43,"")</f>
        <v/>
      </c>
      <c r="I1343" s="97">
        <f>IF('7C'!B43&lt;&gt;"",'7C'!I43,"")</f>
        <v/>
      </c>
      <c r="J1343" s="78">
        <f>IF('7C'!B43&lt;&gt;"",'7C'!J43,"")</f>
        <v/>
      </c>
    </row>
    <row r="1344" ht="15.75" customHeight="1" s="52">
      <c r="A1344" s="92">
        <f>IF('7C'!B44&lt;&gt;"","7C","")</f>
        <v/>
      </c>
      <c r="B1344" s="82">
        <f>IF('7C'!B44&lt;&gt;"",'7C'!B44,"")</f>
        <v/>
      </c>
      <c r="C1344" s="82">
        <f>IF('7C'!B44&lt;&gt;"",'7C'!C44,"")</f>
        <v/>
      </c>
      <c r="D1344" s="82">
        <f>IF('7C'!B44&lt;&gt;"",'7C'!D44,"")</f>
        <v/>
      </c>
      <c r="E1344" s="82">
        <f>IF('7C'!B44&lt;&gt;"",'7C'!E44,"")</f>
        <v/>
      </c>
      <c r="F1344" s="82">
        <f>IF('7C'!B44&lt;&gt;"",'7C'!F44,"")</f>
        <v/>
      </c>
      <c r="G1344" s="82">
        <f>IF('7C'!B44&lt;&gt;"",'7C'!G44,"")</f>
        <v/>
      </c>
      <c r="H1344" s="92">
        <f>IF('7C'!B44&lt;&gt;"",'7C'!H44,"")</f>
        <v/>
      </c>
      <c r="I1344" s="92">
        <f>IF('7C'!B44&lt;&gt;"",'7C'!I44,"")</f>
        <v/>
      </c>
      <c r="J1344" s="82">
        <f>IF('7C'!B44&lt;&gt;"",'7C'!J44,"")</f>
        <v/>
      </c>
    </row>
    <row r="1345" ht="15.75" customHeight="1" s="52">
      <c r="A1345" s="97">
        <f>IF('7C'!B45&lt;&gt;"","7C","")</f>
        <v/>
      </c>
      <c r="B1345" s="78">
        <f>IF('7C'!B45&lt;&gt;"",'7C'!B45,"")</f>
        <v/>
      </c>
      <c r="C1345" s="78">
        <f>IF('7C'!B45&lt;&gt;"",'7C'!C45,"")</f>
        <v/>
      </c>
      <c r="D1345" s="78">
        <f>IF('7C'!B45&lt;&gt;"",'7C'!D45,"")</f>
        <v/>
      </c>
      <c r="E1345" s="78">
        <f>IF('7C'!B45&lt;&gt;"",'7C'!E45,"")</f>
        <v/>
      </c>
      <c r="F1345" s="78">
        <f>IF('7C'!B45&lt;&gt;"",'7C'!F45,"")</f>
        <v/>
      </c>
      <c r="G1345" s="78">
        <f>IF('7C'!B45&lt;&gt;"",'7C'!G45,"")</f>
        <v/>
      </c>
      <c r="H1345" s="97">
        <f>IF('7C'!B45&lt;&gt;"",'7C'!H45,"")</f>
        <v/>
      </c>
      <c r="I1345" s="97">
        <f>IF('7C'!B45&lt;&gt;"",'7C'!I45,"")</f>
        <v/>
      </c>
      <c r="J1345" s="78">
        <f>IF('7C'!B45&lt;&gt;"",'7C'!J45,"")</f>
        <v/>
      </c>
    </row>
    <row r="1346" ht="15.75" customHeight="1" s="52">
      <c r="A1346" s="92">
        <f>IF('7C'!B46&lt;&gt;"","7C","")</f>
        <v/>
      </c>
      <c r="B1346" s="82">
        <f>IF('7C'!B46&lt;&gt;"",'7C'!B46,"")</f>
        <v/>
      </c>
      <c r="C1346" s="82">
        <f>IF('7C'!B46&lt;&gt;"",'7C'!C46,"")</f>
        <v/>
      </c>
      <c r="D1346" s="82">
        <f>IF('7C'!B46&lt;&gt;"",'7C'!D46,"")</f>
        <v/>
      </c>
      <c r="E1346" s="82">
        <f>IF('7C'!B46&lt;&gt;"",'7C'!E46,"")</f>
        <v/>
      </c>
      <c r="F1346" s="82">
        <f>IF('7C'!B46&lt;&gt;"",'7C'!F46,"")</f>
        <v/>
      </c>
      <c r="G1346" s="82">
        <f>IF('7C'!B46&lt;&gt;"",'7C'!G46,"")</f>
        <v/>
      </c>
      <c r="H1346" s="92">
        <f>IF('7C'!B46&lt;&gt;"",'7C'!H46,"")</f>
        <v/>
      </c>
      <c r="I1346" s="92">
        <f>IF('7C'!B46&lt;&gt;"",'7C'!I46,"")</f>
        <v/>
      </c>
      <c r="J1346" s="82">
        <f>IF('7C'!B46&lt;&gt;"",'7C'!J46,"")</f>
        <v/>
      </c>
    </row>
    <row r="1347" ht="15.75" customHeight="1" s="52">
      <c r="A1347" s="97">
        <f>IF('7C'!B47&lt;&gt;"","7C","")</f>
        <v/>
      </c>
      <c r="B1347" s="78">
        <f>IF('7C'!B47&lt;&gt;"",'7C'!B47,"")</f>
        <v/>
      </c>
      <c r="C1347" s="78">
        <f>IF('7C'!B47&lt;&gt;"",'7C'!C47,"")</f>
        <v/>
      </c>
      <c r="D1347" s="78">
        <f>IF('7C'!B47&lt;&gt;"",'7C'!D47,"")</f>
        <v/>
      </c>
      <c r="E1347" s="78">
        <f>IF('7C'!B47&lt;&gt;"",'7C'!E47,"")</f>
        <v/>
      </c>
      <c r="F1347" s="78">
        <f>IF('7C'!B47&lt;&gt;"",'7C'!F47,"")</f>
        <v/>
      </c>
      <c r="G1347" s="78">
        <f>IF('7C'!B47&lt;&gt;"",'7C'!G47,"")</f>
        <v/>
      </c>
      <c r="H1347" s="97">
        <f>IF('7C'!B47&lt;&gt;"",'7C'!H47,"")</f>
        <v/>
      </c>
      <c r="I1347" s="97">
        <f>IF('7C'!B47&lt;&gt;"",'7C'!I47,"")</f>
        <v/>
      </c>
      <c r="J1347" s="78">
        <f>IF('7C'!B47&lt;&gt;"",'7C'!J47,"")</f>
        <v/>
      </c>
    </row>
    <row r="1348" ht="15.75" customHeight="1" s="52">
      <c r="A1348" s="92">
        <f>IF('7C'!B48&lt;&gt;"","7C","")</f>
        <v/>
      </c>
      <c r="B1348" s="82">
        <f>IF('7C'!B48&lt;&gt;"",'7C'!B48,"")</f>
        <v/>
      </c>
      <c r="C1348" s="82">
        <f>IF('7C'!B48&lt;&gt;"",'7C'!C48,"")</f>
        <v/>
      </c>
      <c r="D1348" s="82">
        <f>IF('7C'!B48&lt;&gt;"",'7C'!D48,"")</f>
        <v/>
      </c>
      <c r="E1348" s="82">
        <f>IF('7C'!B48&lt;&gt;"",'7C'!E48,"")</f>
        <v/>
      </c>
      <c r="F1348" s="82">
        <f>IF('7C'!B48&lt;&gt;"",'7C'!F48,"")</f>
        <v/>
      </c>
      <c r="G1348" s="82">
        <f>IF('7C'!B48&lt;&gt;"",'7C'!G48,"")</f>
        <v/>
      </c>
      <c r="H1348" s="92">
        <f>IF('7C'!B48&lt;&gt;"",'7C'!H48,"")</f>
        <v/>
      </c>
      <c r="I1348" s="92">
        <f>IF('7C'!B48&lt;&gt;"",'7C'!I48,"")</f>
        <v/>
      </c>
      <c r="J1348" s="82">
        <f>IF('7C'!B48&lt;&gt;"",'7C'!J48,"")</f>
        <v/>
      </c>
    </row>
    <row r="1349" ht="15.75" customHeight="1" s="52">
      <c r="A1349" s="97">
        <f>IF('7C'!B49&lt;&gt;"","7C","")</f>
        <v/>
      </c>
      <c r="B1349" s="78">
        <f>IF('7C'!B49&lt;&gt;"",'7C'!B49,"")</f>
        <v/>
      </c>
      <c r="C1349" s="78">
        <f>IF('7C'!B49&lt;&gt;"",'7C'!C49,"")</f>
        <v/>
      </c>
      <c r="D1349" s="78">
        <f>IF('7C'!B49&lt;&gt;"",'7C'!D49,"")</f>
        <v/>
      </c>
      <c r="E1349" s="78">
        <f>IF('7C'!B49&lt;&gt;"",'7C'!E49,"")</f>
        <v/>
      </c>
      <c r="F1349" s="78">
        <f>IF('7C'!B49&lt;&gt;"",'7C'!F49,"")</f>
        <v/>
      </c>
      <c r="G1349" s="78">
        <f>IF('7C'!B49&lt;&gt;"",'7C'!G49,"")</f>
        <v/>
      </c>
      <c r="H1349" s="97">
        <f>IF('7C'!B49&lt;&gt;"",'7C'!H49,"")</f>
        <v/>
      </c>
      <c r="I1349" s="97">
        <f>IF('7C'!B49&lt;&gt;"",'7C'!I49,"")</f>
        <v/>
      </c>
      <c r="J1349" s="78">
        <f>IF('7C'!B49&lt;&gt;"",'7C'!J49,"")</f>
        <v/>
      </c>
    </row>
    <row r="1350" ht="15.75" customHeight="1" s="52">
      <c r="A1350" s="92">
        <f>IF('7C'!B50&lt;&gt;"","7C","")</f>
        <v/>
      </c>
      <c r="B1350" s="82">
        <f>IF('7C'!B50&lt;&gt;"",'7C'!B50,"")</f>
        <v/>
      </c>
      <c r="C1350" s="82">
        <f>IF('7C'!B50&lt;&gt;"",'7C'!C50,"")</f>
        <v/>
      </c>
      <c r="D1350" s="82">
        <f>IF('7C'!B50&lt;&gt;"",'7C'!D50,"")</f>
        <v/>
      </c>
      <c r="E1350" s="82">
        <f>IF('7C'!B50&lt;&gt;"",'7C'!E50,"")</f>
        <v/>
      </c>
      <c r="F1350" s="82">
        <f>IF('7C'!B50&lt;&gt;"",'7C'!F50,"")</f>
        <v/>
      </c>
      <c r="G1350" s="82">
        <f>IF('7C'!B50&lt;&gt;"",'7C'!G50,"")</f>
        <v/>
      </c>
      <c r="H1350" s="92">
        <f>IF('7C'!B50&lt;&gt;"",'7C'!H50,"")</f>
        <v/>
      </c>
      <c r="I1350" s="92">
        <f>IF('7C'!B50&lt;&gt;"",'7C'!I50,"")</f>
        <v/>
      </c>
      <c r="J1350" s="82">
        <f>IF('7C'!B50&lt;&gt;"",'7C'!J50,"")</f>
        <v/>
      </c>
    </row>
    <row r="1351" ht="15.75" customHeight="1" s="52">
      <c r="A1351" s="97">
        <f>IF('7C'!B51&lt;&gt;"","7C","")</f>
        <v/>
      </c>
      <c r="B1351" s="78">
        <f>IF('7C'!B51&lt;&gt;"",'7C'!B51,"")</f>
        <v/>
      </c>
      <c r="C1351" s="78">
        <f>IF('7C'!B51&lt;&gt;"",'7C'!C51,"")</f>
        <v/>
      </c>
      <c r="D1351" s="78">
        <f>IF('7C'!B51&lt;&gt;"",'7C'!D51,"")</f>
        <v/>
      </c>
      <c r="E1351" s="78">
        <f>IF('7C'!B51&lt;&gt;"",'7C'!E51,"")</f>
        <v/>
      </c>
      <c r="F1351" s="78">
        <f>IF('7C'!B51&lt;&gt;"",'7C'!F51,"")</f>
        <v/>
      </c>
      <c r="G1351" s="78">
        <f>IF('7C'!B51&lt;&gt;"",'7C'!G51,"")</f>
        <v/>
      </c>
      <c r="H1351" s="97">
        <f>IF('7C'!B51&lt;&gt;"",'7C'!H51,"")</f>
        <v/>
      </c>
      <c r="I1351" s="97">
        <f>IF('7C'!B51&lt;&gt;"",'7C'!I51,"")</f>
        <v/>
      </c>
      <c r="J1351" s="78">
        <f>IF('7C'!B51&lt;&gt;"",'7C'!J51,"")</f>
        <v/>
      </c>
    </row>
    <row r="1352" ht="15.75" customHeight="1" s="52">
      <c r="A1352" s="92">
        <f>IF('7C'!B52&lt;&gt;"","7C","")</f>
        <v/>
      </c>
      <c r="B1352" s="82">
        <f>IF('7C'!B52&lt;&gt;"",'7C'!B52,"")</f>
        <v/>
      </c>
      <c r="C1352" s="82">
        <f>IF('7C'!B52&lt;&gt;"",'7C'!C52,"")</f>
        <v/>
      </c>
      <c r="D1352" s="82">
        <f>IF('7C'!B52&lt;&gt;"",'7C'!D52,"")</f>
        <v/>
      </c>
      <c r="E1352" s="82">
        <f>IF('7C'!B52&lt;&gt;"",'7C'!E52,"")</f>
        <v/>
      </c>
      <c r="F1352" s="82">
        <f>IF('7C'!B52&lt;&gt;"",'7C'!F52,"")</f>
        <v/>
      </c>
      <c r="G1352" s="82">
        <f>IF('7C'!B52&lt;&gt;"",'7C'!G52,"")</f>
        <v/>
      </c>
      <c r="H1352" s="92">
        <f>IF('7C'!B52&lt;&gt;"",'7C'!H52,"")</f>
        <v/>
      </c>
      <c r="I1352" s="92">
        <f>IF('7C'!B52&lt;&gt;"",'7C'!I52,"")</f>
        <v/>
      </c>
      <c r="J1352" s="82">
        <f>IF('7C'!B52&lt;&gt;"",'7C'!J52,"")</f>
        <v/>
      </c>
    </row>
    <row r="1353" ht="15.75" customHeight="1" s="52">
      <c r="A1353" s="97">
        <f>IF('7C'!B53&lt;&gt;"","7C","")</f>
        <v/>
      </c>
      <c r="B1353" s="78">
        <f>IF('7C'!B53&lt;&gt;"",'7C'!B53,"")</f>
        <v/>
      </c>
      <c r="C1353" s="78">
        <f>IF('7C'!B53&lt;&gt;"",'7C'!C53,"")</f>
        <v/>
      </c>
      <c r="D1353" s="78">
        <f>IF('7C'!B53&lt;&gt;"",'7C'!D53,"")</f>
        <v/>
      </c>
      <c r="E1353" s="78">
        <f>IF('7C'!B53&lt;&gt;"",'7C'!E53,"")</f>
        <v/>
      </c>
      <c r="F1353" s="78">
        <f>IF('7C'!B53&lt;&gt;"",'7C'!F53,"")</f>
        <v/>
      </c>
      <c r="G1353" s="78">
        <f>IF('7C'!B53&lt;&gt;"",'7C'!G53,"")</f>
        <v/>
      </c>
      <c r="H1353" s="97">
        <f>IF('7C'!B53&lt;&gt;"",'7C'!H53,"")</f>
        <v/>
      </c>
      <c r="I1353" s="97">
        <f>IF('7C'!B53&lt;&gt;"",'7C'!I53,"")</f>
        <v/>
      </c>
      <c r="J1353" s="78">
        <f>IF('7C'!B53&lt;&gt;"",'7C'!J53,"")</f>
        <v/>
      </c>
    </row>
    <row r="1354" ht="15.75" customHeight="1" s="52">
      <c r="A1354" s="92">
        <f>IF('7C'!B54&lt;&gt;"","7C","")</f>
        <v/>
      </c>
      <c r="B1354" s="82">
        <f>IF('7C'!B54&lt;&gt;"",'7C'!B54,"")</f>
        <v/>
      </c>
      <c r="C1354" s="82">
        <f>IF('7C'!B54&lt;&gt;"",'7C'!C54,"")</f>
        <v/>
      </c>
      <c r="D1354" s="82">
        <f>IF('7C'!B54&lt;&gt;"",'7C'!D54,"")</f>
        <v/>
      </c>
      <c r="E1354" s="82">
        <f>IF('7C'!B54&lt;&gt;"",'7C'!E54,"")</f>
        <v/>
      </c>
      <c r="F1354" s="82">
        <f>IF('7C'!B54&lt;&gt;"",'7C'!F54,"")</f>
        <v/>
      </c>
      <c r="G1354" s="82">
        <f>IF('7C'!B54&lt;&gt;"",'7C'!G54,"")</f>
        <v/>
      </c>
      <c r="H1354" s="92">
        <f>IF('7C'!B54&lt;&gt;"",'7C'!H54,"")</f>
        <v/>
      </c>
      <c r="I1354" s="92">
        <f>IF('7C'!B54&lt;&gt;"",'7C'!I54,"")</f>
        <v/>
      </c>
      <c r="J1354" s="82">
        <f>IF('7C'!B54&lt;&gt;"",'7C'!J54,"")</f>
        <v/>
      </c>
    </row>
    <row r="1355" ht="15.75" customHeight="1" s="52">
      <c r="A1355" s="97">
        <f>IF('8A'!B5&lt;&gt;"","8A","")</f>
        <v/>
      </c>
      <c r="B1355" s="78">
        <f>IF('8A'!B5&lt;&gt;"",'8A'!B5,"")</f>
        <v/>
      </c>
      <c r="C1355" s="78">
        <f>IF('8A'!B5&lt;&gt;"",'8A'!C5,"")</f>
        <v/>
      </c>
      <c r="D1355" s="78">
        <f>IF('8A'!B5&lt;&gt;"",'8A'!D5,"")</f>
        <v/>
      </c>
      <c r="E1355" s="78">
        <f>IF('8A'!B5&lt;&gt;"",'8A'!E5,"")</f>
        <v/>
      </c>
      <c r="F1355" s="78">
        <f>IF('8A'!B5&lt;&gt;"",'8A'!F5,"")</f>
        <v/>
      </c>
      <c r="G1355" s="78">
        <f>IF('8A'!B5&lt;&gt;"",'8A'!G5,"")</f>
        <v/>
      </c>
      <c r="H1355" s="97">
        <f>IF('8A'!B5&lt;&gt;"",'8A'!H5,"")</f>
        <v/>
      </c>
      <c r="I1355" s="97">
        <f>IF('8A'!B5&lt;&gt;"",'8A'!I5,"")</f>
        <v/>
      </c>
      <c r="J1355" s="78">
        <f>IF('8A'!B5&lt;&gt;"",'8A'!J5,"")</f>
        <v/>
      </c>
    </row>
    <row r="1356" ht="15.75" customHeight="1" s="52">
      <c r="A1356" s="92">
        <f>IF('8A'!B6&lt;&gt;"","8A","")</f>
        <v/>
      </c>
      <c r="B1356" s="82">
        <f>IF('8A'!B6&lt;&gt;"",'8A'!B6,"")</f>
        <v/>
      </c>
      <c r="C1356" s="82">
        <f>IF('8A'!B6&lt;&gt;"",'8A'!C6,"")</f>
        <v/>
      </c>
      <c r="D1356" s="82">
        <f>IF('8A'!B6&lt;&gt;"",'8A'!D6,"")</f>
        <v/>
      </c>
      <c r="E1356" s="82">
        <f>IF('8A'!B6&lt;&gt;"",'8A'!E6,"")</f>
        <v/>
      </c>
      <c r="F1356" s="82">
        <f>IF('8A'!B6&lt;&gt;"",'8A'!F6,"")</f>
        <v/>
      </c>
      <c r="G1356" s="82">
        <f>IF('8A'!B6&lt;&gt;"",'8A'!G6,"")</f>
        <v/>
      </c>
      <c r="H1356" s="92">
        <f>IF('8A'!B6&lt;&gt;"",'8A'!H6,"")</f>
        <v/>
      </c>
      <c r="I1356" s="92">
        <f>IF('8A'!B6&lt;&gt;"",'8A'!I6,"")</f>
        <v/>
      </c>
      <c r="J1356" s="82">
        <f>IF('8A'!B6&lt;&gt;"",'8A'!J6,"")</f>
        <v/>
      </c>
    </row>
    <row r="1357" ht="15.75" customHeight="1" s="52">
      <c r="A1357" s="97">
        <f>IF('8A'!B7&lt;&gt;"","8A","")</f>
        <v/>
      </c>
      <c r="B1357" s="78">
        <f>IF('8A'!B7&lt;&gt;"",'8A'!B7,"")</f>
        <v/>
      </c>
      <c r="C1357" s="78">
        <f>IF('8A'!B7&lt;&gt;"",'8A'!C7,"")</f>
        <v/>
      </c>
      <c r="D1357" s="78">
        <f>IF('8A'!B7&lt;&gt;"",'8A'!D7,"")</f>
        <v/>
      </c>
      <c r="E1357" s="78">
        <f>IF('8A'!B7&lt;&gt;"",'8A'!E7,"")</f>
        <v/>
      </c>
      <c r="F1357" s="78">
        <f>IF('8A'!B7&lt;&gt;"",'8A'!F7,"")</f>
        <v/>
      </c>
      <c r="G1357" s="78">
        <f>IF('8A'!B7&lt;&gt;"",'8A'!G7,"")</f>
        <v/>
      </c>
      <c r="H1357" s="97">
        <f>IF('8A'!B7&lt;&gt;"",'8A'!H7,"")</f>
        <v/>
      </c>
      <c r="I1357" s="97">
        <f>IF('8A'!B7&lt;&gt;"",'8A'!I7,"")</f>
        <v/>
      </c>
      <c r="J1357" s="78">
        <f>IF('8A'!B7&lt;&gt;"",'8A'!J7,"")</f>
        <v/>
      </c>
    </row>
    <row r="1358" ht="15.75" customHeight="1" s="52">
      <c r="A1358" s="92">
        <f>IF('8A'!B8&lt;&gt;"","8A","")</f>
        <v/>
      </c>
      <c r="B1358" s="82">
        <f>IF('8A'!B8&lt;&gt;"",'8A'!B8,"")</f>
        <v/>
      </c>
      <c r="C1358" s="82">
        <f>IF('8A'!B8&lt;&gt;"",'8A'!C8,"")</f>
        <v/>
      </c>
      <c r="D1358" s="82">
        <f>IF('8A'!B8&lt;&gt;"",'8A'!D8,"")</f>
        <v/>
      </c>
      <c r="E1358" s="82">
        <f>IF('8A'!B8&lt;&gt;"",'8A'!E8,"")</f>
        <v/>
      </c>
      <c r="F1358" s="82">
        <f>IF('8A'!B8&lt;&gt;"",'8A'!F8,"")</f>
        <v/>
      </c>
      <c r="G1358" s="82">
        <f>IF('8A'!B8&lt;&gt;"",'8A'!G8,"")</f>
        <v/>
      </c>
      <c r="H1358" s="92">
        <f>IF('8A'!B8&lt;&gt;"",'8A'!H8,"")</f>
        <v/>
      </c>
      <c r="I1358" s="92">
        <f>IF('8A'!B8&lt;&gt;"",'8A'!I8,"")</f>
        <v/>
      </c>
      <c r="J1358" s="82">
        <f>IF('8A'!B8&lt;&gt;"",'8A'!J8,"")</f>
        <v/>
      </c>
    </row>
    <row r="1359" ht="15.75" customHeight="1" s="52">
      <c r="A1359" s="97">
        <f>IF('8A'!B9&lt;&gt;"","8A","")</f>
        <v/>
      </c>
      <c r="B1359" s="78">
        <f>IF('8A'!B9&lt;&gt;"",'8A'!B9,"")</f>
        <v/>
      </c>
      <c r="C1359" s="78">
        <f>IF('8A'!B9&lt;&gt;"",'8A'!C9,"")</f>
        <v/>
      </c>
      <c r="D1359" s="78">
        <f>IF('8A'!B9&lt;&gt;"",'8A'!D9,"")</f>
        <v/>
      </c>
      <c r="E1359" s="78">
        <f>IF('8A'!B9&lt;&gt;"",'8A'!E9,"")</f>
        <v/>
      </c>
      <c r="F1359" s="78">
        <f>IF('8A'!B9&lt;&gt;"",'8A'!F9,"")</f>
        <v/>
      </c>
      <c r="G1359" s="78">
        <f>IF('8A'!B9&lt;&gt;"",'8A'!G9,"")</f>
        <v/>
      </c>
      <c r="H1359" s="97">
        <f>IF('8A'!B9&lt;&gt;"",'8A'!H9,"")</f>
        <v/>
      </c>
      <c r="I1359" s="97">
        <f>IF('8A'!B9&lt;&gt;"",'8A'!I9,"")</f>
        <v/>
      </c>
      <c r="J1359" s="78">
        <f>IF('8A'!B9&lt;&gt;"",'8A'!J9,"")</f>
        <v/>
      </c>
    </row>
    <row r="1360" ht="15.75" customHeight="1" s="52">
      <c r="A1360" s="92">
        <f>IF('8A'!B10&lt;&gt;"","8A","")</f>
        <v/>
      </c>
      <c r="B1360" s="82">
        <f>IF('8A'!B10&lt;&gt;"",'8A'!B10,"")</f>
        <v/>
      </c>
      <c r="C1360" s="82">
        <f>IF('8A'!B10&lt;&gt;"",'8A'!C10,"")</f>
        <v/>
      </c>
      <c r="D1360" s="82">
        <f>IF('8A'!B10&lt;&gt;"",'8A'!D10,"")</f>
        <v/>
      </c>
      <c r="E1360" s="82">
        <f>IF('8A'!B10&lt;&gt;"",'8A'!E10,"")</f>
        <v/>
      </c>
      <c r="F1360" s="82">
        <f>IF('8A'!B10&lt;&gt;"",'8A'!F10,"")</f>
        <v/>
      </c>
      <c r="G1360" s="82">
        <f>IF('8A'!B10&lt;&gt;"",'8A'!G10,"")</f>
        <v/>
      </c>
      <c r="H1360" s="92">
        <f>IF('8A'!B10&lt;&gt;"",'8A'!H10,"")</f>
        <v/>
      </c>
      <c r="I1360" s="92">
        <f>IF('8A'!B10&lt;&gt;"",'8A'!I10,"")</f>
        <v/>
      </c>
      <c r="J1360" s="82">
        <f>IF('8A'!B10&lt;&gt;"",'8A'!J10,"")</f>
        <v/>
      </c>
    </row>
    <row r="1361" ht="15.75" customHeight="1" s="52">
      <c r="A1361" s="97">
        <f>IF('8A'!B11&lt;&gt;"","8A","")</f>
        <v/>
      </c>
      <c r="B1361" s="78">
        <f>IF('8A'!B11&lt;&gt;"",'8A'!B11,"")</f>
        <v/>
      </c>
      <c r="C1361" s="78">
        <f>IF('8A'!B11&lt;&gt;"",'8A'!C11,"")</f>
        <v/>
      </c>
      <c r="D1361" s="78">
        <f>IF('8A'!B11&lt;&gt;"",'8A'!D11,"")</f>
        <v/>
      </c>
      <c r="E1361" s="78">
        <f>IF('8A'!B11&lt;&gt;"",'8A'!E11,"")</f>
        <v/>
      </c>
      <c r="F1361" s="78">
        <f>IF('8A'!B11&lt;&gt;"",'8A'!F11,"")</f>
        <v/>
      </c>
      <c r="G1361" s="78">
        <f>IF('8A'!B11&lt;&gt;"",'8A'!G11,"")</f>
        <v/>
      </c>
      <c r="H1361" s="97">
        <f>IF('8A'!B11&lt;&gt;"",'8A'!H11,"")</f>
        <v/>
      </c>
      <c r="I1361" s="97">
        <f>IF('8A'!B11&lt;&gt;"",'8A'!I11,"")</f>
        <v/>
      </c>
      <c r="J1361" s="78">
        <f>IF('8A'!B11&lt;&gt;"",'8A'!J11,"")</f>
        <v/>
      </c>
    </row>
    <row r="1362" ht="15.75" customHeight="1" s="52">
      <c r="A1362" s="92">
        <f>IF('8A'!B12&lt;&gt;"","8A","")</f>
        <v/>
      </c>
      <c r="B1362" s="82">
        <f>IF('8A'!B12&lt;&gt;"",'8A'!B12,"")</f>
        <v/>
      </c>
      <c r="C1362" s="82">
        <f>IF('8A'!B12&lt;&gt;"",'8A'!C12,"")</f>
        <v/>
      </c>
      <c r="D1362" s="82">
        <f>IF('8A'!B12&lt;&gt;"",'8A'!D12,"")</f>
        <v/>
      </c>
      <c r="E1362" s="82">
        <f>IF('8A'!B12&lt;&gt;"",'8A'!E12,"")</f>
        <v/>
      </c>
      <c r="F1362" s="82">
        <f>IF('8A'!B12&lt;&gt;"",'8A'!F12,"")</f>
        <v/>
      </c>
      <c r="G1362" s="82">
        <f>IF('8A'!B12&lt;&gt;"",'8A'!G12,"")</f>
        <v/>
      </c>
      <c r="H1362" s="92">
        <f>IF('8A'!B12&lt;&gt;"",'8A'!H12,"")</f>
        <v/>
      </c>
      <c r="I1362" s="92">
        <f>IF('8A'!B12&lt;&gt;"",'8A'!I12,"")</f>
        <v/>
      </c>
      <c r="J1362" s="82">
        <f>IF('8A'!B12&lt;&gt;"",'8A'!J12,"")</f>
        <v/>
      </c>
    </row>
    <row r="1363" ht="15.75" customHeight="1" s="52">
      <c r="A1363" s="97">
        <f>IF('8A'!B13&lt;&gt;"","8A","")</f>
        <v/>
      </c>
      <c r="B1363" s="78">
        <f>IF('8A'!B13&lt;&gt;"",'8A'!B13,"")</f>
        <v/>
      </c>
      <c r="C1363" s="78">
        <f>IF('8A'!B13&lt;&gt;"",'8A'!C13,"")</f>
        <v/>
      </c>
      <c r="D1363" s="78">
        <f>IF('8A'!B13&lt;&gt;"",'8A'!D13,"")</f>
        <v/>
      </c>
      <c r="E1363" s="78">
        <f>IF('8A'!B13&lt;&gt;"",'8A'!E13,"")</f>
        <v/>
      </c>
      <c r="F1363" s="78">
        <f>IF('8A'!B13&lt;&gt;"",'8A'!F13,"")</f>
        <v/>
      </c>
      <c r="G1363" s="78">
        <f>IF('8A'!B13&lt;&gt;"",'8A'!G13,"")</f>
        <v/>
      </c>
      <c r="H1363" s="97">
        <f>IF('8A'!B13&lt;&gt;"",'8A'!H13,"")</f>
        <v/>
      </c>
      <c r="I1363" s="97">
        <f>IF('8A'!B13&lt;&gt;"",'8A'!I13,"")</f>
        <v/>
      </c>
      <c r="J1363" s="78">
        <f>IF('8A'!B13&lt;&gt;"",'8A'!J13,"")</f>
        <v/>
      </c>
    </row>
    <row r="1364" ht="15.75" customHeight="1" s="52">
      <c r="A1364" s="92">
        <f>IF('8A'!B14&lt;&gt;"","8A","")</f>
        <v/>
      </c>
      <c r="B1364" s="82">
        <f>IF('8A'!B14&lt;&gt;"",'8A'!B14,"")</f>
        <v/>
      </c>
      <c r="C1364" s="82">
        <f>IF('8A'!B14&lt;&gt;"",'8A'!C14,"")</f>
        <v/>
      </c>
      <c r="D1364" s="82">
        <f>IF('8A'!B14&lt;&gt;"",'8A'!D14,"")</f>
        <v/>
      </c>
      <c r="E1364" s="82">
        <f>IF('8A'!B14&lt;&gt;"",'8A'!E14,"")</f>
        <v/>
      </c>
      <c r="F1364" s="82">
        <f>IF('8A'!B14&lt;&gt;"",'8A'!F14,"")</f>
        <v/>
      </c>
      <c r="G1364" s="82">
        <f>IF('8A'!B14&lt;&gt;"",'8A'!G14,"")</f>
        <v/>
      </c>
      <c r="H1364" s="92">
        <f>IF('8A'!B14&lt;&gt;"",'8A'!H14,"")</f>
        <v/>
      </c>
      <c r="I1364" s="92">
        <f>IF('8A'!B14&lt;&gt;"",'8A'!I14,"")</f>
        <v/>
      </c>
      <c r="J1364" s="82">
        <f>IF('8A'!B14&lt;&gt;"",'8A'!J14,"")</f>
        <v/>
      </c>
    </row>
    <row r="1365" ht="15.75" customHeight="1" s="52">
      <c r="A1365" s="97">
        <f>IF('8A'!B15&lt;&gt;"","8A","")</f>
        <v/>
      </c>
      <c r="B1365" s="78">
        <f>IF('8A'!B15&lt;&gt;"",'8A'!B15,"")</f>
        <v/>
      </c>
      <c r="C1365" s="78">
        <f>IF('8A'!B15&lt;&gt;"",'8A'!C15,"")</f>
        <v/>
      </c>
      <c r="D1365" s="78">
        <f>IF('8A'!B15&lt;&gt;"",'8A'!D15,"")</f>
        <v/>
      </c>
      <c r="E1365" s="78">
        <f>IF('8A'!B15&lt;&gt;"",'8A'!E15,"")</f>
        <v/>
      </c>
      <c r="F1365" s="78">
        <f>IF('8A'!B15&lt;&gt;"",'8A'!F15,"")</f>
        <v/>
      </c>
      <c r="G1365" s="78">
        <f>IF('8A'!B15&lt;&gt;"",'8A'!G15,"")</f>
        <v/>
      </c>
      <c r="H1365" s="97">
        <f>IF('8A'!B15&lt;&gt;"",'8A'!H15,"")</f>
        <v/>
      </c>
      <c r="I1365" s="97">
        <f>IF('8A'!B15&lt;&gt;"",'8A'!I15,"")</f>
        <v/>
      </c>
      <c r="J1365" s="78">
        <f>IF('8A'!B15&lt;&gt;"",'8A'!J15,"")</f>
        <v/>
      </c>
    </row>
    <row r="1366" ht="15.75" customHeight="1" s="52">
      <c r="A1366" s="92">
        <f>IF('8A'!B16&lt;&gt;"","8A","")</f>
        <v/>
      </c>
      <c r="B1366" s="82">
        <f>IF('8A'!B16&lt;&gt;"",'8A'!B16,"")</f>
        <v/>
      </c>
      <c r="C1366" s="82">
        <f>IF('8A'!B16&lt;&gt;"",'8A'!C16,"")</f>
        <v/>
      </c>
      <c r="D1366" s="82">
        <f>IF('8A'!B16&lt;&gt;"",'8A'!D16,"")</f>
        <v/>
      </c>
      <c r="E1366" s="82">
        <f>IF('8A'!B16&lt;&gt;"",'8A'!E16,"")</f>
        <v/>
      </c>
      <c r="F1366" s="82">
        <f>IF('8A'!B16&lt;&gt;"",'8A'!F16,"")</f>
        <v/>
      </c>
      <c r="G1366" s="82">
        <f>IF('8A'!B16&lt;&gt;"",'8A'!G16,"")</f>
        <v/>
      </c>
      <c r="H1366" s="92">
        <f>IF('8A'!B16&lt;&gt;"",'8A'!H16,"")</f>
        <v/>
      </c>
      <c r="I1366" s="92">
        <f>IF('8A'!B16&lt;&gt;"",'8A'!I16,"")</f>
        <v/>
      </c>
      <c r="J1366" s="82">
        <f>IF('8A'!B16&lt;&gt;"",'8A'!J16,"")</f>
        <v/>
      </c>
    </row>
    <row r="1367" ht="15.75" customHeight="1" s="52">
      <c r="A1367" s="97">
        <f>IF('8A'!B17&lt;&gt;"","8A","")</f>
        <v/>
      </c>
      <c r="B1367" s="78">
        <f>IF('8A'!B17&lt;&gt;"",'8A'!B17,"")</f>
        <v/>
      </c>
      <c r="C1367" s="78">
        <f>IF('8A'!B17&lt;&gt;"",'8A'!C17,"")</f>
        <v/>
      </c>
      <c r="D1367" s="78">
        <f>IF('8A'!B17&lt;&gt;"",'8A'!D17,"")</f>
        <v/>
      </c>
      <c r="E1367" s="78">
        <f>IF('8A'!B17&lt;&gt;"",'8A'!E17,"")</f>
        <v/>
      </c>
      <c r="F1367" s="78">
        <f>IF('8A'!B17&lt;&gt;"",'8A'!F17,"")</f>
        <v/>
      </c>
      <c r="G1367" s="78">
        <f>IF('8A'!B17&lt;&gt;"",'8A'!G17,"")</f>
        <v/>
      </c>
      <c r="H1367" s="97">
        <f>IF('8A'!B17&lt;&gt;"",'8A'!H17,"")</f>
        <v/>
      </c>
      <c r="I1367" s="97">
        <f>IF('8A'!B17&lt;&gt;"",'8A'!I17,"")</f>
        <v/>
      </c>
      <c r="J1367" s="78">
        <f>IF('8A'!B17&lt;&gt;"",'8A'!J17,"")</f>
        <v/>
      </c>
    </row>
    <row r="1368" ht="15.75" customHeight="1" s="52">
      <c r="A1368" s="92">
        <f>IF('8A'!B18&lt;&gt;"","8A","")</f>
        <v/>
      </c>
      <c r="B1368" s="82">
        <f>IF('8A'!B18&lt;&gt;"",'8A'!B18,"")</f>
        <v/>
      </c>
      <c r="C1368" s="82">
        <f>IF('8A'!B18&lt;&gt;"",'8A'!C18,"")</f>
        <v/>
      </c>
      <c r="D1368" s="82">
        <f>IF('8A'!B18&lt;&gt;"",'8A'!D18,"")</f>
        <v/>
      </c>
      <c r="E1368" s="82">
        <f>IF('8A'!B18&lt;&gt;"",'8A'!E18,"")</f>
        <v/>
      </c>
      <c r="F1368" s="82">
        <f>IF('8A'!B18&lt;&gt;"",'8A'!F18,"")</f>
        <v/>
      </c>
      <c r="G1368" s="82">
        <f>IF('8A'!B18&lt;&gt;"",'8A'!G18,"")</f>
        <v/>
      </c>
      <c r="H1368" s="92">
        <f>IF('8A'!B18&lt;&gt;"",'8A'!H18,"")</f>
        <v/>
      </c>
      <c r="I1368" s="92">
        <f>IF('8A'!B18&lt;&gt;"",'8A'!I18,"")</f>
        <v/>
      </c>
      <c r="J1368" s="82">
        <f>IF('8A'!B18&lt;&gt;"",'8A'!J18,"")</f>
        <v/>
      </c>
    </row>
    <row r="1369" ht="15.75" customHeight="1" s="52">
      <c r="A1369" s="97">
        <f>IF('8A'!B19&lt;&gt;"","8A","")</f>
        <v/>
      </c>
      <c r="B1369" s="78">
        <f>IF('8A'!B19&lt;&gt;"",'8A'!B19,"")</f>
        <v/>
      </c>
      <c r="C1369" s="78">
        <f>IF('8A'!B19&lt;&gt;"",'8A'!C19,"")</f>
        <v/>
      </c>
      <c r="D1369" s="78">
        <f>IF('8A'!B19&lt;&gt;"",'8A'!D19,"")</f>
        <v/>
      </c>
      <c r="E1369" s="78">
        <f>IF('8A'!B19&lt;&gt;"",'8A'!E19,"")</f>
        <v/>
      </c>
      <c r="F1369" s="78">
        <f>IF('8A'!B19&lt;&gt;"",'8A'!F19,"")</f>
        <v/>
      </c>
      <c r="G1369" s="78">
        <f>IF('8A'!B19&lt;&gt;"",'8A'!G19,"")</f>
        <v/>
      </c>
      <c r="H1369" s="97">
        <f>IF('8A'!B19&lt;&gt;"",'8A'!H19,"")</f>
        <v/>
      </c>
      <c r="I1369" s="97">
        <f>IF('8A'!B19&lt;&gt;"",'8A'!I19,"")</f>
        <v/>
      </c>
      <c r="J1369" s="78">
        <f>IF('8A'!B19&lt;&gt;"",'8A'!J19,"")</f>
        <v/>
      </c>
    </row>
    <row r="1370" ht="15.75" customHeight="1" s="52">
      <c r="A1370" s="92">
        <f>IF('8A'!B20&lt;&gt;"","8A","")</f>
        <v/>
      </c>
      <c r="B1370" s="82">
        <f>IF('8A'!B20&lt;&gt;"",'8A'!B20,"")</f>
        <v/>
      </c>
      <c r="C1370" s="82">
        <f>IF('8A'!B20&lt;&gt;"",'8A'!C20,"")</f>
        <v/>
      </c>
      <c r="D1370" s="82">
        <f>IF('8A'!B20&lt;&gt;"",'8A'!D20,"")</f>
        <v/>
      </c>
      <c r="E1370" s="82">
        <f>IF('8A'!B20&lt;&gt;"",'8A'!E20,"")</f>
        <v/>
      </c>
      <c r="F1370" s="82">
        <f>IF('8A'!B20&lt;&gt;"",'8A'!F20,"")</f>
        <v/>
      </c>
      <c r="G1370" s="82">
        <f>IF('8A'!B20&lt;&gt;"",'8A'!G20,"")</f>
        <v/>
      </c>
      <c r="H1370" s="92">
        <f>IF('8A'!B20&lt;&gt;"",'8A'!H20,"")</f>
        <v/>
      </c>
      <c r="I1370" s="92">
        <f>IF('8A'!B20&lt;&gt;"",'8A'!I20,"")</f>
        <v/>
      </c>
      <c r="J1370" s="82">
        <f>IF('8A'!B20&lt;&gt;"",'8A'!J20,"")</f>
        <v/>
      </c>
    </row>
    <row r="1371" ht="15.75" customHeight="1" s="52">
      <c r="A1371" s="97">
        <f>IF('8A'!B21&lt;&gt;"","8A","")</f>
        <v/>
      </c>
      <c r="B1371" s="78">
        <f>IF('8A'!B21&lt;&gt;"",'8A'!B21,"")</f>
        <v/>
      </c>
      <c r="C1371" s="78">
        <f>IF('8A'!B21&lt;&gt;"",'8A'!C21,"")</f>
        <v/>
      </c>
      <c r="D1371" s="78">
        <f>IF('8A'!B21&lt;&gt;"",'8A'!D21,"")</f>
        <v/>
      </c>
      <c r="E1371" s="78">
        <f>IF('8A'!B21&lt;&gt;"",'8A'!E21,"")</f>
        <v/>
      </c>
      <c r="F1371" s="78">
        <f>IF('8A'!B21&lt;&gt;"",'8A'!F21,"")</f>
        <v/>
      </c>
      <c r="G1371" s="78">
        <f>IF('8A'!B21&lt;&gt;"",'8A'!G21,"")</f>
        <v/>
      </c>
      <c r="H1371" s="97">
        <f>IF('8A'!B21&lt;&gt;"",'8A'!H21,"")</f>
        <v/>
      </c>
      <c r="I1371" s="97">
        <f>IF('8A'!B21&lt;&gt;"",'8A'!I21,"")</f>
        <v/>
      </c>
      <c r="J1371" s="78">
        <f>IF('8A'!B21&lt;&gt;"",'8A'!J21,"")</f>
        <v/>
      </c>
    </row>
    <row r="1372" ht="15.75" customHeight="1" s="52">
      <c r="A1372" s="92">
        <f>IF('8A'!B22&lt;&gt;"","8A","")</f>
        <v/>
      </c>
      <c r="B1372" s="82">
        <f>IF('8A'!B22&lt;&gt;"",'8A'!B22,"")</f>
        <v/>
      </c>
      <c r="C1372" s="82">
        <f>IF('8A'!B22&lt;&gt;"",'8A'!C22,"")</f>
        <v/>
      </c>
      <c r="D1372" s="82">
        <f>IF('8A'!B22&lt;&gt;"",'8A'!D22,"")</f>
        <v/>
      </c>
      <c r="E1372" s="82">
        <f>IF('8A'!B22&lt;&gt;"",'8A'!E22,"")</f>
        <v/>
      </c>
      <c r="F1372" s="82">
        <f>IF('8A'!B22&lt;&gt;"",'8A'!F22,"")</f>
        <v/>
      </c>
      <c r="G1372" s="82">
        <f>IF('8A'!B22&lt;&gt;"",'8A'!G22,"")</f>
        <v/>
      </c>
      <c r="H1372" s="92">
        <f>IF('8A'!B22&lt;&gt;"",'8A'!H22,"")</f>
        <v/>
      </c>
      <c r="I1372" s="92">
        <f>IF('8A'!B22&lt;&gt;"",'8A'!I22,"")</f>
        <v/>
      </c>
      <c r="J1372" s="82">
        <f>IF('8A'!B22&lt;&gt;"",'8A'!J22,"")</f>
        <v/>
      </c>
    </row>
    <row r="1373" ht="15.75" customHeight="1" s="52">
      <c r="A1373" s="97">
        <f>IF('8A'!B23&lt;&gt;"","8A","")</f>
        <v/>
      </c>
      <c r="B1373" s="78">
        <f>IF('8A'!B23&lt;&gt;"",'8A'!B23,"")</f>
        <v/>
      </c>
      <c r="C1373" s="78">
        <f>IF('8A'!B23&lt;&gt;"",'8A'!C23,"")</f>
        <v/>
      </c>
      <c r="D1373" s="78">
        <f>IF('8A'!B23&lt;&gt;"",'8A'!D23,"")</f>
        <v/>
      </c>
      <c r="E1373" s="78">
        <f>IF('8A'!B23&lt;&gt;"",'8A'!E23,"")</f>
        <v/>
      </c>
      <c r="F1373" s="78">
        <f>IF('8A'!B23&lt;&gt;"",'8A'!F23,"")</f>
        <v/>
      </c>
      <c r="G1373" s="78">
        <f>IF('8A'!B23&lt;&gt;"",'8A'!G23,"")</f>
        <v/>
      </c>
      <c r="H1373" s="97">
        <f>IF('8A'!B23&lt;&gt;"",'8A'!H23,"")</f>
        <v/>
      </c>
      <c r="I1373" s="97">
        <f>IF('8A'!B23&lt;&gt;"",'8A'!I23,"")</f>
        <v/>
      </c>
      <c r="J1373" s="78">
        <f>IF('8A'!B23&lt;&gt;"",'8A'!J23,"")</f>
        <v/>
      </c>
    </row>
    <row r="1374" ht="15.75" customHeight="1" s="52">
      <c r="A1374" s="92">
        <f>IF('8A'!B24&lt;&gt;"","8A","")</f>
        <v/>
      </c>
      <c r="B1374" s="82">
        <f>IF('8A'!B24&lt;&gt;"",'8A'!B24,"")</f>
        <v/>
      </c>
      <c r="C1374" s="82">
        <f>IF('8A'!B24&lt;&gt;"",'8A'!C24,"")</f>
        <v/>
      </c>
      <c r="D1374" s="82">
        <f>IF('8A'!B24&lt;&gt;"",'8A'!D24,"")</f>
        <v/>
      </c>
      <c r="E1374" s="82">
        <f>IF('8A'!B24&lt;&gt;"",'8A'!E24,"")</f>
        <v/>
      </c>
      <c r="F1374" s="82">
        <f>IF('8A'!B24&lt;&gt;"",'8A'!F24,"")</f>
        <v/>
      </c>
      <c r="G1374" s="82">
        <f>IF('8A'!B24&lt;&gt;"",'8A'!G24,"")</f>
        <v/>
      </c>
      <c r="H1374" s="92">
        <f>IF('8A'!B24&lt;&gt;"",'8A'!H24,"")</f>
        <v/>
      </c>
      <c r="I1374" s="92">
        <f>IF('8A'!B24&lt;&gt;"",'8A'!I24,"")</f>
        <v/>
      </c>
      <c r="J1374" s="82">
        <f>IF('8A'!B24&lt;&gt;"",'8A'!J24,"")</f>
        <v/>
      </c>
    </row>
    <row r="1375" ht="15.75" customHeight="1" s="52">
      <c r="A1375" s="97">
        <f>IF('8A'!B25&lt;&gt;"","8A","")</f>
        <v/>
      </c>
      <c r="B1375" s="78">
        <f>IF('8A'!B25&lt;&gt;"",'8A'!B25,"")</f>
        <v/>
      </c>
      <c r="C1375" s="78">
        <f>IF('8A'!B25&lt;&gt;"",'8A'!C25,"")</f>
        <v/>
      </c>
      <c r="D1375" s="78">
        <f>IF('8A'!B25&lt;&gt;"",'8A'!D25,"")</f>
        <v/>
      </c>
      <c r="E1375" s="78">
        <f>IF('8A'!B25&lt;&gt;"",'8A'!E25,"")</f>
        <v/>
      </c>
      <c r="F1375" s="78">
        <f>IF('8A'!B25&lt;&gt;"",'8A'!F25,"")</f>
        <v/>
      </c>
      <c r="G1375" s="78">
        <f>IF('8A'!B25&lt;&gt;"",'8A'!G25,"")</f>
        <v/>
      </c>
      <c r="H1375" s="97">
        <f>IF('8A'!B25&lt;&gt;"",'8A'!H25,"")</f>
        <v/>
      </c>
      <c r="I1375" s="97">
        <f>IF('8A'!B25&lt;&gt;"",'8A'!I25,"")</f>
        <v/>
      </c>
      <c r="J1375" s="78">
        <f>IF('8A'!B25&lt;&gt;"",'8A'!J25,"")</f>
        <v/>
      </c>
    </row>
    <row r="1376" ht="15.75" customHeight="1" s="52">
      <c r="A1376" s="92">
        <f>IF('8A'!B26&lt;&gt;"","8A","")</f>
        <v/>
      </c>
      <c r="B1376" s="82">
        <f>IF('8A'!B26&lt;&gt;"",'8A'!B26,"")</f>
        <v/>
      </c>
      <c r="C1376" s="82">
        <f>IF('8A'!B26&lt;&gt;"",'8A'!C26,"")</f>
        <v/>
      </c>
      <c r="D1376" s="82">
        <f>IF('8A'!B26&lt;&gt;"",'8A'!D26,"")</f>
        <v/>
      </c>
      <c r="E1376" s="82">
        <f>IF('8A'!B26&lt;&gt;"",'8A'!E26,"")</f>
        <v/>
      </c>
      <c r="F1376" s="82">
        <f>IF('8A'!B26&lt;&gt;"",'8A'!F26,"")</f>
        <v/>
      </c>
      <c r="G1376" s="82">
        <f>IF('8A'!B26&lt;&gt;"",'8A'!G26,"")</f>
        <v/>
      </c>
      <c r="H1376" s="92">
        <f>IF('8A'!B26&lt;&gt;"",'8A'!H26,"")</f>
        <v/>
      </c>
      <c r="I1376" s="92">
        <f>IF('8A'!B26&lt;&gt;"",'8A'!I26,"")</f>
        <v/>
      </c>
      <c r="J1376" s="82">
        <f>IF('8A'!B26&lt;&gt;"",'8A'!J26,"")</f>
        <v/>
      </c>
    </row>
    <row r="1377" ht="15.75" customHeight="1" s="52">
      <c r="A1377" s="97">
        <f>IF('8A'!B27&lt;&gt;"","8A","")</f>
        <v/>
      </c>
      <c r="B1377" s="78">
        <f>IF('8A'!B27&lt;&gt;"",'8A'!B27,"")</f>
        <v/>
      </c>
      <c r="C1377" s="78">
        <f>IF('8A'!B27&lt;&gt;"",'8A'!C27,"")</f>
        <v/>
      </c>
      <c r="D1377" s="78">
        <f>IF('8A'!B27&lt;&gt;"",'8A'!D27,"")</f>
        <v/>
      </c>
      <c r="E1377" s="78">
        <f>IF('8A'!B27&lt;&gt;"",'8A'!E27,"")</f>
        <v/>
      </c>
      <c r="F1377" s="78">
        <f>IF('8A'!B27&lt;&gt;"",'8A'!F27,"")</f>
        <v/>
      </c>
      <c r="G1377" s="78">
        <f>IF('8A'!B27&lt;&gt;"",'8A'!G27,"")</f>
        <v/>
      </c>
      <c r="H1377" s="97">
        <f>IF('8A'!B27&lt;&gt;"",'8A'!H27,"")</f>
        <v/>
      </c>
      <c r="I1377" s="97">
        <f>IF('8A'!B27&lt;&gt;"",'8A'!I27,"")</f>
        <v/>
      </c>
      <c r="J1377" s="78">
        <f>IF('8A'!B27&lt;&gt;"",'8A'!J27,"")</f>
        <v/>
      </c>
    </row>
    <row r="1378" ht="15.75" customHeight="1" s="52">
      <c r="A1378" s="92">
        <f>IF('8A'!B28&lt;&gt;"","8A","")</f>
        <v/>
      </c>
      <c r="B1378" s="82">
        <f>IF('8A'!B28&lt;&gt;"",'8A'!B28,"")</f>
        <v/>
      </c>
      <c r="C1378" s="82">
        <f>IF('8A'!B28&lt;&gt;"",'8A'!C28,"")</f>
        <v/>
      </c>
      <c r="D1378" s="82">
        <f>IF('8A'!B28&lt;&gt;"",'8A'!D28,"")</f>
        <v/>
      </c>
      <c r="E1378" s="82">
        <f>IF('8A'!B28&lt;&gt;"",'8A'!E28,"")</f>
        <v/>
      </c>
      <c r="F1378" s="82">
        <f>IF('8A'!B28&lt;&gt;"",'8A'!F28,"")</f>
        <v/>
      </c>
      <c r="G1378" s="82">
        <f>IF('8A'!B28&lt;&gt;"",'8A'!G28,"")</f>
        <v/>
      </c>
      <c r="H1378" s="92">
        <f>IF('8A'!B28&lt;&gt;"",'8A'!H28,"")</f>
        <v/>
      </c>
      <c r="I1378" s="92">
        <f>IF('8A'!B28&lt;&gt;"",'8A'!I28,"")</f>
        <v/>
      </c>
      <c r="J1378" s="82">
        <f>IF('8A'!B28&lt;&gt;"",'8A'!J28,"")</f>
        <v/>
      </c>
    </row>
    <row r="1379" ht="15.75" customHeight="1" s="52">
      <c r="A1379" s="97">
        <f>IF('8A'!B29&lt;&gt;"","8A","")</f>
        <v/>
      </c>
      <c r="B1379" s="78">
        <f>IF('8A'!B29&lt;&gt;"",'8A'!B29,"")</f>
        <v/>
      </c>
      <c r="C1379" s="78">
        <f>IF('8A'!B29&lt;&gt;"",'8A'!C29,"")</f>
        <v/>
      </c>
      <c r="D1379" s="78">
        <f>IF('8A'!B29&lt;&gt;"",'8A'!D29,"")</f>
        <v/>
      </c>
      <c r="E1379" s="78">
        <f>IF('8A'!B29&lt;&gt;"",'8A'!E29,"")</f>
        <v/>
      </c>
      <c r="F1379" s="78">
        <f>IF('8A'!B29&lt;&gt;"",'8A'!F29,"")</f>
        <v/>
      </c>
      <c r="G1379" s="78">
        <f>IF('8A'!B29&lt;&gt;"",'8A'!G29,"")</f>
        <v/>
      </c>
      <c r="H1379" s="97">
        <f>IF('8A'!B29&lt;&gt;"",'8A'!H29,"")</f>
        <v/>
      </c>
      <c r="I1379" s="97">
        <f>IF('8A'!B29&lt;&gt;"",'8A'!I29,"")</f>
        <v/>
      </c>
      <c r="J1379" s="78">
        <f>IF('8A'!B29&lt;&gt;"",'8A'!J29,"")</f>
        <v/>
      </c>
    </row>
    <row r="1380" ht="15.75" customHeight="1" s="52">
      <c r="A1380" s="92">
        <f>IF('8A'!B30&lt;&gt;"","8A","")</f>
        <v/>
      </c>
      <c r="B1380" s="82">
        <f>IF('8A'!B30&lt;&gt;"",'8A'!B30,"")</f>
        <v/>
      </c>
      <c r="C1380" s="82">
        <f>IF('8A'!B30&lt;&gt;"",'8A'!C30,"")</f>
        <v/>
      </c>
      <c r="D1380" s="82">
        <f>IF('8A'!B30&lt;&gt;"",'8A'!D30,"")</f>
        <v/>
      </c>
      <c r="E1380" s="82">
        <f>IF('8A'!B30&lt;&gt;"",'8A'!E30,"")</f>
        <v/>
      </c>
      <c r="F1380" s="82">
        <f>IF('8A'!B30&lt;&gt;"",'8A'!F30,"")</f>
        <v/>
      </c>
      <c r="G1380" s="82">
        <f>IF('8A'!B30&lt;&gt;"",'8A'!G30,"")</f>
        <v/>
      </c>
      <c r="H1380" s="92">
        <f>IF('8A'!B30&lt;&gt;"",'8A'!H30,"")</f>
        <v/>
      </c>
      <c r="I1380" s="92">
        <f>IF('8A'!B30&lt;&gt;"",'8A'!I30,"")</f>
        <v/>
      </c>
      <c r="J1380" s="82">
        <f>IF('8A'!B30&lt;&gt;"",'8A'!J30,"")</f>
        <v/>
      </c>
    </row>
    <row r="1381" ht="15.75" customHeight="1" s="52">
      <c r="A1381" s="97">
        <f>IF('8A'!B31&lt;&gt;"","8A","")</f>
        <v/>
      </c>
      <c r="B1381" s="78">
        <f>IF('8A'!B31&lt;&gt;"",'8A'!B31,"")</f>
        <v/>
      </c>
      <c r="C1381" s="78">
        <f>IF('8A'!B31&lt;&gt;"",'8A'!C31,"")</f>
        <v/>
      </c>
      <c r="D1381" s="78">
        <f>IF('8A'!B31&lt;&gt;"",'8A'!D31,"")</f>
        <v/>
      </c>
      <c r="E1381" s="78">
        <f>IF('8A'!B31&lt;&gt;"",'8A'!E31,"")</f>
        <v/>
      </c>
      <c r="F1381" s="78">
        <f>IF('8A'!B31&lt;&gt;"",'8A'!F31,"")</f>
        <v/>
      </c>
      <c r="G1381" s="78">
        <f>IF('8A'!B31&lt;&gt;"",'8A'!G31,"")</f>
        <v/>
      </c>
      <c r="H1381" s="97">
        <f>IF('8A'!B31&lt;&gt;"",'8A'!H31,"")</f>
        <v/>
      </c>
      <c r="I1381" s="97">
        <f>IF('8A'!B31&lt;&gt;"",'8A'!I31,"")</f>
        <v/>
      </c>
      <c r="J1381" s="78">
        <f>IF('8A'!B31&lt;&gt;"",'8A'!J31,"")</f>
        <v/>
      </c>
    </row>
    <row r="1382" ht="15.75" customHeight="1" s="52">
      <c r="A1382" s="92">
        <f>IF('8A'!B32&lt;&gt;"","8A","")</f>
        <v/>
      </c>
      <c r="B1382" s="82">
        <f>IF('8A'!B32&lt;&gt;"",'8A'!B32,"")</f>
        <v/>
      </c>
      <c r="C1382" s="82">
        <f>IF('8A'!B32&lt;&gt;"",'8A'!C32,"")</f>
        <v/>
      </c>
      <c r="D1382" s="82">
        <f>IF('8A'!B32&lt;&gt;"",'8A'!D32,"")</f>
        <v/>
      </c>
      <c r="E1382" s="82">
        <f>IF('8A'!B32&lt;&gt;"",'8A'!E32,"")</f>
        <v/>
      </c>
      <c r="F1382" s="82">
        <f>IF('8A'!B32&lt;&gt;"",'8A'!F32,"")</f>
        <v/>
      </c>
      <c r="G1382" s="82">
        <f>IF('8A'!B32&lt;&gt;"",'8A'!G32,"")</f>
        <v/>
      </c>
      <c r="H1382" s="92">
        <f>IF('8A'!B32&lt;&gt;"",'8A'!H32,"")</f>
        <v/>
      </c>
      <c r="I1382" s="92">
        <f>IF('8A'!B32&lt;&gt;"",'8A'!I32,"")</f>
        <v/>
      </c>
      <c r="J1382" s="82">
        <f>IF('8A'!B32&lt;&gt;"",'8A'!J32,"")</f>
        <v/>
      </c>
    </row>
    <row r="1383" ht="15.75" customHeight="1" s="52">
      <c r="A1383" s="97">
        <f>IF('8A'!B33&lt;&gt;"","8A","")</f>
        <v/>
      </c>
      <c r="B1383" s="78">
        <f>IF('8A'!B33&lt;&gt;"",'8A'!B33,"")</f>
        <v/>
      </c>
      <c r="C1383" s="78">
        <f>IF('8A'!B33&lt;&gt;"",'8A'!C33,"")</f>
        <v/>
      </c>
      <c r="D1383" s="78">
        <f>IF('8A'!B33&lt;&gt;"",'8A'!D33,"")</f>
        <v/>
      </c>
      <c r="E1383" s="78">
        <f>IF('8A'!B33&lt;&gt;"",'8A'!E33,"")</f>
        <v/>
      </c>
      <c r="F1383" s="78">
        <f>IF('8A'!B33&lt;&gt;"",'8A'!F33,"")</f>
        <v/>
      </c>
      <c r="G1383" s="78">
        <f>IF('8A'!B33&lt;&gt;"",'8A'!G33,"")</f>
        <v/>
      </c>
      <c r="H1383" s="97">
        <f>IF('8A'!B33&lt;&gt;"",'8A'!H33,"")</f>
        <v/>
      </c>
      <c r="I1383" s="97">
        <f>IF('8A'!B33&lt;&gt;"",'8A'!I33,"")</f>
        <v/>
      </c>
      <c r="J1383" s="78">
        <f>IF('8A'!B33&lt;&gt;"",'8A'!J33,"")</f>
        <v/>
      </c>
    </row>
    <row r="1384" ht="15.75" customHeight="1" s="52">
      <c r="A1384" s="92">
        <f>IF('8A'!B34&lt;&gt;"","8A","")</f>
        <v/>
      </c>
      <c r="B1384" s="82">
        <f>IF('8A'!B34&lt;&gt;"",'8A'!B34,"")</f>
        <v/>
      </c>
      <c r="C1384" s="82">
        <f>IF('8A'!B34&lt;&gt;"",'8A'!C34,"")</f>
        <v/>
      </c>
      <c r="D1384" s="82">
        <f>IF('8A'!B34&lt;&gt;"",'8A'!D34,"")</f>
        <v/>
      </c>
      <c r="E1384" s="82">
        <f>IF('8A'!B34&lt;&gt;"",'8A'!E34,"")</f>
        <v/>
      </c>
      <c r="F1384" s="82">
        <f>IF('8A'!B34&lt;&gt;"",'8A'!F34,"")</f>
        <v/>
      </c>
      <c r="G1384" s="82">
        <f>IF('8A'!B34&lt;&gt;"",'8A'!G34,"")</f>
        <v/>
      </c>
      <c r="H1384" s="92">
        <f>IF('8A'!B34&lt;&gt;"",'8A'!H34,"")</f>
        <v/>
      </c>
      <c r="I1384" s="92">
        <f>IF('8A'!B34&lt;&gt;"",'8A'!I34,"")</f>
        <v/>
      </c>
      <c r="J1384" s="82">
        <f>IF('8A'!B34&lt;&gt;"",'8A'!J34,"")</f>
        <v/>
      </c>
    </row>
    <row r="1385" ht="15.75" customHeight="1" s="52">
      <c r="A1385" s="97">
        <f>IF('8A'!B35&lt;&gt;"","8A","")</f>
        <v/>
      </c>
      <c r="B1385" s="78">
        <f>IF('8A'!B35&lt;&gt;"",'8A'!B35,"")</f>
        <v/>
      </c>
      <c r="C1385" s="78">
        <f>IF('8A'!B35&lt;&gt;"",'8A'!C35,"")</f>
        <v/>
      </c>
      <c r="D1385" s="78">
        <f>IF('8A'!B35&lt;&gt;"",'8A'!D35,"")</f>
        <v/>
      </c>
      <c r="E1385" s="78">
        <f>IF('8A'!B35&lt;&gt;"",'8A'!E35,"")</f>
        <v/>
      </c>
      <c r="F1385" s="78">
        <f>IF('8A'!B35&lt;&gt;"",'8A'!F35,"")</f>
        <v/>
      </c>
      <c r="G1385" s="78">
        <f>IF('8A'!B35&lt;&gt;"",'8A'!G35,"")</f>
        <v/>
      </c>
      <c r="H1385" s="97">
        <f>IF('8A'!B35&lt;&gt;"",'8A'!H35,"")</f>
        <v/>
      </c>
      <c r="I1385" s="97">
        <f>IF('8A'!B35&lt;&gt;"",'8A'!I35,"")</f>
        <v/>
      </c>
      <c r="J1385" s="78">
        <f>IF('8A'!B35&lt;&gt;"",'8A'!J35,"")</f>
        <v/>
      </c>
    </row>
    <row r="1386" ht="15.75" customHeight="1" s="52">
      <c r="A1386" s="92">
        <f>IF('8A'!B36&lt;&gt;"","8A","")</f>
        <v/>
      </c>
      <c r="B1386" s="82">
        <f>IF('8A'!B36&lt;&gt;"",'8A'!B36,"")</f>
        <v/>
      </c>
      <c r="C1386" s="82">
        <f>IF('8A'!B36&lt;&gt;"",'8A'!C36,"")</f>
        <v/>
      </c>
      <c r="D1386" s="82">
        <f>IF('8A'!B36&lt;&gt;"",'8A'!D36,"")</f>
        <v/>
      </c>
      <c r="E1386" s="82">
        <f>IF('8A'!B36&lt;&gt;"",'8A'!E36,"")</f>
        <v/>
      </c>
      <c r="F1386" s="82">
        <f>IF('8A'!B36&lt;&gt;"",'8A'!F36,"")</f>
        <v/>
      </c>
      <c r="G1386" s="82">
        <f>IF('8A'!B36&lt;&gt;"",'8A'!G36,"")</f>
        <v/>
      </c>
      <c r="H1386" s="92">
        <f>IF('8A'!B36&lt;&gt;"",'8A'!H36,"")</f>
        <v/>
      </c>
      <c r="I1386" s="92">
        <f>IF('8A'!B36&lt;&gt;"",'8A'!I36,"")</f>
        <v/>
      </c>
      <c r="J1386" s="82">
        <f>IF('8A'!B36&lt;&gt;"",'8A'!J36,"")</f>
        <v/>
      </c>
    </row>
    <row r="1387" ht="15.75" customHeight="1" s="52">
      <c r="A1387" s="97">
        <f>IF('8A'!B37&lt;&gt;"","8A","")</f>
        <v/>
      </c>
      <c r="B1387" s="78">
        <f>IF('8A'!B37&lt;&gt;"",'8A'!B37,"")</f>
        <v/>
      </c>
      <c r="C1387" s="78">
        <f>IF('8A'!B37&lt;&gt;"",'8A'!C37,"")</f>
        <v/>
      </c>
      <c r="D1387" s="78">
        <f>IF('8A'!B37&lt;&gt;"",'8A'!D37,"")</f>
        <v/>
      </c>
      <c r="E1387" s="78">
        <f>IF('8A'!B37&lt;&gt;"",'8A'!E37,"")</f>
        <v/>
      </c>
      <c r="F1387" s="78">
        <f>IF('8A'!B37&lt;&gt;"",'8A'!F37,"")</f>
        <v/>
      </c>
      <c r="G1387" s="78">
        <f>IF('8A'!B37&lt;&gt;"",'8A'!G37,"")</f>
        <v/>
      </c>
      <c r="H1387" s="97">
        <f>IF('8A'!B37&lt;&gt;"",'8A'!H37,"")</f>
        <v/>
      </c>
      <c r="I1387" s="97">
        <f>IF('8A'!B37&lt;&gt;"",'8A'!I37,"")</f>
        <v/>
      </c>
      <c r="J1387" s="78">
        <f>IF('8A'!B37&lt;&gt;"",'8A'!J37,"")</f>
        <v/>
      </c>
    </row>
    <row r="1388" ht="15.75" customHeight="1" s="52">
      <c r="A1388" s="92">
        <f>IF('8A'!B38&lt;&gt;"","8A","")</f>
        <v/>
      </c>
      <c r="B1388" s="82">
        <f>IF('8A'!B38&lt;&gt;"",'8A'!B38,"")</f>
        <v/>
      </c>
      <c r="C1388" s="82">
        <f>IF('8A'!B38&lt;&gt;"",'8A'!C38,"")</f>
        <v/>
      </c>
      <c r="D1388" s="82">
        <f>IF('8A'!B38&lt;&gt;"",'8A'!D38,"")</f>
        <v/>
      </c>
      <c r="E1388" s="82">
        <f>IF('8A'!B38&lt;&gt;"",'8A'!E38,"")</f>
        <v/>
      </c>
      <c r="F1388" s="82">
        <f>IF('8A'!B38&lt;&gt;"",'8A'!F38,"")</f>
        <v/>
      </c>
      <c r="G1388" s="82">
        <f>IF('8A'!B38&lt;&gt;"",'8A'!G38,"")</f>
        <v/>
      </c>
      <c r="H1388" s="92">
        <f>IF('8A'!B38&lt;&gt;"",'8A'!H38,"")</f>
        <v/>
      </c>
      <c r="I1388" s="92">
        <f>IF('8A'!B38&lt;&gt;"",'8A'!I38,"")</f>
        <v/>
      </c>
      <c r="J1388" s="82">
        <f>IF('8A'!B38&lt;&gt;"",'8A'!J38,"")</f>
        <v/>
      </c>
    </row>
    <row r="1389" ht="15.75" customHeight="1" s="52">
      <c r="A1389" s="97">
        <f>IF('8A'!B39&lt;&gt;"","8A","")</f>
        <v/>
      </c>
      <c r="B1389" s="78">
        <f>IF('8A'!B39&lt;&gt;"",'8A'!B39,"")</f>
        <v/>
      </c>
      <c r="C1389" s="78">
        <f>IF('8A'!B39&lt;&gt;"",'8A'!C39,"")</f>
        <v/>
      </c>
      <c r="D1389" s="78">
        <f>IF('8A'!B39&lt;&gt;"",'8A'!D39,"")</f>
        <v/>
      </c>
      <c r="E1389" s="78">
        <f>IF('8A'!B39&lt;&gt;"",'8A'!E39,"")</f>
        <v/>
      </c>
      <c r="F1389" s="78">
        <f>IF('8A'!B39&lt;&gt;"",'8A'!F39,"")</f>
        <v/>
      </c>
      <c r="G1389" s="78">
        <f>IF('8A'!B39&lt;&gt;"",'8A'!G39,"")</f>
        <v/>
      </c>
      <c r="H1389" s="97">
        <f>IF('8A'!B39&lt;&gt;"",'8A'!H39,"")</f>
        <v/>
      </c>
      <c r="I1389" s="97">
        <f>IF('8A'!B39&lt;&gt;"",'8A'!I39,"")</f>
        <v/>
      </c>
      <c r="J1389" s="78">
        <f>IF('8A'!B39&lt;&gt;"",'8A'!J39,"")</f>
        <v/>
      </c>
    </row>
    <row r="1390" ht="15.75" customHeight="1" s="52">
      <c r="A1390" s="92">
        <f>IF('8A'!B40&lt;&gt;"","8A","")</f>
        <v/>
      </c>
      <c r="B1390" s="82">
        <f>IF('8A'!B40&lt;&gt;"",'8A'!B40,"")</f>
        <v/>
      </c>
      <c r="C1390" s="82">
        <f>IF('8A'!B40&lt;&gt;"",'8A'!C40,"")</f>
        <v/>
      </c>
      <c r="D1390" s="82">
        <f>IF('8A'!B40&lt;&gt;"",'8A'!D40,"")</f>
        <v/>
      </c>
      <c r="E1390" s="82">
        <f>IF('8A'!B40&lt;&gt;"",'8A'!E40,"")</f>
        <v/>
      </c>
      <c r="F1390" s="82">
        <f>IF('8A'!B40&lt;&gt;"",'8A'!F40,"")</f>
        <v/>
      </c>
      <c r="G1390" s="82">
        <f>IF('8A'!B40&lt;&gt;"",'8A'!G40,"")</f>
        <v/>
      </c>
      <c r="H1390" s="92">
        <f>IF('8A'!B40&lt;&gt;"",'8A'!H40,"")</f>
        <v/>
      </c>
      <c r="I1390" s="92">
        <f>IF('8A'!B40&lt;&gt;"",'8A'!I40,"")</f>
        <v/>
      </c>
      <c r="J1390" s="82">
        <f>IF('8A'!B40&lt;&gt;"",'8A'!J40,"")</f>
        <v/>
      </c>
    </row>
    <row r="1391" ht="15.75" customHeight="1" s="52">
      <c r="A1391" s="97">
        <f>IF('8A'!B41&lt;&gt;"","8A","")</f>
        <v/>
      </c>
      <c r="B1391" s="78">
        <f>IF('8A'!B41&lt;&gt;"",'8A'!B41,"")</f>
        <v/>
      </c>
      <c r="C1391" s="78">
        <f>IF('8A'!B41&lt;&gt;"",'8A'!C41,"")</f>
        <v/>
      </c>
      <c r="D1391" s="78">
        <f>IF('8A'!B41&lt;&gt;"",'8A'!D41,"")</f>
        <v/>
      </c>
      <c r="E1391" s="78">
        <f>IF('8A'!B41&lt;&gt;"",'8A'!E41,"")</f>
        <v/>
      </c>
      <c r="F1391" s="78">
        <f>IF('8A'!B41&lt;&gt;"",'8A'!F41,"")</f>
        <v/>
      </c>
      <c r="G1391" s="78">
        <f>IF('8A'!B41&lt;&gt;"",'8A'!G41,"")</f>
        <v/>
      </c>
      <c r="H1391" s="97">
        <f>IF('8A'!B41&lt;&gt;"",'8A'!H41,"")</f>
        <v/>
      </c>
      <c r="I1391" s="97">
        <f>IF('8A'!B41&lt;&gt;"",'8A'!I41,"")</f>
        <v/>
      </c>
      <c r="J1391" s="78">
        <f>IF('8A'!B41&lt;&gt;"",'8A'!J41,"")</f>
        <v/>
      </c>
    </row>
    <row r="1392" ht="15.75" customHeight="1" s="52">
      <c r="A1392" s="92">
        <f>IF('8A'!B42&lt;&gt;"","8A","")</f>
        <v/>
      </c>
      <c r="B1392" s="82">
        <f>IF('8A'!B42&lt;&gt;"",'8A'!B42,"")</f>
        <v/>
      </c>
      <c r="C1392" s="82">
        <f>IF('8A'!B42&lt;&gt;"",'8A'!C42,"")</f>
        <v/>
      </c>
      <c r="D1392" s="82">
        <f>IF('8A'!B42&lt;&gt;"",'8A'!D42,"")</f>
        <v/>
      </c>
      <c r="E1392" s="82">
        <f>IF('8A'!B42&lt;&gt;"",'8A'!E42,"")</f>
        <v/>
      </c>
      <c r="F1392" s="82">
        <f>IF('8A'!B42&lt;&gt;"",'8A'!F42,"")</f>
        <v/>
      </c>
      <c r="G1392" s="82">
        <f>IF('8A'!B42&lt;&gt;"",'8A'!G42,"")</f>
        <v/>
      </c>
      <c r="H1392" s="92">
        <f>IF('8A'!B42&lt;&gt;"",'8A'!H42,"")</f>
        <v/>
      </c>
      <c r="I1392" s="92">
        <f>IF('8A'!B42&lt;&gt;"",'8A'!I42,"")</f>
        <v/>
      </c>
      <c r="J1392" s="82">
        <f>IF('8A'!B42&lt;&gt;"",'8A'!J42,"")</f>
        <v/>
      </c>
    </row>
    <row r="1393" ht="15.75" customHeight="1" s="52">
      <c r="A1393" s="97">
        <f>IF('8A'!B43&lt;&gt;"","8A","")</f>
        <v/>
      </c>
      <c r="B1393" s="78">
        <f>IF('8A'!B43&lt;&gt;"",'8A'!B43,"")</f>
        <v/>
      </c>
      <c r="C1393" s="78">
        <f>IF('8A'!B43&lt;&gt;"",'8A'!C43,"")</f>
        <v/>
      </c>
      <c r="D1393" s="78">
        <f>IF('8A'!B43&lt;&gt;"",'8A'!D43,"")</f>
        <v/>
      </c>
      <c r="E1393" s="78">
        <f>IF('8A'!B43&lt;&gt;"",'8A'!E43,"")</f>
        <v/>
      </c>
      <c r="F1393" s="78">
        <f>IF('8A'!B43&lt;&gt;"",'8A'!F43,"")</f>
        <v/>
      </c>
      <c r="G1393" s="78">
        <f>IF('8A'!B43&lt;&gt;"",'8A'!G43,"")</f>
        <v/>
      </c>
      <c r="H1393" s="97">
        <f>IF('8A'!B43&lt;&gt;"",'8A'!H43,"")</f>
        <v/>
      </c>
      <c r="I1393" s="97">
        <f>IF('8A'!B43&lt;&gt;"",'8A'!I43,"")</f>
        <v/>
      </c>
      <c r="J1393" s="78">
        <f>IF('8A'!B43&lt;&gt;"",'8A'!J43,"")</f>
        <v/>
      </c>
    </row>
    <row r="1394" ht="15.75" customHeight="1" s="52">
      <c r="A1394" s="92">
        <f>IF('8A'!B44&lt;&gt;"","8A","")</f>
        <v/>
      </c>
      <c r="B1394" s="82">
        <f>IF('8A'!B44&lt;&gt;"",'8A'!B44,"")</f>
        <v/>
      </c>
      <c r="C1394" s="82">
        <f>IF('8A'!B44&lt;&gt;"",'8A'!C44,"")</f>
        <v/>
      </c>
      <c r="D1394" s="82">
        <f>IF('8A'!B44&lt;&gt;"",'8A'!D44,"")</f>
        <v/>
      </c>
      <c r="E1394" s="82">
        <f>IF('8A'!B44&lt;&gt;"",'8A'!E44,"")</f>
        <v/>
      </c>
      <c r="F1394" s="82">
        <f>IF('8A'!B44&lt;&gt;"",'8A'!F44,"")</f>
        <v/>
      </c>
      <c r="G1394" s="82">
        <f>IF('8A'!B44&lt;&gt;"",'8A'!G44,"")</f>
        <v/>
      </c>
      <c r="H1394" s="92">
        <f>IF('8A'!B44&lt;&gt;"",'8A'!H44,"")</f>
        <v/>
      </c>
      <c r="I1394" s="92">
        <f>IF('8A'!B44&lt;&gt;"",'8A'!I44,"")</f>
        <v/>
      </c>
      <c r="J1394" s="82">
        <f>IF('8A'!B44&lt;&gt;"",'8A'!J44,"")</f>
        <v/>
      </c>
    </row>
    <row r="1395" ht="15.75" customHeight="1" s="52">
      <c r="A1395" s="97">
        <f>IF('8A'!B45&lt;&gt;"","8A","")</f>
        <v/>
      </c>
      <c r="B1395" s="78">
        <f>IF('8A'!B45&lt;&gt;"",'8A'!B45,"")</f>
        <v/>
      </c>
      <c r="C1395" s="78">
        <f>IF('8A'!B45&lt;&gt;"",'8A'!C45,"")</f>
        <v/>
      </c>
      <c r="D1395" s="78">
        <f>IF('8A'!B45&lt;&gt;"",'8A'!D45,"")</f>
        <v/>
      </c>
      <c r="E1395" s="78">
        <f>IF('8A'!B45&lt;&gt;"",'8A'!E45,"")</f>
        <v/>
      </c>
      <c r="F1395" s="78">
        <f>IF('8A'!B45&lt;&gt;"",'8A'!F45,"")</f>
        <v/>
      </c>
      <c r="G1395" s="78">
        <f>IF('8A'!B45&lt;&gt;"",'8A'!G45,"")</f>
        <v/>
      </c>
      <c r="H1395" s="97">
        <f>IF('8A'!B45&lt;&gt;"",'8A'!H45,"")</f>
        <v/>
      </c>
      <c r="I1395" s="97">
        <f>IF('8A'!B45&lt;&gt;"",'8A'!I45,"")</f>
        <v/>
      </c>
      <c r="J1395" s="78">
        <f>IF('8A'!B45&lt;&gt;"",'8A'!J45,"")</f>
        <v/>
      </c>
    </row>
    <row r="1396" ht="15.75" customHeight="1" s="52">
      <c r="A1396" s="92">
        <f>IF('8A'!B46&lt;&gt;"","8A","")</f>
        <v/>
      </c>
      <c r="B1396" s="82">
        <f>IF('8A'!B46&lt;&gt;"",'8A'!B46,"")</f>
        <v/>
      </c>
      <c r="C1396" s="82">
        <f>IF('8A'!B46&lt;&gt;"",'8A'!C46,"")</f>
        <v/>
      </c>
      <c r="D1396" s="82">
        <f>IF('8A'!B46&lt;&gt;"",'8A'!D46,"")</f>
        <v/>
      </c>
      <c r="E1396" s="82">
        <f>IF('8A'!B46&lt;&gt;"",'8A'!E46,"")</f>
        <v/>
      </c>
      <c r="F1396" s="82">
        <f>IF('8A'!B46&lt;&gt;"",'8A'!F46,"")</f>
        <v/>
      </c>
      <c r="G1396" s="82">
        <f>IF('8A'!B46&lt;&gt;"",'8A'!G46,"")</f>
        <v/>
      </c>
      <c r="H1396" s="92">
        <f>IF('8A'!B46&lt;&gt;"",'8A'!H46,"")</f>
        <v/>
      </c>
      <c r="I1396" s="92">
        <f>IF('8A'!B46&lt;&gt;"",'8A'!I46,"")</f>
        <v/>
      </c>
      <c r="J1396" s="82">
        <f>IF('8A'!B46&lt;&gt;"",'8A'!J46,"")</f>
        <v/>
      </c>
    </row>
    <row r="1397" ht="15.75" customHeight="1" s="52">
      <c r="A1397" s="97">
        <f>IF('8A'!B47&lt;&gt;"","8A","")</f>
        <v/>
      </c>
      <c r="B1397" s="78">
        <f>IF('8A'!B47&lt;&gt;"",'8A'!B47,"")</f>
        <v/>
      </c>
      <c r="C1397" s="78">
        <f>IF('8A'!B47&lt;&gt;"",'8A'!C47,"")</f>
        <v/>
      </c>
      <c r="D1397" s="78">
        <f>IF('8A'!B47&lt;&gt;"",'8A'!D47,"")</f>
        <v/>
      </c>
      <c r="E1397" s="78">
        <f>IF('8A'!B47&lt;&gt;"",'8A'!E47,"")</f>
        <v/>
      </c>
      <c r="F1397" s="78">
        <f>IF('8A'!B47&lt;&gt;"",'8A'!F47,"")</f>
        <v/>
      </c>
      <c r="G1397" s="78">
        <f>IF('8A'!B47&lt;&gt;"",'8A'!G47,"")</f>
        <v/>
      </c>
      <c r="H1397" s="97">
        <f>IF('8A'!B47&lt;&gt;"",'8A'!H47,"")</f>
        <v/>
      </c>
      <c r="I1397" s="97">
        <f>IF('8A'!B47&lt;&gt;"",'8A'!I47,"")</f>
        <v/>
      </c>
      <c r="J1397" s="78">
        <f>IF('8A'!B47&lt;&gt;"",'8A'!J47,"")</f>
        <v/>
      </c>
    </row>
    <row r="1398" ht="15.75" customHeight="1" s="52">
      <c r="A1398" s="92">
        <f>IF('8A'!B48&lt;&gt;"","8A","")</f>
        <v/>
      </c>
      <c r="B1398" s="82">
        <f>IF('8A'!B48&lt;&gt;"",'8A'!B48,"")</f>
        <v/>
      </c>
      <c r="C1398" s="82">
        <f>IF('8A'!B48&lt;&gt;"",'8A'!C48,"")</f>
        <v/>
      </c>
      <c r="D1398" s="82">
        <f>IF('8A'!B48&lt;&gt;"",'8A'!D48,"")</f>
        <v/>
      </c>
      <c r="E1398" s="82">
        <f>IF('8A'!B48&lt;&gt;"",'8A'!E48,"")</f>
        <v/>
      </c>
      <c r="F1398" s="82">
        <f>IF('8A'!B48&lt;&gt;"",'8A'!F48,"")</f>
        <v/>
      </c>
      <c r="G1398" s="82">
        <f>IF('8A'!B48&lt;&gt;"",'8A'!G48,"")</f>
        <v/>
      </c>
      <c r="H1398" s="92">
        <f>IF('8A'!B48&lt;&gt;"",'8A'!H48,"")</f>
        <v/>
      </c>
      <c r="I1398" s="92">
        <f>IF('8A'!B48&lt;&gt;"",'8A'!I48,"")</f>
        <v/>
      </c>
      <c r="J1398" s="82">
        <f>IF('8A'!B48&lt;&gt;"",'8A'!J48,"")</f>
        <v/>
      </c>
    </row>
    <row r="1399" ht="15.75" customHeight="1" s="52">
      <c r="A1399" s="97">
        <f>IF('8A'!B49&lt;&gt;"","8A","")</f>
        <v/>
      </c>
      <c r="B1399" s="78">
        <f>IF('8A'!B49&lt;&gt;"",'8A'!B49,"")</f>
        <v/>
      </c>
      <c r="C1399" s="78">
        <f>IF('8A'!B49&lt;&gt;"",'8A'!C49,"")</f>
        <v/>
      </c>
      <c r="D1399" s="78">
        <f>IF('8A'!B49&lt;&gt;"",'8A'!D49,"")</f>
        <v/>
      </c>
      <c r="E1399" s="78">
        <f>IF('8A'!B49&lt;&gt;"",'8A'!E49,"")</f>
        <v/>
      </c>
      <c r="F1399" s="78">
        <f>IF('8A'!B49&lt;&gt;"",'8A'!F49,"")</f>
        <v/>
      </c>
      <c r="G1399" s="78">
        <f>IF('8A'!B49&lt;&gt;"",'8A'!G49,"")</f>
        <v/>
      </c>
      <c r="H1399" s="97">
        <f>IF('8A'!B49&lt;&gt;"",'8A'!H49,"")</f>
        <v/>
      </c>
      <c r="I1399" s="97">
        <f>IF('8A'!B49&lt;&gt;"",'8A'!I49,"")</f>
        <v/>
      </c>
      <c r="J1399" s="78">
        <f>IF('8A'!B49&lt;&gt;"",'8A'!J49,"")</f>
        <v/>
      </c>
    </row>
    <row r="1400" ht="15.75" customHeight="1" s="52">
      <c r="A1400" s="92">
        <f>IF('8A'!B50&lt;&gt;"","8A","")</f>
        <v/>
      </c>
      <c r="B1400" s="82">
        <f>IF('8A'!B50&lt;&gt;"",'8A'!B50,"")</f>
        <v/>
      </c>
      <c r="C1400" s="82">
        <f>IF('8A'!B50&lt;&gt;"",'8A'!C50,"")</f>
        <v/>
      </c>
      <c r="D1400" s="82">
        <f>IF('8A'!B50&lt;&gt;"",'8A'!D50,"")</f>
        <v/>
      </c>
      <c r="E1400" s="82">
        <f>IF('8A'!B50&lt;&gt;"",'8A'!E50,"")</f>
        <v/>
      </c>
      <c r="F1400" s="82">
        <f>IF('8A'!B50&lt;&gt;"",'8A'!F50,"")</f>
        <v/>
      </c>
      <c r="G1400" s="82">
        <f>IF('8A'!B50&lt;&gt;"",'8A'!G50,"")</f>
        <v/>
      </c>
      <c r="H1400" s="92">
        <f>IF('8A'!B50&lt;&gt;"",'8A'!H50,"")</f>
        <v/>
      </c>
      <c r="I1400" s="92">
        <f>IF('8A'!B50&lt;&gt;"",'8A'!I50,"")</f>
        <v/>
      </c>
      <c r="J1400" s="82">
        <f>IF('8A'!B50&lt;&gt;"",'8A'!J50,"")</f>
        <v/>
      </c>
    </row>
    <row r="1401" ht="15.75" customHeight="1" s="52">
      <c r="A1401" s="97">
        <f>IF('8A'!B51&lt;&gt;"","8A","")</f>
        <v/>
      </c>
      <c r="B1401" s="78">
        <f>IF('8A'!B51&lt;&gt;"",'8A'!B51,"")</f>
        <v/>
      </c>
      <c r="C1401" s="78">
        <f>IF('8A'!B51&lt;&gt;"",'8A'!C51,"")</f>
        <v/>
      </c>
      <c r="D1401" s="78">
        <f>IF('8A'!B51&lt;&gt;"",'8A'!D51,"")</f>
        <v/>
      </c>
      <c r="E1401" s="78">
        <f>IF('8A'!B51&lt;&gt;"",'8A'!E51,"")</f>
        <v/>
      </c>
      <c r="F1401" s="78">
        <f>IF('8A'!B51&lt;&gt;"",'8A'!F51,"")</f>
        <v/>
      </c>
      <c r="G1401" s="78">
        <f>IF('8A'!B51&lt;&gt;"",'8A'!G51,"")</f>
        <v/>
      </c>
      <c r="H1401" s="97">
        <f>IF('8A'!B51&lt;&gt;"",'8A'!H51,"")</f>
        <v/>
      </c>
      <c r="I1401" s="97">
        <f>IF('8A'!B51&lt;&gt;"",'8A'!I51,"")</f>
        <v/>
      </c>
      <c r="J1401" s="78">
        <f>IF('8A'!B51&lt;&gt;"",'8A'!J51,"")</f>
        <v/>
      </c>
    </row>
    <row r="1402" ht="15.75" customHeight="1" s="52">
      <c r="A1402" s="92">
        <f>IF('8A'!B52&lt;&gt;"","8A","")</f>
        <v/>
      </c>
      <c r="B1402" s="82">
        <f>IF('8A'!B52&lt;&gt;"",'8A'!B52,"")</f>
        <v/>
      </c>
      <c r="C1402" s="82">
        <f>IF('8A'!B52&lt;&gt;"",'8A'!C52,"")</f>
        <v/>
      </c>
      <c r="D1402" s="82">
        <f>IF('8A'!B52&lt;&gt;"",'8A'!D52,"")</f>
        <v/>
      </c>
      <c r="E1402" s="82">
        <f>IF('8A'!B52&lt;&gt;"",'8A'!E52,"")</f>
        <v/>
      </c>
      <c r="F1402" s="82">
        <f>IF('8A'!B52&lt;&gt;"",'8A'!F52,"")</f>
        <v/>
      </c>
      <c r="G1402" s="82">
        <f>IF('8A'!B52&lt;&gt;"",'8A'!G52,"")</f>
        <v/>
      </c>
      <c r="H1402" s="92">
        <f>IF('8A'!B52&lt;&gt;"",'8A'!H52,"")</f>
        <v/>
      </c>
      <c r="I1402" s="92">
        <f>IF('8A'!B52&lt;&gt;"",'8A'!I52,"")</f>
        <v/>
      </c>
      <c r="J1402" s="82">
        <f>IF('8A'!B52&lt;&gt;"",'8A'!J52,"")</f>
        <v/>
      </c>
    </row>
    <row r="1403" ht="15.75" customHeight="1" s="52">
      <c r="A1403" s="97">
        <f>IF('8A'!B53&lt;&gt;"","8A","")</f>
        <v/>
      </c>
      <c r="B1403" s="78">
        <f>IF('8A'!B53&lt;&gt;"",'8A'!B53,"")</f>
        <v/>
      </c>
      <c r="C1403" s="78">
        <f>IF('8A'!B53&lt;&gt;"",'8A'!C53,"")</f>
        <v/>
      </c>
      <c r="D1403" s="78">
        <f>IF('8A'!B53&lt;&gt;"",'8A'!D53,"")</f>
        <v/>
      </c>
      <c r="E1403" s="78">
        <f>IF('8A'!B53&lt;&gt;"",'8A'!E53,"")</f>
        <v/>
      </c>
      <c r="F1403" s="78">
        <f>IF('8A'!B53&lt;&gt;"",'8A'!F53,"")</f>
        <v/>
      </c>
      <c r="G1403" s="78">
        <f>IF('8A'!B53&lt;&gt;"",'8A'!G53,"")</f>
        <v/>
      </c>
      <c r="H1403" s="97">
        <f>IF('8A'!B53&lt;&gt;"",'8A'!H53,"")</f>
        <v/>
      </c>
      <c r="I1403" s="97">
        <f>IF('8A'!B53&lt;&gt;"",'8A'!I53,"")</f>
        <v/>
      </c>
      <c r="J1403" s="78">
        <f>IF('8A'!B53&lt;&gt;"",'8A'!J53,"")</f>
        <v/>
      </c>
    </row>
    <row r="1404" ht="15.75" customHeight="1" s="52">
      <c r="A1404" s="92">
        <f>IF('8A'!B54&lt;&gt;"","8A","")</f>
        <v/>
      </c>
      <c r="B1404" s="82">
        <f>IF('8A'!B54&lt;&gt;"",'8A'!B54,"")</f>
        <v/>
      </c>
      <c r="C1404" s="82">
        <f>IF('8A'!B54&lt;&gt;"",'8A'!C54,"")</f>
        <v/>
      </c>
      <c r="D1404" s="82">
        <f>IF('8A'!B54&lt;&gt;"",'8A'!D54,"")</f>
        <v/>
      </c>
      <c r="E1404" s="82">
        <f>IF('8A'!B54&lt;&gt;"",'8A'!E54,"")</f>
        <v/>
      </c>
      <c r="F1404" s="82">
        <f>IF('8A'!B54&lt;&gt;"",'8A'!F54,"")</f>
        <v/>
      </c>
      <c r="G1404" s="82">
        <f>IF('8A'!B54&lt;&gt;"",'8A'!G54,"")</f>
        <v/>
      </c>
      <c r="H1404" s="92">
        <f>IF('8A'!B54&lt;&gt;"",'8A'!H54,"")</f>
        <v/>
      </c>
      <c r="I1404" s="92">
        <f>IF('8A'!B54&lt;&gt;"",'8A'!I54,"")</f>
        <v/>
      </c>
      <c r="J1404" s="82">
        <f>IF('8A'!B54&lt;&gt;"",'8A'!J54,"")</f>
        <v/>
      </c>
    </row>
    <row r="1405" ht="15.75" customHeight="1" s="52">
      <c r="A1405" s="97">
        <f>IF('8B'!B5&lt;&gt;"","8B","")</f>
        <v/>
      </c>
      <c r="B1405" s="78">
        <f>IF('8B'!B5&lt;&gt;"",'8B'!B5,"")</f>
        <v/>
      </c>
      <c r="C1405" s="78">
        <f>IF('8B'!B5&lt;&gt;"",'8B'!C5,"")</f>
        <v/>
      </c>
      <c r="D1405" s="78">
        <f>IF('8B'!B5&lt;&gt;"",'8B'!D5,"")</f>
        <v/>
      </c>
      <c r="E1405" s="78">
        <f>IF('8B'!B5&lt;&gt;"",'8B'!E5,"")</f>
        <v/>
      </c>
      <c r="F1405" s="78">
        <f>IF('8B'!B5&lt;&gt;"",'8B'!F5,"")</f>
        <v/>
      </c>
      <c r="G1405" s="78">
        <f>IF('8B'!B5&lt;&gt;"",'8B'!G5,"")</f>
        <v/>
      </c>
      <c r="H1405" s="97">
        <f>IF('8B'!B5&lt;&gt;"",'8B'!H5,"")</f>
        <v/>
      </c>
      <c r="I1405" s="97">
        <f>IF('8B'!B5&lt;&gt;"",'8B'!I5,"")</f>
        <v/>
      </c>
      <c r="J1405" s="78">
        <f>IF('8B'!B5&lt;&gt;"",'8B'!J5,"")</f>
        <v/>
      </c>
    </row>
    <row r="1406" ht="15.75" customHeight="1" s="52">
      <c r="A1406" s="92">
        <f>IF('8B'!B6&lt;&gt;"","8B","")</f>
        <v/>
      </c>
      <c r="B1406" s="82">
        <f>IF('8B'!B6&lt;&gt;"",'8B'!B6,"")</f>
        <v/>
      </c>
      <c r="C1406" s="82">
        <f>IF('8B'!B6&lt;&gt;"",'8B'!C6,"")</f>
        <v/>
      </c>
      <c r="D1406" s="82">
        <f>IF('8B'!B6&lt;&gt;"",'8B'!D6,"")</f>
        <v/>
      </c>
      <c r="E1406" s="82">
        <f>IF('8B'!B6&lt;&gt;"",'8B'!E6,"")</f>
        <v/>
      </c>
      <c r="F1406" s="82">
        <f>IF('8B'!B6&lt;&gt;"",'8B'!F6,"")</f>
        <v/>
      </c>
      <c r="G1406" s="82">
        <f>IF('8B'!B6&lt;&gt;"",'8B'!G6,"")</f>
        <v/>
      </c>
      <c r="H1406" s="92">
        <f>IF('8B'!B6&lt;&gt;"",'8B'!H6,"")</f>
        <v/>
      </c>
      <c r="I1406" s="92">
        <f>IF('8B'!B6&lt;&gt;"",'8B'!I6,"")</f>
        <v/>
      </c>
      <c r="J1406" s="82">
        <f>IF('8B'!B6&lt;&gt;"",'8B'!J6,"")</f>
        <v/>
      </c>
    </row>
    <row r="1407" ht="15.75" customHeight="1" s="52">
      <c r="A1407" s="97">
        <f>IF('8B'!B7&lt;&gt;"","8B","")</f>
        <v/>
      </c>
      <c r="B1407" s="78">
        <f>IF('8B'!B7&lt;&gt;"",'8B'!B7,"")</f>
        <v/>
      </c>
      <c r="C1407" s="78">
        <f>IF('8B'!B7&lt;&gt;"",'8B'!C7,"")</f>
        <v/>
      </c>
      <c r="D1407" s="78">
        <f>IF('8B'!B7&lt;&gt;"",'8B'!D7,"")</f>
        <v/>
      </c>
      <c r="E1407" s="78">
        <f>IF('8B'!B7&lt;&gt;"",'8B'!E7,"")</f>
        <v/>
      </c>
      <c r="F1407" s="78">
        <f>IF('8B'!B7&lt;&gt;"",'8B'!F7,"")</f>
        <v/>
      </c>
      <c r="G1407" s="78">
        <f>IF('8B'!B7&lt;&gt;"",'8B'!G7,"")</f>
        <v/>
      </c>
      <c r="H1407" s="97">
        <f>IF('8B'!B7&lt;&gt;"",'8B'!H7,"")</f>
        <v/>
      </c>
      <c r="I1407" s="97">
        <f>IF('8B'!B7&lt;&gt;"",'8B'!I7,"")</f>
        <v/>
      </c>
      <c r="J1407" s="78">
        <f>IF('8B'!B7&lt;&gt;"",'8B'!J7,"")</f>
        <v/>
      </c>
    </row>
    <row r="1408" ht="15.75" customHeight="1" s="52">
      <c r="A1408" s="92">
        <f>IF('8B'!B8&lt;&gt;"","8B","")</f>
        <v/>
      </c>
      <c r="B1408" s="82">
        <f>IF('8B'!B8&lt;&gt;"",'8B'!B8,"")</f>
        <v/>
      </c>
      <c r="C1408" s="82">
        <f>IF('8B'!B8&lt;&gt;"",'8B'!C8,"")</f>
        <v/>
      </c>
      <c r="D1408" s="82">
        <f>IF('8B'!B8&lt;&gt;"",'8B'!D8,"")</f>
        <v/>
      </c>
      <c r="E1408" s="82">
        <f>IF('8B'!B8&lt;&gt;"",'8B'!E8,"")</f>
        <v/>
      </c>
      <c r="F1408" s="82">
        <f>IF('8B'!B8&lt;&gt;"",'8B'!F8,"")</f>
        <v/>
      </c>
      <c r="G1408" s="82">
        <f>IF('8B'!B8&lt;&gt;"",'8B'!G8,"")</f>
        <v/>
      </c>
      <c r="H1408" s="92">
        <f>IF('8B'!B8&lt;&gt;"",'8B'!H8,"")</f>
        <v/>
      </c>
      <c r="I1408" s="92">
        <f>IF('8B'!B8&lt;&gt;"",'8B'!I8,"")</f>
        <v/>
      </c>
      <c r="J1408" s="82">
        <f>IF('8B'!B8&lt;&gt;"",'8B'!J8,"")</f>
        <v/>
      </c>
    </row>
    <row r="1409" ht="15.75" customHeight="1" s="52">
      <c r="A1409" s="97">
        <f>IF('8B'!B9&lt;&gt;"","8B","")</f>
        <v/>
      </c>
      <c r="B1409" s="78">
        <f>IF('8B'!B9&lt;&gt;"",'8B'!B9,"")</f>
        <v/>
      </c>
      <c r="C1409" s="78">
        <f>IF('8B'!B9&lt;&gt;"",'8B'!C9,"")</f>
        <v/>
      </c>
      <c r="D1409" s="78">
        <f>IF('8B'!B9&lt;&gt;"",'8B'!D9,"")</f>
        <v/>
      </c>
      <c r="E1409" s="78">
        <f>IF('8B'!B9&lt;&gt;"",'8B'!E9,"")</f>
        <v/>
      </c>
      <c r="F1409" s="78">
        <f>IF('8B'!B9&lt;&gt;"",'8B'!F9,"")</f>
        <v/>
      </c>
      <c r="G1409" s="78">
        <f>IF('8B'!B9&lt;&gt;"",'8B'!G9,"")</f>
        <v/>
      </c>
      <c r="H1409" s="97">
        <f>IF('8B'!B9&lt;&gt;"",'8B'!H9,"")</f>
        <v/>
      </c>
      <c r="I1409" s="97">
        <f>IF('8B'!B9&lt;&gt;"",'8B'!I9,"")</f>
        <v/>
      </c>
      <c r="J1409" s="78">
        <f>IF('8B'!B9&lt;&gt;"",'8B'!J9,"")</f>
        <v/>
      </c>
    </row>
    <row r="1410" ht="15.75" customHeight="1" s="52">
      <c r="A1410" s="92">
        <f>IF('8B'!B10&lt;&gt;"","8B","")</f>
        <v/>
      </c>
      <c r="B1410" s="82">
        <f>IF('8B'!B10&lt;&gt;"",'8B'!B10,"")</f>
        <v/>
      </c>
      <c r="C1410" s="82">
        <f>IF('8B'!B10&lt;&gt;"",'8B'!C10,"")</f>
        <v/>
      </c>
      <c r="D1410" s="82">
        <f>IF('8B'!B10&lt;&gt;"",'8B'!D10,"")</f>
        <v/>
      </c>
      <c r="E1410" s="82">
        <f>IF('8B'!B10&lt;&gt;"",'8B'!E10,"")</f>
        <v/>
      </c>
      <c r="F1410" s="82">
        <f>IF('8B'!B10&lt;&gt;"",'8B'!F10,"")</f>
        <v/>
      </c>
      <c r="G1410" s="82">
        <f>IF('8B'!B10&lt;&gt;"",'8B'!G10,"")</f>
        <v/>
      </c>
      <c r="H1410" s="92">
        <f>IF('8B'!B10&lt;&gt;"",'8B'!H10,"")</f>
        <v/>
      </c>
      <c r="I1410" s="92">
        <f>IF('8B'!B10&lt;&gt;"",'8B'!I10,"")</f>
        <v/>
      </c>
      <c r="J1410" s="82">
        <f>IF('8B'!B10&lt;&gt;"",'8B'!J10,"")</f>
        <v/>
      </c>
    </row>
    <row r="1411" ht="15.75" customHeight="1" s="52">
      <c r="A1411" s="97">
        <f>IF('8B'!B11&lt;&gt;"","8B","")</f>
        <v/>
      </c>
      <c r="B1411" s="78">
        <f>IF('8B'!B11&lt;&gt;"",'8B'!B11,"")</f>
        <v/>
      </c>
      <c r="C1411" s="78">
        <f>IF('8B'!B11&lt;&gt;"",'8B'!C11,"")</f>
        <v/>
      </c>
      <c r="D1411" s="78">
        <f>IF('8B'!B11&lt;&gt;"",'8B'!D11,"")</f>
        <v/>
      </c>
      <c r="E1411" s="78">
        <f>IF('8B'!B11&lt;&gt;"",'8B'!E11,"")</f>
        <v/>
      </c>
      <c r="F1411" s="78">
        <f>IF('8B'!B11&lt;&gt;"",'8B'!F11,"")</f>
        <v/>
      </c>
      <c r="G1411" s="78">
        <f>IF('8B'!B11&lt;&gt;"",'8B'!G11,"")</f>
        <v/>
      </c>
      <c r="H1411" s="97">
        <f>IF('8B'!B11&lt;&gt;"",'8B'!H11,"")</f>
        <v/>
      </c>
      <c r="I1411" s="97">
        <f>IF('8B'!B11&lt;&gt;"",'8B'!I11,"")</f>
        <v/>
      </c>
      <c r="J1411" s="78">
        <f>IF('8B'!B11&lt;&gt;"",'8B'!J11,"")</f>
        <v/>
      </c>
    </row>
    <row r="1412" ht="15.75" customHeight="1" s="52">
      <c r="A1412" s="92">
        <f>IF('8B'!B12&lt;&gt;"","8B","")</f>
        <v/>
      </c>
      <c r="B1412" s="82">
        <f>IF('8B'!B12&lt;&gt;"",'8B'!B12,"")</f>
        <v/>
      </c>
      <c r="C1412" s="82">
        <f>IF('8B'!B12&lt;&gt;"",'8B'!C12,"")</f>
        <v/>
      </c>
      <c r="D1412" s="82">
        <f>IF('8B'!B12&lt;&gt;"",'8B'!D12,"")</f>
        <v/>
      </c>
      <c r="E1412" s="82">
        <f>IF('8B'!B12&lt;&gt;"",'8B'!E12,"")</f>
        <v/>
      </c>
      <c r="F1412" s="82">
        <f>IF('8B'!B12&lt;&gt;"",'8B'!F12,"")</f>
        <v/>
      </c>
      <c r="G1412" s="82">
        <f>IF('8B'!B12&lt;&gt;"",'8B'!G12,"")</f>
        <v/>
      </c>
      <c r="H1412" s="92">
        <f>IF('8B'!B12&lt;&gt;"",'8B'!H12,"")</f>
        <v/>
      </c>
      <c r="I1412" s="92">
        <f>IF('8B'!B12&lt;&gt;"",'8B'!I12,"")</f>
        <v/>
      </c>
      <c r="J1412" s="82">
        <f>IF('8B'!B12&lt;&gt;"",'8B'!J12,"")</f>
        <v/>
      </c>
    </row>
    <row r="1413" ht="15.75" customHeight="1" s="52">
      <c r="A1413" s="97">
        <f>IF('8B'!B13&lt;&gt;"","8B","")</f>
        <v/>
      </c>
      <c r="B1413" s="78">
        <f>IF('8B'!B13&lt;&gt;"",'8B'!B13,"")</f>
        <v/>
      </c>
      <c r="C1413" s="78">
        <f>IF('8B'!B13&lt;&gt;"",'8B'!C13,"")</f>
        <v/>
      </c>
      <c r="D1413" s="78">
        <f>IF('8B'!B13&lt;&gt;"",'8B'!D13,"")</f>
        <v/>
      </c>
      <c r="E1413" s="78">
        <f>IF('8B'!B13&lt;&gt;"",'8B'!E13,"")</f>
        <v/>
      </c>
      <c r="F1413" s="78">
        <f>IF('8B'!B13&lt;&gt;"",'8B'!F13,"")</f>
        <v/>
      </c>
      <c r="G1413" s="78">
        <f>IF('8B'!B13&lt;&gt;"",'8B'!G13,"")</f>
        <v/>
      </c>
      <c r="H1413" s="97">
        <f>IF('8B'!B13&lt;&gt;"",'8B'!H13,"")</f>
        <v/>
      </c>
      <c r="I1413" s="97">
        <f>IF('8B'!B13&lt;&gt;"",'8B'!I13,"")</f>
        <v/>
      </c>
      <c r="J1413" s="78">
        <f>IF('8B'!B13&lt;&gt;"",'8B'!J13,"")</f>
        <v/>
      </c>
    </row>
    <row r="1414" ht="15.75" customHeight="1" s="52">
      <c r="A1414" s="92">
        <f>IF('8B'!B14&lt;&gt;"","8B","")</f>
        <v/>
      </c>
      <c r="B1414" s="82">
        <f>IF('8B'!B14&lt;&gt;"",'8B'!B14,"")</f>
        <v/>
      </c>
      <c r="C1414" s="82">
        <f>IF('8B'!B14&lt;&gt;"",'8B'!C14,"")</f>
        <v/>
      </c>
      <c r="D1414" s="82">
        <f>IF('8B'!B14&lt;&gt;"",'8B'!D14,"")</f>
        <v/>
      </c>
      <c r="E1414" s="82">
        <f>IF('8B'!B14&lt;&gt;"",'8B'!E14,"")</f>
        <v/>
      </c>
      <c r="F1414" s="82">
        <f>IF('8B'!B14&lt;&gt;"",'8B'!F14,"")</f>
        <v/>
      </c>
      <c r="G1414" s="82">
        <f>IF('8B'!B14&lt;&gt;"",'8B'!G14,"")</f>
        <v/>
      </c>
      <c r="H1414" s="92">
        <f>IF('8B'!B14&lt;&gt;"",'8B'!H14,"")</f>
        <v/>
      </c>
      <c r="I1414" s="92">
        <f>IF('8B'!B14&lt;&gt;"",'8B'!I14,"")</f>
        <v/>
      </c>
      <c r="J1414" s="82">
        <f>IF('8B'!B14&lt;&gt;"",'8B'!J14,"")</f>
        <v/>
      </c>
    </row>
    <row r="1415" ht="15.75" customHeight="1" s="52">
      <c r="A1415" s="97">
        <f>IF('8B'!B15&lt;&gt;"","8B","")</f>
        <v/>
      </c>
      <c r="B1415" s="78">
        <f>IF('8B'!B15&lt;&gt;"",'8B'!B15,"")</f>
        <v/>
      </c>
      <c r="C1415" s="78">
        <f>IF('8B'!B15&lt;&gt;"",'8B'!C15,"")</f>
        <v/>
      </c>
      <c r="D1415" s="78">
        <f>IF('8B'!B15&lt;&gt;"",'8B'!D15,"")</f>
        <v/>
      </c>
      <c r="E1415" s="78">
        <f>IF('8B'!B15&lt;&gt;"",'8B'!E15,"")</f>
        <v/>
      </c>
      <c r="F1415" s="78">
        <f>IF('8B'!B15&lt;&gt;"",'8B'!F15,"")</f>
        <v/>
      </c>
      <c r="G1415" s="78">
        <f>IF('8B'!B15&lt;&gt;"",'8B'!G15,"")</f>
        <v/>
      </c>
      <c r="H1415" s="97">
        <f>IF('8B'!B15&lt;&gt;"",'8B'!H15,"")</f>
        <v/>
      </c>
      <c r="I1415" s="97">
        <f>IF('8B'!B15&lt;&gt;"",'8B'!I15,"")</f>
        <v/>
      </c>
      <c r="J1415" s="78">
        <f>IF('8B'!B15&lt;&gt;"",'8B'!J15,"")</f>
        <v/>
      </c>
    </row>
    <row r="1416" ht="15.75" customHeight="1" s="52">
      <c r="A1416" s="92">
        <f>IF('8B'!B16&lt;&gt;"","8B","")</f>
        <v/>
      </c>
      <c r="B1416" s="82">
        <f>IF('8B'!B16&lt;&gt;"",'8B'!B16,"")</f>
        <v/>
      </c>
      <c r="C1416" s="82">
        <f>IF('8B'!B16&lt;&gt;"",'8B'!C16,"")</f>
        <v/>
      </c>
      <c r="D1416" s="82">
        <f>IF('8B'!B16&lt;&gt;"",'8B'!D16,"")</f>
        <v/>
      </c>
      <c r="E1416" s="82">
        <f>IF('8B'!B16&lt;&gt;"",'8B'!E16,"")</f>
        <v/>
      </c>
      <c r="F1416" s="82">
        <f>IF('8B'!B16&lt;&gt;"",'8B'!F16,"")</f>
        <v/>
      </c>
      <c r="G1416" s="82">
        <f>IF('8B'!B16&lt;&gt;"",'8B'!G16,"")</f>
        <v/>
      </c>
      <c r="H1416" s="92">
        <f>IF('8B'!B16&lt;&gt;"",'8B'!H16,"")</f>
        <v/>
      </c>
      <c r="I1416" s="92">
        <f>IF('8B'!B16&lt;&gt;"",'8B'!I16,"")</f>
        <v/>
      </c>
      <c r="J1416" s="82">
        <f>IF('8B'!B16&lt;&gt;"",'8B'!J16,"")</f>
        <v/>
      </c>
    </row>
    <row r="1417" ht="15.75" customHeight="1" s="52">
      <c r="A1417" s="97">
        <f>IF('8B'!B17&lt;&gt;"","8B","")</f>
        <v/>
      </c>
      <c r="B1417" s="78">
        <f>IF('8B'!B17&lt;&gt;"",'8B'!B17,"")</f>
        <v/>
      </c>
      <c r="C1417" s="78">
        <f>IF('8B'!B17&lt;&gt;"",'8B'!C17,"")</f>
        <v/>
      </c>
      <c r="D1417" s="78">
        <f>IF('8B'!B17&lt;&gt;"",'8B'!D17,"")</f>
        <v/>
      </c>
      <c r="E1417" s="78">
        <f>IF('8B'!B17&lt;&gt;"",'8B'!E17,"")</f>
        <v/>
      </c>
      <c r="F1417" s="78">
        <f>IF('8B'!B17&lt;&gt;"",'8B'!F17,"")</f>
        <v/>
      </c>
      <c r="G1417" s="78">
        <f>IF('8B'!B17&lt;&gt;"",'8B'!G17,"")</f>
        <v/>
      </c>
      <c r="H1417" s="97">
        <f>IF('8B'!B17&lt;&gt;"",'8B'!H17,"")</f>
        <v/>
      </c>
      <c r="I1417" s="97">
        <f>IF('8B'!B17&lt;&gt;"",'8B'!I17,"")</f>
        <v/>
      </c>
      <c r="J1417" s="78">
        <f>IF('8B'!B17&lt;&gt;"",'8B'!J17,"")</f>
        <v/>
      </c>
    </row>
    <row r="1418" ht="15.75" customHeight="1" s="52">
      <c r="A1418" s="92">
        <f>IF('8B'!B18&lt;&gt;"","8B","")</f>
        <v/>
      </c>
      <c r="B1418" s="82">
        <f>IF('8B'!B18&lt;&gt;"",'8B'!B18,"")</f>
        <v/>
      </c>
      <c r="C1418" s="82">
        <f>IF('8B'!B18&lt;&gt;"",'8B'!C18,"")</f>
        <v/>
      </c>
      <c r="D1418" s="82">
        <f>IF('8B'!B18&lt;&gt;"",'8B'!D18,"")</f>
        <v/>
      </c>
      <c r="E1418" s="82">
        <f>IF('8B'!B18&lt;&gt;"",'8B'!E18,"")</f>
        <v/>
      </c>
      <c r="F1418" s="82">
        <f>IF('8B'!B18&lt;&gt;"",'8B'!F18,"")</f>
        <v/>
      </c>
      <c r="G1418" s="82">
        <f>IF('8B'!B18&lt;&gt;"",'8B'!G18,"")</f>
        <v/>
      </c>
      <c r="H1418" s="92">
        <f>IF('8B'!B18&lt;&gt;"",'8B'!H18,"")</f>
        <v/>
      </c>
      <c r="I1418" s="92">
        <f>IF('8B'!B18&lt;&gt;"",'8B'!I18,"")</f>
        <v/>
      </c>
      <c r="J1418" s="82">
        <f>IF('8B'!B18&lt;&gt;"",'8B'!J18,"")</f>
        <v/>
      </c>
    </row>
    <row r="1419" ht="15.75" customHeight="1" s="52">
      <c r="A1419" s="97">
        <f>IF('8B'!B19&lt;&gt;"","8B","")</f>
        <v/>
      </c>
      <c r="B1419" s="78">
        <f>IF('8B'!B19&lt;&gt;"",'8B'!B19,"")</f>
        <v/>
      </c>
      <c r="C1419" s="78">
        <f>IF('8B'!B19&lt;&gt;"",'8B'!C19,"")</f>
        <v/>
      </c>
      <c r="D1419" s="78">
        <f>IF('8B'!B19&lt;&gt;"",'8B'!D19,"")</f>
        <v/>
      </c>
      <c r="E1419" s="78">
        <f>IF('8B'!B19&lt;&gt;"",'8B'!E19,"")</f>
        <v/>
      </c>
      <c r="F1419" s="78">
        <f>IF('8B'!B19&lt;&gt;"",'8B'!F19,"")</f>
        <v/>
      </c>
      <c r="G1419" s="78">
        <f>IF('8B'!B19&lt;&gt;"",'8B'!G19,"")</f>
        <v/>
      </c>
      <c r="H1419" s="97">
        <f>IF('8B'!B19&lt;&gt;"",'8B'!H19,"")</f>
        <v/>
      </c>
      <c r="I1419" s="97">
        <f>IF('8B'!B19&lt;&gt;"",'8B'!I19,"")</f>
        <v/>
      </c>
      <c r="J1419" s="78">
        <f>IF('8B'!B19&lt;&gt;"",'8B'!J19,"")</f>
        <v/>
      </c>
    </row>
    <row r="1420" ht="15.75" customHeight="1" s="52">
      <c r="A1420" s="92">
        <f>IF('8B'!B20&lt;&gt;"","8B","")</f>
        <v/>
      </c>
      <c r="B1420" s="82">
        <f>IF('8B'!B20&lt;&gt;"",'8B'!B20,"")</f>
        <v/>
      </c>
      <c r="C1420" s="82">
        <f>IF('8B'!B20&lt;&gt;"",'8B'!C20,"")</f>
        <v/>
      </c>
      <c r="D1420" s="82">
        <f>IF('8B'!B20&lt;&gt;"",'8B'!D20,"")</f>
        <v/>
      </c>
      <c r="E1420" s="82">
        <f>IF('8B'!B20&lt;&gt;"",'8B'!E20,"")</f>
        <v/>
      </c>
      <c r="F1420" s="82">
        <f>IF('8B'!B20&lt;&gt;"",'8B'!F20,"")</f>
        <v/>
      </c>
      <c r="G1420" s="82">
        <f>IF('8B'!B20&lt;&gt;"",'8B'!G20,"")</f>
        <v/>
      </c>
      <c r="H1420" s="92">
        <f>IF('8B'!B20&lt;&gt;"",'8B'!H20,"")</f>
        <v/>
      </c>
      <c r="I1420" s="92">
        <f>IF('8B'!B20&lt;&gt;"",'8B'!I20,"")</f>
        <v/>
      </c>
      <c r="J1420" s="82">
        <f>IF('8B'!B20&lt;&gt;"",'8B'!J20,"")</f>
        <v/>
      </c>
    </row>
    <row r="1421" ht="15.75" customHeight="1" s="52">
      <c r="A1421" s="97">
        <f>IF('8B'!B21&lt;&gt;"","8B","")</f>
        <v/>
      </c>
      <c r="B1421" s="78">
        <f>IF('8B'!B21&lt;&gt;"",'8B'!B21,"")</f>
        <v/>
      </c>
      <c r="C1421" s="78">
        <f>IF('8B'!B21&lt;&gt;"",'8B'!C21,"")</f>
        <v/>
      </c>
      <c r="D1421" s="78">
        <f>IF('8B'!B21&lt;&gt;"",'8B'!D21,"")</f>
        <v/>
      </c>
      <c r="E1421" s="78">
        <f>IF('8B'!B21&lt;&gt;"",'8B'!E21,"")</f>
        <v/>
      </c>
      <c r="F1421" s="78">
        <f>IF('8B'!B21&lt;&gt;"",'8B'!F21,"")</f>
        <v/>
      </c>
      <c r="G1421" s="78">
        <f>IF('8B'!B21&lt;&gt;"",'8B'!G21,"")</f>
        <v/>
      </c>
      <c r="H1421" s="97">
        <f>IF('8B'!B21&lt;&gt;"",'8B'!H21,"")</f>
        <v/>
      </c>
      <c r="I1421" s="97">
        <f>IF('8B'!B21&lt;&gt;"",'8B'!I21,"")</f>
        <v/>
      </c>
      <c r="J1421" s="78">
        <f>IF('8B'!B21&lt;&gt;"",'8B'!J21,"")</f>
        <v/>
      </c>
    </row>
    <row r="1422" ht="15.75" customHeight="1" s="52">
      <c r="A1422" s="92">
        <f>IF('8B'!B22&lt;&gt;"","8B","")</f>
        <v/>
      </c>
      <c r="B1422" s="82">
        <f>IF('8B'!B22&lt;&gt;"",'8B'!B22,"")</f>
        <v/>
      </c>
      <c r="C1422" s="82">
        <f>IF('8B'!B22&lt;&gt;"",'8B'!C22,"")</f>
        <v/>
      </c>
      <c r="D1422" s="82">
        <f>IF('8B'!B22&lt;&gt;"",'8B'!D22,"")</f>
        <v/>
      </c>
      <c r="E1422" s="82">
        <f>IF('8B'!B22&lt;&gt;"",'8B'!E22,"")</f>
        <v/>
      </c>
      <c r="F1422" s="82">
        <f>IF('8B'!B22&lt;&gt;"",'8B'!F22,"")</f>
        <v/>
      </c>
      <c r="G1422" s="82">
        <f>IF('8B'!B22&lt;&gt;"",'8B'!G22,"")</f>
        <v/>
      </c>
      <c r="H1422" s="92">
        <f>IF('8B'!B22&lt;&gt;"",'8B'!H22,"")</f>
        <v/>
      </c>
      <c r="I1422" s="92">
        <f>IF('8B'!B22&lt;&gt;"",'8B'!I22,"")</f>
        <v/>
      </c>
      <c r="J1422" s="82">
        <f>IF('8B'!B22&lt;&gt;"",'8B'!J22,"")</f>
        <v/>
      </c>
    </row>
    <row r="1423" ht="15.75" customHeight="1" s="52">
      <c r="A1423" s="97">
        <f>IF('8B'!B23&lt;&gt;"","8B","")</f>
        <v/>
      </c>
      <c r="B1423" s="78">
        <f>IF('8B'!B23&lt;&gt;"",'8B'!B23,"")</f>
        <v/>
      </c>
      <c r="C1423" s="78">
        <f>IF('8B'!B23&lt;&gt;"",'8B'!C23,"")</f>
        <v/>
      </c>
      <c r="D1423" s="78">
        <f>IF('8B'!B23&lt;&gt;"",'8B'!D23,"")</f>
        <v/>
      </c>
      <c r="E1423" s="78">
        <f>IF('8B'!B23&lt;&gt;"",'8B'!E23,"")</f>
        <v/>
      </c>
      <c r="F1423" s="78">
        <f>IF('8B'!B23&lt;&gt;"",'8B'!F23,"")</f>
        <v/>
      </c>
      <c r="G1423" s="78">
        <f>IF('8B'!B23&lt;&gt;"",'8B'!G23,"")</f>
        <v/>
      </c>
      <c r="H1423" s="97">
        <f>IF('8B'!B23&lt;&gt;"",'8B'!H23,"")</f>
        <v/>
      </c>
      <c r="I1423" s="97">
        <f>IF('8B'!B23&lt;&gt;"",'8B'!I23,"")</f>
        <v/>
      </c>
      <c r="J1423" s="78">
        <f>IF('8B'!B23&lt;&gt;"",'8B'!J23,"")</f>
        <v/>
      </c>
    </row>
    <row r="1424" ht="15.75" customHeight="1" s="52">
      <c r="A1424" s="92">
        <f>IF('8B'!B24&lt;&gt;"","8B","")</f>
        <v/>
      </c>
      <c r="B1424" s="82">
        <f>IF('8B'!B24&lt;&gt;"",'8B'!B24,"")</f>
        <v/>
      </c>
      <c r="C1424" s="82">
        <f>IF('8B'!B24&lt;&gt;"",'8B'!C24,"")</f>
        <v/>
      </c>
      <c r="D1424" s="82">
        <f>IF('8B'!B24&lt;&gt;"",'8B'!D24,"")</f>
        <v/>
      </c>
      <c r="E1424" s="82">
        <f>IF('8B'!B24&lt;&gt;"",'8B'!E24,"")</f>
        <v/>
      </c>
      <c r="F1424" s="82">
        <f>IF('8B'!B24&lt;&gt;"",'8B'!F24,"")</f>
        <v/>
      </c>
      <c r="G1424" s="82">
        <f>IF('8B'!B24&lt;&gt;"",'8B'!G24,"")</f>
        <v/>
      </c>
      <c r="H1424" s="92">
        <f>IF('8B'!B24&lt;&gt;"",'8B'!H24,"")</f>
        <v/>
      </c>
      <c r="I1424" s="92">
        <f>IF('8B'!B24&lt;&gt;"",'8B'!I24,"")</f>
        <v/>
      </c>
      <c r="J1424" s="82">
        <f>IF('8B'!B24&lt;&gt;"",'8B'!J24,"")</f>
        <v/>
      </c>
    </row>
    <row r="1425" ht="15.75" customHeight="1" s="52">
      <c r="A1425" s="97">
        <f>IF('8B'!B25&lt;&gt;"","8B","")</f>
        <v/>
      </c>
      <c r="B1425" s="78">
        <f>IF('8B'!B25&lt;&gt;"",'8B'!B25,"")</f>
        <v/>
      </c>
      <c r="C1425" s="78">
        <f>IF('8B'!B25&lt;&gt;"",'8B'!C25,"")</f>
        <v/>
      </c>
      <c r="D1425" s="78">
        <f>IF('8B'!B25&lt;&gt;"",'8B'!D25,"")</f>
        <v/>
      </c>
      <c r="E1425" s="78">
        <f>IF('8B'!B25&lt;&gt;"",'8B'!E25,"")</f>
        <v/>
      </c>
      <c r="F1425" s="78">
        <f>IF('8B'!B25&lt;&gt;"",'8B'!F25,"")</f>
        <v/>
      </c>
      <c r="G1425" s="78">
        <f>IF('8B'!B25&lt;&gt;"",'8B'!G25,"")</f>
        <v/>
      </c>
      <c r="H1425" s="97">
        <f>IF('8B'!B25&lt;&gt;"",'8B'!H25,"")</f>
        <v/>
      </c>
      <c r="I1425" s="97">
        <f>IF('8B'!B25&lt;&gt;"",'8B'!I25,"")</f>
        <v/>
      </c>
      <c r="J1425" s="78">
        <f>IF('8B'!B25&lt;&gt;"",'8B'!J25,"")</f>
        <v/>
      </c>
    </row>
    <row r="1426" ht="15.75" customHeight="1" s="52">
      <c r="A1426" s="92">
        <f>IF('8B'!B26&lt;&gt;"","8B","")</f>
        <v/>
      </c>
      <c r="B1426" s="82">
        <f>IF('8B'!B26&lt;&gt;"",'8B'!B26,"")</f>
        <v/>
      </c>
      <c r="C1426" s="82">
        <f>IF('8B'!B26&lt;&gt;"",'8B'!C26,"")</f>
        <v/>
      </c>
      <c r="D1426" s="82">
        <f>IF('8B'!B26&lt;&gt;"",'8B'!D26,"")</f>
        <v/>
      </c>
      <c r="E1426" s="82">
        <f>IF('8B'!B26&lt;&gt;"",'8B'!E26,"")</f>
        <v/>
      </c>
      <c r="F1426" s="82">
        <f>IF('8B'!B26&lt;&gt;"",'8B'!F26,"")</f>
        <v/>
      </c>
      <c r="G1426" s="82">
        <f>IF('8B'!B26&lt;&gt;"",'8B'!G26,"")</f>
        <v/>
      </c>
      <c r="H1426" s="92">
        <f>IF('8B'!B26&lt;&gt;"",'8B'!H26,"")</f>
        <v/>
      </c>
      <c r="I1426" s="92">
        <f>IF('8B'!B26&lt;&gt;"",'8B'!I26,"")</f>
        <v/>
      </c>
      <c r="J1426" s="82">
        <f>IF('8B'!B26&lt;&gt;"",'8B'!J26,"")</f>
        <v/>
      </c>
    </row>
    <row r="1427" ht="15.75" customHeight="1" s="52">
      <c r="A1427" s="97">
        <f>IF('8B'!B27&lt;&gt;"","8B","")</f>
        <v/>
      </c>
      <c r="B1427" s="78">
        <f>IF('8B'!B27&lt;&gt;"",'8B'!B27,"")</f>
        <v/>
      </c>
      <c r="C1427" s="78">
        <f>IF('8B'!B27&lt;&gt;"",'8B'!C27,"")</f>
        <v/>
      </c>
      <c r="D1427" s="78">
        <f>IF('8B'!B27&lt;&gt;"",'8B'!D27,"")</f>
        <v/>
      </c>
      <c r="E1427" s="78">
        <f>IF('8B'!B27&lt;&gt;"",'8B'!E27,"")</f>
        <v/>
      </c>
      <c r="F1427" s="78">
        <f>IF('8B'!B27&lt;&gt;"",'8B'!F27,"")</f>
        <v/>
      </c>
      <c r="G1427" s="78">
        <f>IF('8B'!B27&lt;&gt;"",'8B'!G27,"")</f>
        <v/>
      </c>
      <c r="H1427" s="97">
        <f>IF('8B'!B27&lt;&gt;"",'8B'!H27,"")</f>
        <v/>
      </c>
      <c r="I1427" s="97">
        <f>IF('8B'!B27&lt;&gt;"",'8B'!I27,"")</f>
        <v/>
      </c>
      <c r="J1427" s="78">
        <f>IF('8B'!B27&lt;&gt;"",'8B'!J27,"")</f>
        <v/>
      </c>
    </row>
    <row r="1428" ht="15.75" customHeight="1" s="52">
      <c r="A1428" s="92">
        <f>IF('8B'!B28&lt;&gt;"","8B","")</f>
        <v/>
      </c>
      <c r="B1428" s="82">
        <f>IF('8B'!B28&lt;&gt;"",'8B'!B28,"")</f>
        <v/>
      </c>
      <c r="C1428" s="82">
        <f>IF('8B'!B28&lt;&gt;"",'8B'!C28,"")</f>
        <v/>
      </c>
      <c r="D1428" s="82">
        <f>IF('8B'!B28&lt;&gt;"",'8B'!D28,"")</f>
        <v/>
      </c>
      <c r="E1428" s="82">
        <f>IF('8B'!B28&lt;&gt;"",'8B'!E28,"")</f>
        <v/>
      </c>
      <c r="F1428" s="82">
        <f>IF('8B'!B28&lt;&gt;"",'8B'!F28,"")</f>
        <v/>
      </c>
      <c r="G1428" s="82">
        <f>IF('8B'!B28&lt;&gt;"",'8B'!G28,"")</f>
        <v/>
      </c>
      <c r="H1428" s="92">
        <f>IF('8B'!B28&lt;&gt;"",'8B'!H28,"")</f>
        <v/>
      </c>
      <c r="I1428" s="92">
        <f>IF('8B'!B28&lt;&gt;"",'8B'!I28,"")</f>
        <v/>
      </c>
      <c r="J1428" s="82">
        <f>IF('8B'!B28&lt;&gt;"",'8B'!J28,"")</f>
        <v/>
      </c>
    </row>
    <row r="1429" ht="15.75" customHeight="1" s="52">
      <c r="A1429" s="97">
        <f>IF('8B'!B29&lt;&gt;"","8B","")</f>
        <v/>
      </c>
      <c r="B1429" s="78">
        <f>IF('8B'!B29&lt;&gt;"",'8B'!B29,"")</f>
        <v/>
      </c>
      <c r="C1429" s="78">
        <f>IF('8B'!B29&lt;&gt;"",'8B'!C29,"")</f>
        <v/>
      </c>
      <c r="D1429" s="78">
        <f>IF('8B'!B29&lt;&gt;"",'8B'!D29,"")</f>
        <v/>
      </c>
      <c r="E1429" s="78">
        <f>IF('8B'!B29&lt;&gt;"",'8B'!E29,"")</f>
        <v/>
      </c>
      <c r="F1429" s="78">
        <f>IF('8B'!B29&lt;&gt;"",'8B'!F29,"")</f>
        <v/>
      </c>
      <c r="G1429" s="78">
        <f>IF('8B'!B29&lt;&gt;"",'8B'!G29,"")</f>
        <v/>
      </c>
      <c r="H1429" s="97">
        <f>IF('8B'!B29&lt;&gt;"",'8B'!H29,"")</f>
        <v/>
      </c>
      <c r="I1429" s="97">
        <f>IF('8B'!B29&lt;&gt;"",'8B'!I29,"")</f>
        <v/>
      </c>
      <c r="J1429" s="78">
        <f>IF('8B'!B29&lt;&gt;"",'8B'!J29,"")</f>
        <v/>
      </c>
    </row>
    <row r="1430" ht="15.75" customHeight="1" s="52">
      <c r="A1430" s="92">
        <f>IF('8B'!B30&lt;&gt;"","8B","")</f>
        <v/>
      </c>
      <c r="B1430" s="82">
        <f>IF('8B'!B30&lt;&gt;"",'8B'!B30,"")</f>
        <v/>
      </c>
      <c r="C1430" s="82">
        <f>IF('8B'!B30&lt;&gt;"",'8B'!C30,"")</f>
        <v/>
      </c>
      <c r="D1430" s="82">
        <f>IF('8B'!B30&lt;&gt;"",'8B'!D30,"")</f>
        <v/>
      </c>
      <c r="E1430" s="82">
        <f>IF('8B'!B30&lt;&gt;"",'8B'!E30,"")</f>
        <v/>
      </c>
      <c r="F1430" s="82">
        <f>IF('8B'!B30&lt;&gt;"",'8B'!F30,"")</f>
        <v/>
      </c>
      <c r="G1430" s="82">
        <f>IF('8B'!B30&lt;&gt;"",'8B'!G30,"")</f>
        <v/>
      </c>
      <c r="H1430" s="92">
        <f>IF('8B'!B30&lt;&gt;"",'8B'!H30,"")</f>
        <v/>
      </c>
      <c r="I1430" s="92">
        <f>IF('8B'!B30&lt;&gt;"",'8B'!I30,"")</f>
        <v/>
      </c>
      <c r="J1430" s="82">
        <f>IF('8B'!B30&lt;&gt;"",'8B'!J30,"")</f>
        <v/>
      </c>
    </row>
    <row r="1431" ht="15.75" customHeight="1" s="52">
      <c r="A1431" s="97">
        <f>IF('8B'!B31&lt;&gt;"","8B","")</f>
        <v/>
      </c>
      <c r="B1431" s="78">
        <f>IF('8B'!B31&lt;&gt;"",'8B'!B31,"")</f>
        <v/>
      </c>
      <c r="C1431" s="78">
        <f>IF('8B'!B31&lt;&gt;"",'8B'!C31,"")</f>
        <v/>
      </c>
      <c r="D1431" s="78">
        <f>IF('8B'!B31&lt;&gt;"",'8B'!D31,"")</f>
        <v/>
      </c>
      <c r="E1431" s="78">
        <f>IF('8B'!B31&lt;&gt;"",'8B'!E31,"")</f>
        <v/>
      </c>
      <c r="F1431" s="78">
        <f>IF('8B'!B31&lt;&gt;"",'8B'!F31,"")</f>
        <v/>
      </c>
      <c r="G1431" s="78">
        <f>IF('8B'!B31&lt;&gt;"",'8B'!G31,"")</f>
        <v/>
      </c>
      <c r="H1431" s="97">
        <f>IF('8B'!B31&lt;&gt;"",'8B'!H31,"")</f>
        <v/>
      </c>
      <c r="I1431" s="97">
        <f>IF('8B'!B31&lt;&gt;"",'8B'!I31,"")</f>
        <v/>
      </c>
      <c r="J1431" s="78">
        <f>IF('8B'!B31&lt;&gt;"",'8B'!J31,"")</f>
        <v/>
      </c>
    </row>
    <row r="1432" ht="15.75" customHeight="1" s="52">
      <c r="A1432" s="92">
        <f>IF('8B'!B32&lt;&gt;"","8B","")</f>
        <v/>
      </c>
      <c r="B1432" s="82">
        <f>IF('8B'!B32&lt;&gt;"",'8B'!B32,"")</f>
        <v/>
      </c>
      <c r="C1432" s="82">
        <f>IF('8B'!B32&lt;&gt;"",'8B'!C32,"")</f>
        <v/>
      </c>
      <c r="D1432" s="82">
        <f>IF('8B'!B32&lt;&gt;"",'8B'!D32,"")</f>
        <v/>
      </c>
      <c r="E1432" s="82">
        <f>IF('8B'!B32&lt;&gt;"",'8B'!E32,"")</f>
        <v/>
      </c>
      <c r="F1432" s="82">
        <f>IF('8B'!B32&lt;&gt;"",'8B'!F32,"")</f>
        <v/>
      </c>
      <c r="G1432" s="82">
        <f>IF('8B'!B32&lt;&gt;"",'8B'!G32,"")</f>
        <v/>
      </c>
      <c r="H1432" s="92">
        <f>IF('8B'!B32&lt;&gt;"",'8B'!H32,"")</f>
        <v/>
      </c>
      <c r="I1432" s="92">
        <f>IF('8B'!B32&lt;&gt;"",'8B'!I32,"")</f>
        <v/>
      </c>
      <c r="J1432" s="82">
        <f>IF('8B'!B32&lt;&gt;"",'8B'!J32,"")</f>
        <v/>
      </c>
    </row>
    <row r="1433" ht="15.75" customHeight="1" s="52">
      <c r="A1433" s="97">
        <f>IF('8B'!B33&lt;&gt;"","8B","")</f>
        <v/>
      </c>
      <c r="B1433" s="78">
        <f>IF('8B'!B33&lt;&gt;"",'8B'!B33,"")</f>
        <v/>
      </c>
      <c r="C1433" s="78">
        <f>IF('8B'!B33&lt;&gt;"",'8B'!C33,"")</f>
        <v/>
      </c>
      <c r="D1433" s="78">
        <f>IF('8B'!B33&lt;&gt;"",'8B'!D33,"")</f>
        <v/>
      </c>
      <c r="E1433" s="78">
        <f>IF('8B'!B33&lt;&gt;"",'8B'!E33,"")</f>
        <v/>
      </c>
      <c r="F1433" s="78">
        <f>IF('8B'!B33&lt;&gt;"",'8B'!F33,"")</f>
        <v/>
      </c>
      <c r="G1433" s="78">
        <f>IF('8B'!B33&lt;&gt;"",'8B'!G33,"")</f>
        <v/>
      </c>
      <c r="H1433" s="97">
        <f>IF('8B'!B33&lt;&gt;"",'8B'!H33,"")</f>
        <v/>
      </c>
      <c r="I1433" s="97">
        <f>IF('8B'!B33&lt;&gt;"",'8B'!I33,"")</f>
        <v/>
      </c>
      <c r="J1433" s="78">
        <f>IF('8B'!B33&lt;&gt;"",'8B'!J33,"")</f>
        <v/>
      </c>
    </row>
    <row r="1434" ht="15.75" customHeight="1" s="52">
      <c r="A1434" s="92">
        <f>IF('8B'!B34&lt;&gt;"","8B","")</f>
        <v/>
      </c>
      <c r="B1434" s="82">
        <f>IF('8B'!B34&lt;&gt;"",'8B'!B34,"")</f>
        <v/>
      </c>
      <c r="C1434" s="82">
        <f>IF('8B'!B34&lt;&gt;"",'8B'!C34,"")</f>
        <v/>
      </c>
      <c r="D1434" s="82">
        <f>IF('8B'!B34&lt;&gt;"",'8B'!D34,"")</f>
        <v/>
      </c>
      <c r="E1434" s="82">
        <f>IF('8B'!B34&lt;&gt;"",'8B'!E34,"")</f>
        <v/>
      </c>
      <c r="F1434" s="82">
        <f>IF('8B'!B34&lt;&gt;"",'8B'!F34,"")</f>
        <v/>
      </c>
      <c r="G1434" s="82">
        <f>IF('8B'!B34&lt;&gt;"",'8B'!G34,"")</f>
        <v/>
      </c>
      <c r="H1434" s="92">
        <f>IF('8B'!B34&lt;&gt;"",'8B'!H34,"")</f>
        <v/>
      </c>
      <c r="I1434" s="92">
        <f>IF('8B'!B34&lt;&gt;"",'8B'!I34,"")</f>
        <v/>
      </c>
      <c r="J1434" s="82">
        <f>IF('8B'!B34&lt;&gt;"",'8B'!J34,"")</f>
        <v/>
      </c>
    </row>
    <row r="1435" ht="15.75" customHeight="1" s="52">
      <c r="A1435" s="97">
        <f>IF('8B'!B35&lt;&gt;"","8B","")</f>
        <v/>
      </c>
      <c r="B1435" s="78">
        <f>IF('8B'!B35&lt;&gt;"",'8B'!B35,"")</f>
        <v/>
      </c>
      <c r="C1435" s="78">
        <f>IF('8B'!B35&lt;&gt;"",'8B'!C35,"")</f>
        <v/>
      </c>
      <c r="D1435" s="78">
        <f>IF('8B'!B35&lt;&gt;"",'8B'!D35,"")</f>
        <v/>
      </c>
      <c r="E1435" s="78">
        <f>IF('8B'!B35&lt;&gt;"",'8B'!E35,"")</f>
        <v/>
      </c>
      <c r="F1435" s="78">
        <f>IF('8B'!B35&lt;&gt;"",'8B'!F35,"")</f>
        <v/>
      </c>
      <c r="G1435" s="78">
        <f>IF('8B'!B35&lt;&gt;"",'8B'!G35,"")</f>
        <v/>
      </c>
      <c r="H1435" s="97">
        <f>IF('8B'!B35&lt;&gt;"",'8B'!H35,"")</f>
        <v/>
      </c>
      <c r="I1435" s="97">
        <f>IF('8B'!B35&lt;&gt;"",'8B'!I35,"")</f>
        <v/>
      </c>
      <c r="J1435" s="78">
        <f>IF('8B'!B35&lt;&gt;"",'8B'!J35,"")</f>
        <v/>
      </c>
    </row>
    <row r="1436" ht="15.75" customHeight="1" s="52">
      <c r="A1436" s="92">
        <f>IF('8B'!B36&lt;&gt;"","8B","")</f>
        <v/>
      </c>
      <c r="B1436" s="82">
        <f>IF('8B'!B36&lt;&gt;"",'8B'!B36,"")</f>
        <v/>
      </c>
      <c r="C1436" s="82">
        <f>IF('8B'!B36&lt;&gt;"",'8B'!C36,"")</f>
        <v/>
      </c>
      <c r="D1436" s="82">
        <f>IF('8B'!B36&lt;&gt;"",'8B'!D36,"")</f>
        <v/>
      </c>
      <c r="E1436" s="82">
        <f>IF('8B'!B36&lt;&gt;"",'8B'!E36,"")</f>
        <v/>
      </c>
      <c r="F1436" s="82">
        <f>IF('8B'!B36&lt;&gt;"",'8B'!F36,"")</f>
        <v/>
      </c>
      <c r="G1436" s="82">
        <f>IF('8B'!B36&lt;&gt;"",'8B'!G36,"")</f>
        <v/>
      </c>
      <c r="H1436" s="92">
        <f>IF('8B'!B36&lt;&gt;"",'8B'!H36,"")</f>
        <v/>
      </c>
      <c r="I1436" s="92">
        <f>IF('8B'!B36&lt;&gt;"",'8B'!I36,"")</f>
        <v/>
      </c>
      <c r="J1436" s="82">
        <f>IF('8B'!B36&lt;&gt;"",'8B'!J36,"")</f>
        <v/>
      </c>
    </row>
    <row r="1437" ht="15.75" customHeight="1" s="52">
      <c r="A1437" s="97">
        <f>IF('8B'!B37&lt;&gt;"","8B","")</f>
        <v/>
      </c>
      <c r="B1437" s="78">
        <f>IF('8B'!B37&lt;&gt;"",'8B'!B37,"")</f>
        <v/>
      </c>
      <c r="C1437" s="78">
        <f>IF('8B'!B37&lt;&gt;"",'8B'!C37,"")</f>
        <v/>
      </c>
      <c r="D1437" s="78">
        <f>IF('8B'!B37&lt;&gt;"",'8B'!D37,"")</f>
        <v/>
      </c>
      <c r="E1437" s="78">
        <f>IF('8B'!B37&lt;&gt;"",'8B'!E37,"")</f>
        <v/>
      </c>
      <c r="F1437" s="78">
        <f>IF('8B'!B37&lt;&gt;"",'8B'!F37,"")</f>
        <v/>
      </c>
      <c r="G1437" s="78">
        <f>IF('8B'!B37&lt;&gt;"",'8B'!G37,"")</f>
        <v/>
      </c>
      <c r="H1437" s="97">
        <f>IF('8B'!B37&lt;&gt;"",'8B'!H37,"")</f>
        <v/>
      </c>
      <c r="I1437" s="97">
        <f>IF('8B'!B37&lt;&gt;"",'8B'!I37,"")</f>
        <v/>
      </c>
      <c r="J1437" s="78">
        <f>IF('8B'!B37&lt;&gt;"",'8B'!J37,"")</f>
        <v/>
      </c>
    </row>
    <row r="1438" ht="15.75" customHeight="1" s="52">
      <c r="A1438" s="92">
        <f>IF('8B'!B38&lt;&gt;"","8B","")</f>
        <v/>
      </c>
      <c r="B1438" s="82">
        <f>IF('8B'!B38&lt;&gt;"",'8B'!B38,"")</f>
        <v/>
      </c>
      <c r="C1438" s="82">
        <f>IF('8B'!B38&lt;&gt;"",'8B'!C38,"")</f>
        <v/>
      </c>
      <c r="D1438" s="82">
        <f>IF('8B'!B38&lt;&gt;"",'8B'!D38,"")</f>
        <v/>
      </c>
      <c r="E1438" s="82">
        <f>IF('8B'!B38&lt;&gt;"",'8B'!E38,"")</f>
        <v/>
      </c>
      <c r="F1438" s="82">
        <f>IF('8B'!B38&lt;&gt;"",'8B'!F38,"")</f>
        <v/>
      </c>
      <c r="G1438" s="82">
        <f>IF('8B'!B38&lt;&gt;"",'8B'!G38,"")</f>
        <v/>
      </c>
      <c r="H1438" s="92">
        <f>IF('8B'!B38&lt;&gt;"",'8B'!H38,"")</f>
        <v/>
      </c>
      <c r="I1438" s="92">
        <f>IF('8B'!B38&lt;&gt;"",'8B'!I38,"")</f>
        <v/>
      </c>
      <c r="J1438" s="82">
        <f>IF('8B'!B38&lt;&gt;"",'8B'!J38,"")</f>
        <v/>
      </c>
    </row>
    <row r="1439" ht="15.75" customHeight="1" s="52">
      <c r="A1439" s="97">
        <f>IF('8B'!B39&lt;&gt;"","8B","")</f>
        <v/>
      </c>
      <c r="B1439" s="78">
        <f>IF('8B'!B39&lt;&gt;"",'8B'!B39,"")</f>
        <v/>
      </c>
      <c r="C1439" s="78">
        <f>IF('8B'!B39&lt;&gt;"",'8B'!C39,"")</f>
        <v/>
      </c>
      <c r="D1439" s="78">
        <f>IF('8B'!B39&lt;&gt;"",'8B'!D39,"")</f>
        <v/>
      </c>
      <c r="E1439" s="78">
        <f>IF('8B'!B39&lt;&gt;"",'8B'!E39,"")</f>
        <v/>
      </c>
      <c r="F1439" s="78">
        <f>IF('8B'!B39&lt;&gt;"",'8B'!F39,"")</f>
        <v/>
      </c>
      <c r="G1439" s="78">
        <f>IF('8B'!B39&lt;&gt;"",'8B'!G39,"")</f>
        <v/>
      </c>
      <c r="H1439" s="97">
        <f>IF('8B'!B39&lt;&gt;"",'8B'!H39,"")</f>
        <v/>
      </c>
      <c r="I1439" s="97">
        <f>IF('8B'!B39&lt;&gt;"",'8B'!I39,"")</f>
        <v/>
      </c>
      <c r="J1439" s="78">
        <f>IF('8B'!B39&lt;&gt;"",'8B'!J39,"")</f>
        <v/>
      </c>
    </row>
    <row r="1440" ht="15.75" customHeight="1" s="52">
      <c r="A1440" s="92">
        <f>IF('8B'!B40&lt;&gt;"","8B","")</f>
        <v/>
      </c>
      <c r="B1440" s="82">
        <f>IF('8B'!B40&lt;&gt;"",'8B'!B40,"")</f>
        <v/>
      </c>
      <c r="C1440" s="82">
        <f>IF('8B'!B40&lt;&gt;"",'8B'!C40,"")</f>
        <v/>
      </c>
      <c r="D1440" s="82">
        <f>IF('8B'!B40&lt;&gt;"",'8B'!D40,"")</f>
        <v/>
      </c>
      <c r="E1440" s="82">
        <f>IF('8B'!B40&lt;&gt;"",'8B'!E40,"")</f>
        <v/>
      </c>
      <c r="F1440" s="82">
        <f>IF('8B'!B40&lt;&gt;"",'8B'!F40,"")</f>
        <v/>
      </c>
      <c r="G1440" s="82">
        <f>IF('8B'!B40&lt;&gt;"",'8B'!G40,"")</f>
        <v/>
      </c>
      <c r="H1440" s="92">
        <f>IF('8B'!B40&lt;&gt;"",'8B'!H40,"")</f>
        <v/>
      </c>
      <c r="I1440" s="92">
        <f>IF('8B'!B40&lt;&gt;"",'8B'!I40,"")</f>
        <v/>
      </c>
      <c r="J1440" s="82">
        <f>IF('8B'!B40&lt;&gt;"",'8B'!J40,"")</f>
        <v/>
      </c>
    </row>
    <row r="1441" ht="15.75" customHeight="1" s="52">
      <c r="A1441" s="97">
        <f>IF('8B'!B41&lt;&gt;"","8B","")</f>
        <v/>
      </c>
      <c r="B1441" s="78">
        <f>IF('8B'!B41&lt;&gt;"",'8B'!B41,"")</f>
        <v/>
      </c>
      <c r="C1441" s="78">
        <f>IF('8B'!B41&lt;&gt;"",'8B'!C41,"")</f>
        <v/>
      </c>
      <c r="D1441" s="78">
        <f>IF('8B'!B41&lt;&gt;"",'8B'!D41,"")</f>
        <v/>
      </c>
      <c r="E1441" s="78">
        <f>IF('8B'!B41&lt;&gt;"",'8B'!E41,"")</f>
        <v/>
      </c>
      <c r="F1441" s="78">
        <f>IF('8B'!B41&lt;&gt;"",'8B'!F41,"")</f>
        <v/>
      </c>
      <c r="G1441" s="78">
        <f>IF('8B'!B41&lt;&gt;"",'8B'!G41,"")</f>
        <v/>
      </c>
      <c r="H1441" s="97">
        <f>IF('8B'!B41&lt;&gt;"",'8B'!H41,"")</f>
        <v/>
      </c>
      <c r="I1441" s="97">
        <f>IF('8B'!B41&lt;&gt;"",'8B'!I41,"")</f>
        <v/>
      </c>
      <c r="J1441" s="78">
        <f>IF('8B'!B41&lt;&gt;"",'8B'!J41,"")</f>
        <v/>
      </c>
    </row>
    <row r="1442" ht="15.75" customHeight="1" s="52">
      <c r="A1442" s="92">
        <f>IF('8B'!B42&lt;&gt;"","8B","")</f>
        <v/>
      </c>
      <c r="B1442" s="82">
        <f>IF('8B'!B42&lt;&gt;"",'8B'!B42,"")</f>
        <v/>
      </c>
      <c r="C1442" s="82">
        <f>IF('8B'!B42&lt;&gt;"",'8B'!C42,"")</f>
        <v/>
      </c>
      <c r="D1442" s="82">
        <f>IF('8B'!B42&lt;&gt;"",'8B'!D42,"")</f>
        <v/>
      </c>
      <c r="E1442" s="82">
        <f>IF('8B'!B42&lt;&gt;"",'8B'!E42,"")</f>
        <v/>
      </c>
      <c r="F1442" s="82">
        <f>IF('8B'!B42&lt;&gt;"",'8B'!F42,"")</f>
        <v/>
      </c>
      <c r="G1442" s="82">
        <f>IF('8B'!B42&lt;&gt;"",'8B'!G42,"")</f>
        <v/>
      </c>
      <c r="H1442" s="92">
        <f>IF('8B'!B42&lt;&gt;"",'8B'!H42,"")</f>
        <v/>
      </c>
      <c r="I1442" s="92">
        <f>IF('8B'!B42&lt;&gt;"",'8B'!I42,"")</f>
        <v/>
      </c>
      <c r="J1442" s="82">
        <f>IF('8B'!B42&lt;&gt;"",'8B'!J42,"")</f>
        <v/>
      </c>
    </row>
    <row r="1443" ht="15.75" customHeight="1" s="52">
      <c r="A1443" s="97">
        <f>IF('8B'!B43&lt;&gt;"","8B","")</f>
        <v/>
      </c>
      <c r="B1443" s="78">
        <f>IF('8B'!B43&lt;&gt;"",'8B'!B43,"")</f>
        <v/>
      </c>
      <c r="C1443" s="78">
        <f>IF('8B'!B43&lt;&gt;"",'8B'!C43,"")</f>
        <v/>
      </c>
      <c r="D1443" s="78">
        <f>IF('8B'!B43&lt;&gt;"",'8B'!D43,"")</f>
        <v/>
      </c>
      <c r="E1443" s="78">
        <f>IF('8B'!B43&lt;&gt;"",'8B'!E43,"")</f>
        <v/>
      </c>
      <c r="F1443" s="78">
        <f>IF('8B'!B43&lt;&gt;"",'8B'!F43,"")</f>
        <v/>
      </c>
      <c r="G1443" s="78">
        <f>IF('8B'!B43&lt;&gt;"",'8B'!G43,"")</f>
        <v/>
      </c>
      <c r="H1443" s="97">
        <f>IF('8B'!B43&lt;&gt;"",'8B'!H43,"")</f>
        <v/>
      </c>
      <c r="I1443" s="97">
        <f>IF('8B'!B43&lt;&gt;"",'8B'!I43,"")</f>
        <v/>
      </c>
      <c r="J1443" s="78">
        <f>IF('8B'!B43&lt;&gt;"",'8B'!J43,"")</f>
        <v/>
      </c>
    </row>
    <row r="1444" ht="15.75" customHeight="1" s="52">
      <c r="A1444" s="92">
        <f>IF('8B'!B44&lt;&gt;"","8B","")</f>
        <v/>
      </c>
      <c r="B1444" s="82">
        <f>IF('8B'!B44&lt;&gt;"",'8B'!B44,"")</f>
        <v/>
      </c>
      <c r="C1444" s="82">
        <f>IF('8B'!B44&lt;&gt;"",'8B'!C44,"")</f>
        <v/>
      </c>
      <c r="D1444" s="82">
        <f>IF('8B'!B44&lt;&gt;"",'8B'!D44,"")</f>
        <v/>
      </c>
      <c r="E1444" s="82">
        <f>IF('8B'!B44&lt;&gt;"",'8B'!E44,"")</f>
        <v/>
      </c>
      <c r="F1444" s="82">
        <f>IF('8B'!B44&lt;&gt;"",'8B'!F44,"")</f>
        <v/>
      </c>
      <c r="G1444" s="82">
        <f>IF('8B'!B44&lt;&gt;"",'8B'!G44,"")</f>
        <v/>
      </c>
      <c r="H1444" s="92">
        <f>IF('8B'!B44&lt;&gt;"",'8B'!H44,"")</f>
        <v/>
      </c>
      <c r="I1444" s="92">
        <f>IF('8B'!B44&lt;&gt;"",'8B'!I44,"")</f>
        <v/>
      </c>
      <c r="J1444" s="82">
        <f>IF('8B'!B44&lt;&gt;"",'8B'!J44,"")</f>
        <v/>
      </c>
    </row>
    <row r="1445" ht="15.75" customHeight="1" s="52">
      <c r="A1445" s="97">
        <f>IF('8B'!B45&lt;&gt;"","8B","")</f>
        <v/>
      </c>
      <c r="B1445" s="78">
        <f>IF('8B'!B45&lt;&gt;"",'8B'!B45,"")</f>
        <v/>
      </c>
      <c r="C1445" s="78">
        <f>IF('8B'!B45&lt;&gt;"",'8B'!C45,"")</f>
        <v/>
      </c>
      <c r="D1445" s="78">
        <f>IF('8B'!B45&lt;&gt;"",'8B'!D45,"")</f>
        <v/>
      </c>
      <c r="E1445" s="78">
        <f>IF('8B'!B45&lt;&gt;"",'8B'!E45,"")</f>
        <v/>
      </c>
      <c r="F1445" s="78">
        <f>IF('8B'!B45&lt;&gt;"",'8B'!F45,"")</f>
        <v/>
      </c>
      <c r="G1445" s="78">
        <f>IF('8B'!B45&lt;&gt;"",'8B'!G45,"")</f>
        <v/>
      </c>
      <c r="H1445" s="97">
        <f>IF('8B'!B45&lt;&gt;"",'8B'!H45,"")</f>
        <v/>
      </c>
      <c r="I1445" s="97">
        <f>IF('8B'!B45&lt;&gt;"",'8B'!I45,"")</f>
        <v/>
      </c>
      <c r="J1445" s="78">
        <f>IF('8B'!B45&lt;&gt;"",'8B'!J45,"")</f>
        <v/>
      </c>
    </row>
    <row r="1446" ht="15.75" customHeight="1" s="52">
      <c r="A1446" s="92">
        <f>IF('8B'!B46&lt;&gt;"","8B","")</f>
        <v/>
      </c>
      <c r="B1446" s="82">
        <f>IF('8B'!B46&lt;&gt;"",'8B'!B46,"")</f>
        <v/>
      </c>
      <c r="C1446" s="82">
        <f>IF('8B'!B46&lt;&gt;"",'8B'!C46,"")</f>
        <v/>
      </c>
      <c r="D1446" s="82">
        <f>IF('8B'!B46&lt;&gt;"",'8B'!D46,"")</f>
        <v/>
      </c>
      <c r="E1446" s="82">
        <f>IF('8B'!B46&lt;&gt;"",'8B'!E46,"")</f>
        <v/>
      </c>
      <c r="F1446" s="82">
        <f>IF('8B'!B46&lt;&gt;"",'8B'!F46,"")</f>
        <v/>
      </c>
      <c r="G1446" s="82">
        <f>IF('8B'!B46&lt;&gt;"",'8B'!G46,"")</f>
        <v/>
      </c>
      <c r="H1446" s="92">
        <f>IF('8B'!B46&lt;&gt;"",'8B'!H46,"")</f>
        <v/>
      </c>
      <c r="I1446" s="92">
        <f>IF('8B'!B46&lt;&gt;"",'8B'!I46,"")</f>
        <v/>
      </c>
      <c r="J1446" s="82">
        <f>IF('8B'!B46&lt;&gt;"",'8B'!J46,"")</f>
        <v/>
      </c>
    </row>
    <row r="1447" ht="15.75" customHeight="1" s="52">
      <c r="A1447" s="97">
        <f>IF('8B'!B47&lt;&gt;"","8B","")</f>
        <v/>
      </c>
      <c r="B1447" s="78">
        <f>IF('8B'!B47&lt;&gt;"",'8B'!B47,"")</f>
        <v/>
      </c>
      <c r="C1447" s="78">
        <f>IF('8B'!B47&lt;&gt;"",'8B'!C47,"")</f>
        <v/>
      </c>
      <c r="D1447" s="78">
        <f>IF('8B'!B47&lt;&gt;"",'8B'!D47,"")</f>
        <v/>
      </c>
      <c r="E1447" s="78">
        <f>IF('8B'!B47&lt;&gt;"",'8B'!E47,"")</f>
        <v/>
      </c>
      <c r="F1447" s="78">
        <f>IF('8B'!B47&lt;&gt;"",'8B'!F47,"")</f>
        <v/>
      </c>
      <c r="G1447" s="78">
        <f>IF('8B'!B47&lt;&gt;"",'8B'!G47,"")</f>
        <v/>
      </c>
      <c r="H1447" s="97">
        <f>IF('8B'!B47&lt;&gt;"",'8B'!H47,"")</f>
        <v/>
      </c>
      <c r="I1447" s="97">
        <f>IF('8B'!B47&lt;&gt;"",'8B'!I47,"")</f>
        <v/>
      </c>
      <c r="J1447" s="78">
        <f>IF('8B'!B47&lt;&gt;"",'8B'!J47,"")</f>
        <v/>
      </c>
    </row>
    <row r="1448" ht="15.75" customHeight="1" s="52">
      <c r="A1448" s="92">
        <f>IF('8B'!B48&lt;&gt;"","8B","")</f>
        <v/>
      </c>
      <c r="B1448" s="82">
        <f>IF('8B'!B48&lt;&gt;"",'8B'!B48,"")</f>
        <v/>
      </c>
      <c r="C1448" s="82">
        <f>IF('8B'!B48&lt;&gt;"",'8B'!C48,"")</f>
        <v/>
      </c>
      <c r="D1448" s="82">
        <f>IF('8B'!B48&lt;&gt;"",'8B'!D48,"")</f>
        <v/>
      </c>
      <c r="E1448" s="82">
        <f>IF('8B'!B48&lt;&gt;"",'8B'!E48,"")</f>
        <v/>
      </c>
      <c r="F1448" s="82">
        <f>IF('8B'!B48&lt;&gt;"",'8B'!F48,"")</f>
        <v/>
      </c>
      <c r="G1448" s="82">
        <f>IF('8B'!B48&lt;&gt;"",'8B'!G48,"")</f>
        <v/>
      </c>
      <c r="H1448" s="92">
        <f>IF('8B'!B48&lt;&gt;"",'8B'!H48,"")</f>
        <v/>
      </c>
      <c r="I1448" s="92">
        <f>IF('8B'!B48&lt;&gt;"",'8B'!I48,"")</f>
        <v/>
      </c>
      <c r="J1448" s="82">
        <f>IF('8B'!B48&lt;&gt;"",'8B'!J48,"")</f>
        <v/>
      </c>
    </row>
    <row r="1449" ht="15.75" customHeight="1" s="52">
      <c r="A1449" s="97">
        <f>IF('8B'!B49&lt;&gt;"","8B","")</f>
        <v/>
      </c>
      <c r="B1449" s="78">
        <f>IF('8B'!B49&lt;&gt;"",'8B'!B49,"")</f>
        <v/>
      </c>
      <c r="C1449" s="78">
        <f>IF('8B'!B49&lt;&gt;"",'8B'!C49,"")</f>
        <v/>
      </c>
      <c r="D1449" s="78">
        <f>IF('8B'!B49&lt;&gt;"",'8B'!D49,"")</f>
        <v/>
      </c>
      <c r="E1449" s="78">
        <f>IF('8B'!B49&lt;&gt;"",'8B'!E49,"")</f>
        <v/>
      </c>
      <c r="F1449" s="78">
        <f>IF('8B'!B49&lt;&gt;"",'8B'!F49,"")</f>
        <v/>
      </c>
      <c r="G1449" s="78">
        <f>IF('8B'!B49&lt;&gt;"",'8B'!G49,"")</f>
        <v/>
      </c>
      <c r="H1449" s="97">
        <f>IF('8B'!B49&lt;&gt;"",'8B'!H49,"")</f>
        <v/>
      </c>
      <c r="I1449" s="97">
        <f>IF('8B'!B49&lt;&gt;"",'8B'!I49,"")</f>
        <v/>
      </c>
      <c r="J1449" s="78">
        <f>IF('8B'!B49&lt;&gt;"",'8B'!J49,"")</f>
        <v/>
      </c>
    </row>
    <row r="1450" ht="15.75" customHeight="1" s="52">
      <c r="A1450" s="92">
        <f>IF('8B'!B50&lt;&gt;"","8B","")</f>
        <v/>
      </c>
      <c r="B1450" s="82">
        <f>IF('8B'!B50&lt;&gt;"",'8B'!B50,"")</f>
        <v/>
      </c>
      <c r="C1450" s="82">
        <f>IF('8B'!B50&lt;&gt;"",'8B'!C50,"")</f>
        <v/>
      </c>
      <c r="D1450" s="82">
        <f>IF('8B'!B50&lt;&gt;"",'8B'!D50,"")</f>
        <v/>
      </c>
      <c r="E1450" s="82">
        <f>IF('8B'!B50&lt;&gt;"",'8B'!E50,"")</f>
        <v/>
      </c>
      <c r="F1450" s="82">
        <f>IF('8B'!B50&lt;&gt;"",'8B'!F50,"")</f>
        <v/>
      </c>
      <c r="G1450" s="82">
        <f>IF('8B'!B50&lt;&gt;"",'8B'!G50,"")</f>
        <v/>
      </c>
      <c r="H1450" s="92">
        <f>IF('8B'!B50&lt;&gt;"",'8B'!H50,"")</f>
        <v/>
      </c>
      <c r="I1450" s="92">
        <f>IF('8B'!B50&lt;&gt;"",'8B'!I50,"")</f>
        <v/>
      </c>
      <c r="J1450" s="82">
        <f>IF('8B'!B50&lt;&gt;"",'8B'!J50,"")</f>
        <v/>
      </c>
    </row>
    <row r="1451" ht="15.75" customHeight="1" s="52">
      <c r="A1451" s="97">
        <f>IF('8B'!B51&lt;&gt;"","8B","")</f>
        <v/>
      </c>
      <c r="B1451" s="78">
        <f>IF('8B'!B51&lt;&gt;"",'8B'!B51,"")</f>
        <v/>
      </c>
      <c r="C1451" s="78">
        <f>IF('8B'!B51&lt;&gt;"",'8B'!C51,"")</f>
        <v/>
      </c>
      <c r="D1451" s="78">
        <f>IF('8B'!B51&lt;&gt;"",'8B'!D51,"")</f>
        <v/>
      </c>
      <c r="E1451" s="78">
        <f>IF('8B'!B51&lt;&gt;"",'8B'!E51,"")</f>
        <v/>
      </c>
      <c r="F1451" s="78">
        <f>IF('8B'!B51&lt;&gt;"",'8B'!F51,"")</f>
        <v/>
      </c>
      <c r="G1451" s="78">
        <f>IF('8B'!B51&lt;&gt;"",'8B'!G51,"")</f>
        <v/>
      </c>
      <c r="H1451" s="97">
        <f>IF('8B'!B51&lt;&gt;"",'8B'!H51,"")</f>
        <v/>
      </c>
      <c r="I1451" s="97">
        <f>IF('8B'!B51&lt;&gt;"",'8B'!I51,"")</f>
        <v/>
      </c>
      <c r="J1451" s="78">
        <f>IF('8B'!B51&lt;&gt;"",'8B'!J51,"")</f>
        <v/>
      </c>
    </row>
    <row r="1452" ht="15.75" customHeight="1" s="52">
      <c r="A1452" s="92">
        <f>IF('8B'!B52&lt;&gt;"","8B","")</f>
        <v/>
      </c>
      <c r="B1452" s="82">
        <f>IF('8B'!B52&lt;&gt;"",'8B'!B52,"")</f>
        <v/>
      </c>
      <c r="C1452" s="82">
        <f>IF('8B'!B52&lt;&gt;"",'8B'!C52,"")</f>
        <v/>
      </c>
      <c r="D1452" s="82">
        <f>IF('8B'!B52&lt;&gt;"",'8B'!D52,"")</f>
        <v/>
      </c>
      <c r="E1452" s="82">
        <f>IF('8B'!B52&lt;&gt;"",'8B'!E52,"")</f>
        <v/>
      </c>
      <c r="F1452" s="82">
        <f>IF('8B'!B52&lt;&gt;"",'8B'!F52,"")</f>
        <v/>
      </c>
      <c r="G1452" s="82">
        <f>IF('8B'!B52&lt;&gt;"",'8B'!G52,"")</f>
        <v/>
      </c>
      <c r="H1452" s="92">
        <f>IF('8B'!B52&lt;&gt;"",'8B'!H52,"")</f>
        <v/>
      </c>
      <c r="I1452" s="92">
        <f>IF('8B'!B52&lt;&gt;"",'8B'!I52,"")</f>
        <v/>
      </c>
      <c r="J1452" s="82">
        <f>IF('8B'!B52&lt;&gt;"",'8B'!J52,"")</f>
        <v/>
      </c>
    </row>
    <row r="1453" ht="15.75" customHeight="1" s="52">
      <c r="A1453" s="97">
        <f>IF('8B'!B53&lt;&gt;"","8B","")</f>
        <v/>
      </c>
      <c r="B1453" s="78">
        <f>IF('8B'!B53&lt;&gt;"",'8B'!B53,"")</f>
        <v/>
      </c>
      <c r="C1453" s="78">
        <f>IF('8B'!B53&lt;&gt;"",'8B'!C53,"")</f>
        <v/>
      </c>
      <c r="D1453" s="78">
        <f>IF('8B'!B53&lt;&gt;"",'8B'!D53,"")</f>
        <v/>
      </c>
      <c r="E1453" s="78">
        <f>IF('8B'!B53&lt;&gt;"",'8B'!E53,"")</f>
        <v/>
      </c>
      <c r="F1453" s="78">
        <f>IF('8B'!B53&lt;&gt;"",'8B'!F53,"")</f>
        <v/>
      </c>
      <c r="G1453" s="78">
        <f>IF('8B'!B53&lt;&gt;"",'8B'!G53,"")</f>
        <v/>
      </c>
      <c r="H1453" s="97">
        <f>IF('8B'!B53&lt;&gt;"",'8B'!H53,"")</f>
        <v/>
      </c>
      <c r="I1453" s="97">
        <f>IF('8B'!B53&lt;&gt;"",'8B'!I53,"")</f>
        <v/>
      </c>
      <c r="J1453" s="78">
        <f>IF('8B'!B53&lt;&gt;"",'8B'!J53,"")</f>
        <v/>
      </c>
    </row>
    <row r="1454" ht="15.75" customHeight="1" s="52">
      <c r="A1454" s="92">
        <f>IF('8B'!B54&lt;&gt;"","8B","")</f>
        <v/>
      </c>
      <c r="B1454" s="82">
        <f>IF('8B'!B54&lt;&gt;"",'8B'!B54,"")</f>
        <v/>
      </c>
      <c r="C1454" s="82">
        <f>IF('8B'!B54&lt;&gt;"",'8B'!C54,"")</f>
        <v/>
      </c>
      <c r="D1454" s="82">
        <f>IF('8B'!B54&lt;&gt;"",'8B'!D54,"")</f>
        <v/>
      </c>
      <c r="E1454" s="82">
        <f>IF('8B'!B54&lt;&gt;"",'8B'!E54,"")</f>
        <v/>
      </c>
      <c r="F1454" s="82">
        <f>IF('8B'!B54&lt;&gt;"",'8B'!F54,"")</f>
        <v/>
      </c>
      <c r="G1454" s="82">
        <f>IF('8B'!B54&lt;&gt;"",'8B'!G54,"")</f>
        <v/>
      </c>
      <c r="H1454" s="92">
        <f>IF('8B'!B54&lt;&gt;"",'8B'!H54,"")</f>
        <v/>
      </c>
      <c r="I1454" s="92">
        <f>IF('8B'!B54&lt;&gt;"",'8B'!I54,"")</f>
        <v/>
      </c>
      <c r="J1454" s="82">
        <f>IF('8B'!B54&lt;&gt;"",'8B'!J54,"")</f>
        <v/>
      </c>
    </row>
    <row r="1455" ht="15.75" customHeight="1" s="52">
      <c r="A1455" s="97">
        <f>IF('8C'!B5&lt;&gt;"","8C","")</f>
        <v/>
      </c>
      <c r="B1455" s="78">
        <f>IF('8C'!B5&lt;&gt;"",'8C'!B5,"")</f>
        <v/>
      </c>
      <c r="C1455" s="78">
        <f>IF('8C'!B5&lt;&gt;"",'8C'!C5,"")</f>
        <v/>
      </c>
      <c r="D1455" s="78">
        <f>IF('8C'!B5&lt;&gt;"",'8C'!D5,"")</f>
        <v/>
      </c>
      <c r="E1455" s="78">
        <f>IF('8C'!B5&lt;&gt;"",'8C'!E5,"")</f>
        <v/>
      </c>
      <c r="F1455" s="78">
        <f>IF('8C'!B5&lt;&gt;"",'8C'!F5,"")</f>
        <v/>
      </c>
      <c r="G1455" s="78">
        <f>IF('8C'!B5&lt;&gt;"",'8C'!G5,"")</f>
        <v/>
      </c>
      <c r="H1455" s="97">
        <f>IF('8C'!B5&lt;&gt;"",'8C'!H5,"")</f>
        <v/>
      </c>
      <c r="I1455" s="97">
        <f>IF('8C'!B5&lt;&gt;"",'8C'!I5,"")</f>
        <v/>
      </c>
      <c r="J1455" s="78">
        <f>IF('8C'!B5&lt;&gt;"",'8C'!J5,"")</f>
        <v/>
      </c>
    </row>
    <row r="1456" ht="15.75" customHeight="1" s="52">
      <c r="A1456" s="92">
        <f>IF('8C'!B6&lt;&gt;"","8C","")</f>
        <v/>
      </c>
      <c r="B1456" s="82">
        <f>IF('8C'!B6&lt;&gt;"",'8C'!B6,"")</f>
        <v/>
      </c>
      <c r="C1456" s="82">
        <f>IF('8C'!B6&lt;&gt;"",'8C'!C6,"")</f>
        <v/>
      </c>
      <c r="D1456" s="82">
        <f>IF('8C'!B6&lt;&gt;"",'8C'!D6,"")</f>
        <v/>
      </c>
      <c r="E1456" s="82">
        <f>IF('8C'!B6&lt;&gt;"",'8C'!E6,"")</f>
        <v/>
      </c>
      <c r="F1456" s="82">
        <f>IF('8C'!B6&lt;&gt;"",'8C'!F6,"")</f>
        <v/>
      </c>
      <c r="G1456" s="82">
        <f>IF('8C'!B6&lt;&gt;"",'8C'!G6,"")</f>
        <v/>
      </c>
      <c r="H1456" s="92">
        <f>IF('8C'!B6&lt;&gt;"",'8C'!H6,"")</f>
        <v/>
      </c>
      <c r="I1456" s="92">
        <f>IF('8C'!B6&lt;&gt;"",'8C'!I6,"")</f>
        <v/>
      </c>
      <c r="J1456" s="82">
        <f>IF('8C'!B6&lt;&gt;"",'8C'!J6,"")</f>
        <v/>
      </c>
    </row>
    <row r="1457" ht="15.75" customHeight="1" s="52">
      <c r="A1457" s="97">
        <f>IF('8C'!B7&lt;&gt;"","8C","")</f>
        <v/>
      </c>
      <c r="B1457" s="78">
        <f>IF('8C'!B7&lt;&gt;"",'8C'!B7,"")</f>
        <v/>
      </c>
      <c r="C1457" s="78">
        <f>IF('8C'!B7&lt;&gt;"",'8C'!C7,"")</f>
        <v/>
      </c>
      <c r="D1457" s="78">
        <f>IF('8C'!B7&lt;&gt;"",'8C'!D7,"")</f>
        <v/>
      </c>
      <c r="E1457" s="78">
        <f>IF('8C'!B7&lt;&gt;"",'8C'!E7,"")</f>
        <v/>
      </c>
      <c r="F1457" s="78">
        <f>IF('8C'!B7&lt;&gt;"",'8C'!F7,"")</f>
        <v/>
      </c>
      <c r="G1457" s="78">
        <f>IF('8C'!B7&lt;&gt;"",'8C'!G7,"")</f>
        <v/>
      </c>
      <c r="H1457" s="97">
        <f>IF('8C'!B7&lt;&gt;"",'8C'!H7,"")</f>
        <v/>
      </c>
      <c r="I1457" s="97">
        <f>IF('8C'!B7&lt;&gt;"",'8C'!I7,"")</f>
        <v/>
      </c>
      <c r="J1457" s="78">
        <f>IF('8C'!B7&lt;&gt;"",'8C'!J7,"")</f>
        <v/>
      </c>
    </row>
    <row r="1458" ht="15.75" customHeight="1" s="52">
      <c r="A1458" s="92">
        <f>IF('8C'!B8&lt;&gt;"","8C","")</f>
        <v/>
      </c>
      <c r="B1458" s="82">
        <f>IF('8C'!B8&lt;&gt;"",'8C'!B8,"")</f>
        <v/>
      </c>
      <c r="C1458" s="82">
        <f>IF('8C'!B8&lt;&gt;"",'8C'!C8,"")</f>
        <v/>
      </c>
      <c r="D1458" s="82">
        <f>IF('8C'!B8&lt;&gt;"",'8C'!D8,"")</f>
        <v/>
      </c>
      <c r="E1458" s="82">
        <f>IF('8C'!B8&lt;&gt;"",'8C'!E8,"")</f>
        <v/>
      </c>
      <c r="F1458" s="82">
        <f>IF('8C'!B8&lt;&gt;"",'8C'!F8,"")</f>
        <v/>
      </c>
      <c r="G1458" s="82">
        <f>IF('8C'!B8&lt;&gt;"",'8C'!G8,"")</f>
        <v/>
      </c>
      <c r="H1458" s="92">
        <f>IF('8C'!B8&lt;&gt;"",'8C'!H8,"")</f>
        <v/>
      </c>
      <c r="I1458" s="92">
        <f>IF('8C'!B8&lt;&gt;"",'8C'!I8,"")</f>
        <v/>
      </c>
      <c r="J1458" s="82">
        <f>IF('8C'!B8&lt;&gt;"",'8C'!J8,"")</f>
        <v/>
      </c>
    </row>
    <row r="1459" ht="15.75" customHeight="1" s="52">
      <c r="A1459" s="97">
        <f>IF('8C'!B9&lt;&gt;"","8C","")</f>
        <v/>
      </c>
      <c r="B1459" s="78">
        <f>IF('8C'!B9&lt;&gt;"",'8C'!B9,"")</f>
        <v/>
      </c>
      <c r="C1459" s="78">
        <f>IF('8C'!B9&lt;&gt;"",'8C'!C9,"")</f>
        <v/>
      </c>
      <c r="D1459" s="78">
        <f>IF('8C'!B9&lt;&gt;"",'8C'!D9,"")</f>
        <v/>
      </c>
      <c r="E1459" s="78">
        <f>IF('8C'!B9&lt;&gt;"",'8C'!E9,"")</f>
        <v/>
      </c>
      <c r="F1459" s="78">
        <f>IF('8C'!B9&lt;&gt;"",'8C'!F9,"")</f>
        <v/>
      </c>
      <c r="G1459" s="78">
        <f>IF('8C'!B9&lt;&gt;"",'8C'!G9,"")</f>
        <v/>
      </c>
      <c r="H1459" s="97">
        <f>IF('8C'!B9&lt;&gt;"",'8C'!H9,"")</f>
        <v/>
      </c>
      <c r="I1459" s="97">
        <f>IF('8C'!B9&lt;&gt;"",'8C'!I9,"")</f>
        <v/>
      </c>
      <c r="J1459" s="78">
        <f>IF('8C'!B9&lt;&gt;"",'8C'!J9,"")</f>
        <v/>
      </c>
    </row>
    <row r="1460" ht="15.75" customHeight="1" s="52">
      <c r="A1460" s="92">
        <f>IF('8C'!B10&lt;&gt;"","8C","")</f>
        <v/>
      </c>
      <c r="B1460" s="82">
        <f>IF('8C'!B10&lt;&gt;"",'8C'!B10,"")</f>
        <v/>
      </c>
      <c r="C1460" s="82">
        <f>IF('8C'!B10&lt;&gt;"",'8C'!C10,"")</f>
        <v/>
      </c>
      <c r="D1460" s="82">
        <f>IF('8C'!B10&lt;&gt;"",'8C'!D10,"")</f>
        <v/>
      </c>
      <c r="E1460" s="82">
        <f>IF('8C'!B10&lt;&gt;"",'8C'!E10,"")</f>
        <v/>
      </c>
      <c r="F1460" s="82">
        <f>IF('8C'!B10&lt;&gt;"",'8C'!F10,"")</f>
        <v/>
      </c>
      <c r="G1460" s="82">
        <f>IF('8C'!B10&lt;&gt;"",'8C'!G10,"")</f>
        <v/>
      </c>
      <c r="H1460" s="92">
        <f>IF('8C'!B10&lt;&gt;"",'8C'!H10,"")</f>
        <v/>
      </c>
      <c r="I1460" s="92">
        <f>IF('8C'!B10&lt;&gt;"",'8C'!I10,"")</f>
        <v/>
      </c>
      <c r="J1460" s="82">
        <f>IF('8C'!B10&lt;&gt;"",'8C'!J10,"")</f>
        <v/>
      </c>
    </row>
    <row r="1461" ht="15.75" customHeight="1" s="52">
      <c r="A1461" s="97">
        <f>IF('8C'!B11&lt;&gt;"","8C","")</f>
        <v/>
      </c>
      <c r="B1461" s="78">
        <f>IF('8C'!B11&lt;&gt;"",'8C'!B11,"")</f>
        <v/>
      </c>
      <c r="C1461" s="78">
        <f>IF('8C'!B11&lt;&gt;"",'8C'!C11,"")</f>
        <v/>
      </c>
      <c r="D1461" s="78">
        <f>IF('8C'!B11&lt;&gt;"",'8C'!D11,"")</f>
        <v/>
      </c>
      <c r="E1461" s="78">
        <f>IF('8C'!B11&lt;&gt;"",'8C'!E11,"")</f>
        <v/>
      </c>
      <c r="F1461" s="78">
        <f>IF('8C'!B11&lt;&gt;"",'8C'!F11,"")</f>
        <v/>
      </c>
      <c r="G1461" s="78">
        <f>IF('8C'!B11&lt;&gt;"",'8C'!G11,"")</f>
        <v/>
      </c>
      <c r="H1461" s="97">
        <f>IF('8C'!B11&lt;&gt;"",'8C'!H11,"")</f>
        <v/>
      </c>
      <c r="I1461" s="97">
        <f>IF('8C'!B11&lt;&gt;"",'8C'!I11,"")</f>
        <v/>
      </c>
      <c r="J1461" s="78">
        <f>IF('8C'!B11&lt;&gt;"",'8C'!J11,"")</f>
        <v/>
      </c>
    </row>
    <row r="1462" ht="15.75" customHeight="1" s="52">
      <c r="A1462" s="92">
        <f>IF('8C'!B12&lt;&gt;"","8C","")</f>
        <v/>
      </c>
      <c r="B1462" s="82">
        <f>IF('8C'!B12&lt;&gt;"",'8C'!B12,"")</f>
        <v/>
      </c>
      <c r="C1462" s="82">
        <f>IF('8C'!B12&lt;&gt;"",'8C'!C12,"")</f>
        <v/>
      </c>
      <c r="D1462" s="82">
        <f>IF('8C'!B12&lt;&gt;"",'8C'!D12,"")</f>
        <v/>
      </c>
      <c r="E1462" s="82">
        <f>IF('8C'!B12&lt;&gt;"",'8C'!E12,"")</f>
        <v/>
      </c>
      <c r="F1462" s="82">
        <f>IF('8C'!B12&lt;&gt;"",'8C'!F12,"")</f>
        <v/>
      </c>
      <c r="G1462" s="82">
        <f>IF('8C'!B12&lt;&gt;"",'8C'!G12,"")</f>
        <v/>
      </c>
      <c r="H1462" s="92">
        <f>IF('8C'!B12&lt;&gt;"",'8C'!H12,"")</f>
        <v/>
      </c>
      <c r="I1462" s="92">
        <f>IF('8C'!B12&lt;&gt;"",'8C'!I12,"")</f>
        <v/>
      </c>
      <c r="J1462" s="82">
        <f>IF('8C'!B12&lt;&gt;"",'8C'!J12,"")</f>
        <v/>
      </c>
    </row>
    <row r="1463" ht="15.75" customHeight="1" s="52">
      <c r="A1463" s="97">
        <f>IF('8C'!B13&lt;&gt;"","8C","")</f>
        <v/>
      </c>
      <c r="B1463" s="78">
        <f>IF('8C'!B13&lt;&gt;"",'8C'!B13,"")</f>
        <v/>
      </c>
      <c r="C1463" s="78">
        <f>IF('8C'!B13&lt;&gt;"",'8C'!C13,"")</f>
        <v/>
      </c>
      <c r="D1463" s="78">
        <f>IF('8C'!B13&lt;&gt;"",'8C'!D13,"")</f>
        <v/>
      </c>
      <c r="E1463" s="78">
        <f>IF('8C'!B13&lt;&gt;"",'8C'!E13,"")</f>
        <v/>
      </c>
      <c r="F1463" s="78">
        <f>IF('8C'!B13&lt;&gt;"",'8C'!F13,"")</f>
        <v/>
      </c>
      <c r="G1463" s="78">
        <f>IF('8C'!B13&lt;&gt;"",'8C'!G13,"")</f>
        <v/>
      </c>
      <c r="H1463" s="97">
        <f>IF('8C'!B13&lt;&gt;"",'8C'!H13,"")</f>
        <v/>
      </c>
      <c r="I1463" s="97">
        <f>IF('8C'!B13&lt;&gt;"",'8C'!I13,"")</f>
        <v/>
      </c>
      <c r="J1463" s="78">
        <f>IF('8C'!B13&lt;&gt;"",'8C'!J13,"")</f>
        <v/>
      </c>
    </row>
    <row r="1464" ht="15.75" customHeight="1" s="52">
      <c r="A1464" s="92">
        <f>IF('8C'!B14&lt;&gt;"","8C","")</f>
        <v/>
      </c>
      <c r="B1464" s="82">
        <f>IF('8C'!B14&lt;&gt;"",'8C'!B14,"")</f>
        <v/>
      </c>
      <c r="C1464" s="82">
        <f>IF('8C'!B14&lt;&gt;"",'8C'!C14,"")</f>
        <v/>
      </c>
      <c r="D1464" s="82">
        <f>IF('8C'!B14&lt;&gt;"",'8C'!D14,"")</f>
        <v/>
      </c>
      <c r="E1464" s="82">
        <f>IF('8C'!B14&lt;&gt;"",'8C'!E14,"")</f>
        <v/>
      </c>
      <c r="F1464" s="82">
        <f>IF('8C'!B14&lt;&gt;"",'8C'!F14,"")</f>
        <v/>
      </c>
      <c r="G1464" s="82">
        <f>IF('8C'!B14&lt;&gt;"",'8C'!G14,"")</f>
        <v/>
      </c>
      <c r="H1464" s="92">
        <f>IF('8C'!B14&lt;&gt;"",'8C'!H14,"")</f>
        <v/>
      </c>
      <c r="I1464" s="92">
        <f>IF('8C'!B14&lt;&gt;"",'8C'!I14,"")</f>
        <v/>
      </c>
      <c r="J1464" s="82">
        <f>IF('8C'!B14&lt;&gt;"",'8C'!J14,"")</f>
        <v/>
      </c>
    </row>
    <row r="1465" ht="15.75" customHeight="1" s="52">
      <c r="A1465" s="97">
        <f>IF('8C'!B15&lt;&gt;"","8C","")</f>
        <v/>
      </c>
      <c r="B1465" s="78">
        <f>IF('8C'!B15&lt;&gt;"",'8C'!B15,"")</f>
        <v/>
      </c>
      <c r="C1465" s="78">
        <f>IF('8C'!B15&lt;&gt;"",'8C'!C15,"")</f>
        <v/>
      </c>
      <c r="D1465" s="78">
        <f>IF('8C'!B15&lt;&gt;"",'8C'!D15,"")</f>
        <v/>
      </c>
      <c r="E1465" s="78">
        <f>IF('8C'!B15&lt;&gt;"",'8C'!E15,"")</f>
        <v/>
      </c>
      <c r="F1465" s="78">
        <f>IF('8C'!B15&lt;&gt;"",'8C'!F15,"")</f>
        <v/>
      </c>
      <c r="G1465" s="78">
        <f>IF('8C'!B15&lt;&gt;"",'8C'!G15,"")</f>
        <v/>
      </c>
      <c r="H1465" s="97">
        <f>IF('8C'!B15&lt;&gt;"",'8C'!H15,"")</f>
        <v/>
      </c>
      <c r="I1465" s="97">
        <f>IF('8C'!B15&lt;&gt;"",'8C'!I15,"")</f>
        <v/>
      </c>
      <c r="J1465" s="78">
        <f>IF('8C'!B15&lt;&gt;"",'8C'!J15,"")</f>
        <v/>
      </c>
    </row>
    <row r="1466" ht="15.75" customHeight="1" s="52">
      <c r="A1466" s="92">
        <f>IF('8C'!B16&lt;&gt;"","8C","")</f>
        <v/>
      </c>
      <c r="B1466" s="82">
        <f>IF('8C'!B16&lt;&gt;"",'8C'!B16,"")</f>
        <v/>
      </c>
      <c r="C1466" s="82">
        <f>IF('8C'!B16&lt;&gt;"",'8C'!C16,"")</f>
        <v/>
      </c>
      <c r="D1466" s="82">
        <f>IF('8C'!B16&lt;&gt;"",'8C'!D16,"")</f>
        <v/>
      </c>
      <c r="E1466" s="82">
        <f>IF('8C'!B16&lt;&gt;"",'8C'!E16,"")</f>
        <v/>
      </c>
      <c r="F1466" s="82">
        <f>IF('8C'!B16&lt;&gt;"",'8C'!F16,"")</f>
        <v/>
      </c>
      <c r="G1466" s="82">
        <f>IF('8C'!B16&lt;&gt;"",'8C'!G16,"")</f>
        <v/>
      </c>
      <c r="H1466" s="92">
        <f>IF('8C'!B16&lt;&gt;"",'8C'!H16,"")</f>
        <v/>
      </c>
      <c r="I1466" s="92">
        <f>IF('8C'!B16&lt;&gt;"",'8C'!I16,"")</f>
        <v/>
      </c>
      <c r="J1466" s="82">
        <f>IF('8C'!B16&lt;&gt;"",'8C'!J16,"")</f>
        <v/>
      </c>
    </row>
    <row r="1467" ht="15.75" customHeight="1" s="52">
      <c r="A1467" s="97">
        <f>IF('8C'!B17&lt;&gt;"","8C","")</f>
        <v/>
      </c>
      <c r="B1467" s="78">
        <f>IF('8C'!B17&lt;&gt;"",'8C'!B17,"")</f>
        <v/>
      </c>
      <c r="C1467" s="78">
        <f>IF('8C'!B17&lt;&gt;"",'8C'!C17,"")</f>
        <v/>
      </c>
      <c r="D1467" s="78">
        <f>IF('8C'!B17&lt;&gt;"",'8C'!D17,"")</f>
        <v/>
      </c>
      <c r="E1467" s="78">
        <f>IF('8C'!B17&lt;&gt;"",'8C'!E17,"")</f>
        <v/>
      </c>
      <c r="F1467" s="78">
        <f>IF('8C'!B17&lt;&gt;"",'8C'!F17,"")</f>
        <v/>
      </c>
      <c r="G1467" s="78">
        <f>IF('8C'!B17&lt;&gt;"",'8C'!G17,"")</f>
        <v/>
      </c>
      <c r="H1467" s="97">
        <f>IF('8C'!B17&lt;&gt;"",'8C'!H17,"")</f>
        <v/>
      </c>
      <c r="I1467" s="97">
        <f>IF('8C'!B17&lt;&gt;"",'8C'!I17,"")</f>
        <v/>
      </c>
      <c r="J1467" s="78">
        <f>IF('8C'!B17&lt;&gt;"",'8C'!J17,"")</f>
        <v/>
      </c>
    </row>
    <row r="1468" ht="15.75" customHeight="1" s="52">
      <c r="A1468" s="92">
        <f>IF('8C'!B18&lt;&gt;"","8C","")</f>
        <v/>
      </c>
      <c r="B1468" s="82">
        <f>IF('8C'!B18&lt;&gt;"",'8C'!B18,"")</f>
        <v/>
      </c>
      <c r="C1468" s="82">
        <f>IF('8C'!B18&lt;&gt;"",'8C'!C18,"")</f>
        <v/>
      </c>
      <c r="D1468" s="82">
        <f>IF('8C'!B18&lt;&gt;"",'8C'!D18,"")</f>
        <v/>
      </c>
      <c r="E1468" s="82">
        <f>IF('8C'!B18&lt;&gt;"",'8C'!E18,"")</f>
        <v/>
      </c>
      <c r="F1468" s="82">
        <f>IF('8C'!B18&lt;&gt;"",'8C'!F18,"")</f>
        <v/>
      </c>
      <c r="G1468" s="82">
        <f>IF('8C'!B18&lt;&gt;"",'8C'!G18,"")</f>
        <v/>
      </c>
      <c r="H1468" s="92">
        <f>IF('8C'!B18&lt;&gt;"",'8C'!H18,"")</f>
        <v/>
      </c>
      <c r="I1468" s="92">
        <f>IF('8C'!B18&lt;&gt;"",'8C'!I18,"")</f>
        <v/>
      </c>
      <c r="J1468" s="82">
        <f>IF('8C'!B18&lt;&gt;"",'8C'!J18,"")</f>
        <v/>
      </c>
    </row>
    <row r="1469" ht="15.75" customHeight="1" s="52">
      <c r="A1469" s="97">
        <f>IF('8C'!B19&lt;&gt;"","8C","")</f>
        <v/>
      </c>
      <c r="B1469" s="78">
        <f>IF('8C'!B19&lt;&gt;"",'8C'!B19,"")</f>
        <v/>
      </c>
      <c r="C1469" s="78">
        <f>IF('8C'!B19&lt;&gt;"",'8C'!C19,"")</f>
        <v/>
      </c>
      <c r="D1469" s="78">
        <f>IF('8C'!B19&lt;&gt;"",'8C'!D19,"")</f>
        <v/>
      </c>
      <c r="E1469" s="78">
        <f>IF('8C'!B19&lt;&gt;"",'8C'!E19,"")</f>
        <v/>
      </c>
      <c r="F1469" s="78">
        <f>IF('8C'!B19&lt;&gt;"",'8C'!F19,"")</f>
        <v/>
      </c>
      <c r="G1469" s="78">
        <f>IF('8C'!B19&lt;&gt;"",'8C'!G19,"")</f>
        <v/>
      </c>
      <c r="H1469" s="97">
        <f>IF('8C'!B19&lt;&gt;"",'8C'!H19,"")</f>
        <v/>
      </c>
      <c r="I1469" s="97">
        <f>IF('8C'!B19&lt;&gt;"",'8C'!I19,"")</f>
        <v/>
      </c>
      <c r="J1469" s="78">
        <f>IF('8C'!B19&lt;&gt;"",'8C'!J19,"")</f>
        <v/>
      </c>
    </row>
    <row r="1470" ht="15.75" customHeight="1" s="52">
      <c r="A1470" s="92">
        <f>IF('8C'!B20&lt;&gt;"","8C","")</f>
        <v/>
      </c>
      <c r="B1470" s="82">
        <f>IF('8C'!B20&lt;&gt;"",'8C'!B20,"")</f>
        <v/>
      </c>
      <c r="C1470" s="82">
        <f>IF('8C'!B20&lt;&gt;"",'8C'!C20,"")</f>
        <v/>
      </c>
      <c r="D1470" s="82">
        <f>IF('8C'!B20&lt;&gt;"",'8C'!D20,"")</f>
        <v/>
      </c>
      <c r="E1470" s="82">
        <f>IF('8C'!B20&lt;&gt;"",'8C'!E20,"")</f>
        <v/>
      </c>
      <c r="F1470" s="82">
        <f>IF('8C'!B20&lt;&gt;"",'8C'!F20,"")</f>
        <v/>
      </c>
      <c r="G1470" s="82">
        <f>IF('8C'!B20&lt;&gt;"",'8C'!G20,"")</f>
        <v/>
      </c>
      <c r="H1470" s="92">
        <f>IF('8C'!B20&lt;&gt;"",'8C'!H20,"")</f>
        <v/>
      </c>
      <c r="I1470" s="92">
        <f>IF('8C'!B20&lt;&gt;"",'8C'!I20,"")</f>
        <v/>
      </c>
      <c r="J1470" s="82">
        <f>IF('8C'!B20&lt;&gt;"",'8C'!J20,"")</f>
        <v/>
      </c>
    </row>
    <row r="1471" ht="15.75" customHeight="1" s="52">
      <c r="A1471" s="97">
        <f>IF('8C'!B21&lt;&gt;"","8C","")</f>
        <v/>
      </c>
      <c r="B1471" s="78">
        <f>IF('8C'!B21&lt;&gt;"",'8C'!B21,"")</f>
        <v/>
      </c>
      <c r="C1471" s="78">
        <f>IF('8C'!B21&lt;&gt;"",'8C'!C21,"")</f>
        <v/>
      </c>
      <c r="D1471" s="78">
        <f>IF('8C'!B21&lt;&gt;"",'8C'!D21,"")</f>
        <v/>
      </c>
      <c r="E1471" s="78">
        <f>IF('8C'!B21&lt;&gt;"",'8C'!E21,"")</f>
        <v/>
      </c>
      <c r="F1471" s="78">
        <f>IF('8C'!B21&lt;&gt;"",'8C'!F21,"")</f>
        <v/>
      </c>
      <c r="G1471" s="78">
        <f>IF('8C'!B21&lt;&gt;"",'8C'!G21,"")</f>
        <v/>
      </c>
      <c r="H1471" s="97">
        <f>IF('8C'!B21&lt;&gt;"",'8C'!H21,"")</f>
        <v/>
      </c>
      <c r="I1471" s="97">
        <f>IF('8C'!B21&lt;&gt;"",'8C'!I21,"")</f>
        <v/>
      </c>
      <c r="J1471" s="78">
        <f>IF('8C'!B21&lt;&gt;"",'8C'!J21,"")</f>
        <v/>
      </c>
    </row>
    <row r="1472" ht="15.75" customHeight="1" s="52">
      <c r="A1472" s="92">
        <f>IF('8C'!B22&lt;&gt;"","8C","")</f>
        <v/>
      </c>
      <c r="B1472" s="82">
        <f>IF('8C'!B22&lt;&gt;"",'8C'!B22,"")</f>
        <v/>
      </c>
      <c r="C1472" s="82">
        <f>IF('8C'!B22&lt;&gt;"",'8C'!C22,"")</f>
        <v/>
      </c>
      <c r="D1472" s="82">
        <f>IF('8C'!B22&lt;&gt;"",'8C'!D22,"")</f>
        <v/>
      </c>
      <c r="E1472" s="82">
        <f>IF('8C'!B22&lt;&gt;"",'8C'!E22,"")</f>
        <v/>
      </c>
      <c r="F1472" s="82">
        <f>IF('8C'!B22&lt;&gt;"",'8C'!F22,"")</f>
        <v/>
      </c>
      <c r="G1472" s="82">
        <f>IF('8C'!B22&lt;&gt;"",'8C'!G22,"")</f>
        <v/>
      </c>
      <c r="H1472" s="92">
        <f>IF('8C'!B22&lt;&gt;"",'8C'!H22,"")</f>
        <v/>
      </c>
      <c r="I1472" s="92">
        <f>IF('8C'!B22&lt;&gt;"",'8C'!I22,"")</f>
        <v/>
      </c>
      <c r="J1472" s="82">
        <f>IF('8C'!B22&lt;&gt;"",'8C'!J22,"")</f>
        <v/>
      </c>
    </row>
    <row r="1473" ht="15.75" customHeight="1" s="52">
      <c r="A1473" s="97">
        <f>IF('8C'!B23&lt;&gt;"","8C","")</f>
        <v/>
      </c>
      <c r="B1473" s="78">
        <f>IF('8C'!B23&lt;&gt;"",'8C'!B23,"")</f>
        <v/>
      </c>
      <c r="C1473" s="78">
        <f>IF('8C'!B23&lt;&gt;"",'8C'!C23,"")</f>
        <v/>
      </c>
      <c r="D1473" s="78">
        <f>IF('8C'!B23&lt;&gt;"",'8C'!D23,"")</f>
        <v/>
      </c>
      <c r="E1473" s="78">
        <f>IF('8C'!B23&lt;&gt;"",'8C'!E23,"")</f>
        <v/>
      </c>
      <c r="F1473" s="78">
        <f>IF('8C'!B23&lt;&gt;"",'8C'!F23,"")</f>
        <v/>
      </c>
      <c r="G1473" s="78">
        <f>IF('8C'!B23&lt;&gt;"",'8C'!G23,"")</f>
        <v/>
      </c>
      <c r="H1473" s="97">
        <f>IF('8C'!B23&lt;&gt;"",'8C'!H23,"")</f>
        <v/>
      </c>
      <c r="I1473" s="97">
        <f>IF('8C'!B23&lt;&gt;"",'8C'!I23,"")</f>
        <v/>
      </c>
      <c r="J1473" s="78">
        <f>IF('8C'!B23&lt;&gt;"",'8C'!J23,"")</f>
        <v/>
      </c>
    </row>
    <row r="1474" ht="15.75" customHeight="1" s="52">
      <c r="A1474" s="92">
        <f>IF('8C'!B24&lt;&gt;"","8C","")</f>
        <v/>
      </c>
      <c r="B1474" s="82">
        <f>IF('8C'!B24&lt;&gt;"",'8C'!B24,"")</f>
        <v/>
      </c>
      <c r="C1474" s="82">
        <f>IF('8C'!B24&lt;&gt;"",'8C'!C24,"")</f>
        <v/>
      </c>
      <c r="D1474" s="82">
        <f>IF('8C'!B24&lt;&gt;"",'8C'!D24,"")</f>
        <v/>
      </c>
      <c r="E1474" s="82">
        <f>IF('8C'!B24&lt;&gt;"",'8C'!E24,"")</f>
        <v/>
      </c>
      <c r="F1474" s="82">
        <f>IF('8C'!B24&lt;&gt;"",'8C'!F24,"")</f>
        <v/>
      </c>
      <c r="G1474" s="82">
        <f>IF('8C'!B24&lt;&gt;"",'8C'!G24,"")</f>
        <v/>
      </c>
      <c r="H1474" s="92">
        <f>IF('8C'!B24&lt;&gt;"",'8C'!H24,"")</f>
        <v/>
      </c>
      <c r="I1474" s="92">
        <f>IF('8C'!B24&lt;&gt;"",'8C'!I24,"")</f>
        <v/>
      </c>
      <c r="J1474" s="82">
        <f>IF('8C'!B24&lt;&gt;"",'8C'!J24,"")</f>
        <v/>
      </c>
    </row>
    <row r="1475" ht="15.75" customHeight="1" s="52">
      <c r="A1475" s="97">
        <f>IF('8C'!B25&lt;&gt;"","8C","")</f>
        <v/>
      </c>
      <c r="B1475" s="78">
        <f>IF('8C'!B25&lt;&gt;"",'8C'!B25,"")</f>
        <v/>
      </c>
      <c r="C1475" s="78">
        <f>IF('8C'!B25&lt;&gt;"",'8C'!C25,"")</f>
        <v/>
      </c>
      <c r="D1475" s="78">
        <f>IF('8C'!B25&lt;&gt;"",'8C'!D25,"")</f>
        <v/>
      </c>
      <c r="E1475" s="78">
        <f>IF('8C'!B25&lt;&gt;"",'8C'!E25,"")</f>
        <v/>
      </c>
      <c r="F1475" s="78">
        <f>IF('8C'!B25&lt;&gt;"",'8C'!F25,"")</f>
        <v/>
      </c>
      <c r="G1475" s="78">
        <f>IF('8C'!B25&lt;&gt;"",'8C'!G25,"")</f>
        <v/>
      </c>
      <c r="H1475" s="97">
        <f>IF('8C'!B25&lt;&gt;"",'8C'!H25,"")</f>
        <v/>
      </c>
      <c r="I1475" s="97">
        <f>IF('8C'!B25&lt;&gt;"",'8C'!I25,"")</f>
        <v/>
      </c>
      <c r="J1475" s="78">
        <f>IF('8C'!B25&lt;&gt;"",'8C'!J25,"")</f>
        <v/>
      </c>
    </row>
    <row r="1476" ht="15.75" customHeight="1" s="52">
      <c r="A1476" s="92">
        <f>IF('8C'!B26&lt;&gt;"","8C","")</f>
        <v/>
      </c>
      <c r="B1476" s="82">
        <f>IF('8C'!B26&lt;&gt;"",'8C'!B26,"")</f>
        <v/>
      </c>
      <c r="C1476" s="82">
        <f>IF('8C'!B26&lt;&gt;"",'8C'!C26,"")</f>
        <v/>
      </c>
      <c r="D1476" s="82">
        <f>IF('8C'!B26&lt;&gt;"",'8C'!D26,"")</f>
        <v/>
      </c>
      <c r="E1476" s="82">
        <f>IF('8C'!B26&lt;&gt;"",'8C'!E26,"")</f>
        <v/>
      </c>
      <c r="F1476" s="82">
        <f>IF('8C'!B26&lt;&gt;"",'8C'!F26,"")</f>
        <v/>
      </c>
      <c r="G1476" s="82">
        <f>IF('8C'!B26&lt;&gt;"",'8C'!G26,"")</f>
        <v/>
      </c>
      <c r="H1476" s="92">
        <f>IF('8C'!B26&lt;&gt;"",'8C'!H26,"")</f>
        <v/>
      </c>
      <c r="I1476" s="92">
        <f>IF('8C'!B26&lt;&gt;"",'8C'!I26,"")</f>
        <v/>
      </c>
      <c r="J1476" s="82">
        <f>IF('8C'!B26&lt;&gt;"",'8C'!J26,"")</f>
        <v/>
      </c>
    </row>
    <row r="1477" ht="15.75" customHeight="1" s="52">
      <c r="A1477" s="97">
        <f>IF('8C'!B27&lt;&gt;"","8C","")</f>
        <v/>
      </c>
      <c r="B1477" s="78">
        <f>IF('8C'!B27&lt;&gt;"",'8C'!B27,"")</f>
        <v/>
      </c>
      <c r="C1477" s="78">
        <f>IF('8C'!B27&lt;&gt;"",'8C'!C27,"")</f>
        <v/>
      </c>
      <c r="D1477" s="78">
        <f>IF('8C'!B27&lt;&gt;"",'8C'!D27,"")</f>
        <v/>
      </c>
      <c r="E1477" s="78">
        <f>IF('8C'!B27&lt;&gt;"",'8C'!E27,"")</f>
        <v/>
      </c>
      <c r="F1477" s="78">
        <f>IF('8C'!B27&lt;&gt;"",'8C'!F27,"")</f>
        <v/>
      </c>
      <c r="G1477" s="78">
        <f>IF('8C'!B27&lt;&gt;"",'8C'!G27,"")</f>
        <v/>
      </c>
      <c r="H1477" s="97">
        <f>IF('8C'!B27&lt;&gt;"",'8C'!H27,"")</f>
        <v/>
      </c>
      <c r="I1477" s="97">
        <f>IF('8C'!B27&lt;&gt;"",'8C'!I27,"")</f>
        <v/>
      </c>
      <c r="J1477" s="78">
        <f>IF('8C'!B27&lt;&gt;"",'8C'!J27,"")</f>
        <v/>
      </c>
    </row>
    <row r="1478" ht="15.75" customHeight="1" s="52">
      <c r="A1478" s="92">
        <f>IF('8C'!B28&lt;&gt;"","8C","")</f>
        <v/>
      </c>
      <c r="B1478" s="82">
        <f>IF('8C'!B28&lt;&gt;"",'8C'!B28,"")</f>
        <v/>
      </c>
      <c r="C1478" s="82">
        <f>IF('8C'!B28&lt;&gt;"",'8C'!C28,"")</f>
        <v/>
      </c>
      <c r="D1478" s="82">
        <f>IF('8C'!B28&lt;&gt;"",'8C'!D28,"")</f>
        <v/>
      </c>
      <c r="E1478" s="82">
        <f>IF('8C'!B28&lt;&gt;"",'8C'!E28,"")</f>
        <v/>
      </c>
      <c r="F1478" s="82">
        <f>IF('8C'!B28&lt;&gt;"",'8C'!F28,"")</f>
        <v/>
      </c>
      <c r="G1478" s="82">
        <f>IF('8C'!B28&lt;&gt;"",'8C'!G28,"")</f>
        <v/>
      </c>
      <c r="H1478" s="92">
        <f>IF('8C'!B28&lt;&gt;"",'8C'!H28,"")</f>
        <v/>
      </c>
      <c r="I1478" s="92">
        <f>IF('8C'!B28&lt;&gt;"",'8C'!I28,"")</f>
        <v/>
      </c>
      <c r="J1478" s="82">
        <f>IF('8C'!B28&lt;&gt;"",'8C'!J28,"")</f>
        <v/>
      </c>
    </row>
    <row r="1479" ht="15.75" customHeight="1" s="52">
      <c r="A1479" s="97">
        <f>IF('8C'!B29&lt;&gt;"","8C","")</f>
        <v/>
      </c>
      <c r="B1479" s="78">
        <f>IF('8C'!B29&lt;&gt;"",'8C'!B29,"")</f>
        <v/>
      </c>
      <c r="C1479" s="78">
        <f>IF('8C'!B29&lt;&gt;"",'8C'!C29,"")</f>
        <v/>
      </c>
      <c r="D1479" s="78">
        <f>IF('8C'!B29&lt;&gt;"",'8C'!D29,"")</f>
        <v/>
      </c>
      <c r="E1479" s="78">
        <f>IF('8C'!B29&lt;&gt;"",'8C'!E29,"")</f>
        <v/>
      </c>
      <c r="F1479" s="78">
        <f>IF('8C'!B29&lt;&gt;"",'8C'!F29,"")</f>
        <v/>
      </c>
      <c r="G1479" s="78">
        <f>IF('8C'!B29&lt;&gt;"",'8C'!G29,"")</f>
        <v/>
      </c>
      <c r="H1479" s="97">
        <f>IF('8C'!B29&lt;&gt;"",'8C'!H29,"")</f>
        <v/>
      </c>
      <c r="I1479" s="97">
        <f>IF('8C'!B29&lt;&gt;"",'8C'!I29,"")</f>
        <v/>
      </c>
      <c r="J1479" s="78">
        <f>IF('8C'!B29&lt;&gt;"",'8C'!J29,"")</f>
        <v/>
      </c>
    </row>
    <row r="1480" ht="15.75" customHeight="1" s="52">
      <c r="A1480" s="92">
        <f>IF('8C'!B30&lt;&gt;"","8C","")</f>
        <v/>
      </c>
      <c r="B1480" s="82">
        <f>IF('8C'!B30&lt;&gt;"",'8C'!B30,"")</f>
        <v/>
      </c>
      <c r="C1480" s="82">
        <f>IF('8C'!B30&lt;&gt;"",'8C'!C30,"")</f>
        <v/>
      </c>
      <c r="D1480" s="82">
        <f>IF('8C'!B30&lt;&gt;"",'8C'!D30,"")</f>
        <v/>
      </c>
      <c r="E1480" s="82">
        <f>IF('8C'!B30&lt;&gt;"",'8C'!E30,"")</f>
        <v/>
      </c>
      <c r="F1480" s="82">
        <f>IF('8C'!B30&lt;&gt;"",'8C'!F30,"")</f>
        <v/>
      </c>
      <c r="G1480" s="82">
        <f>IF('8C'!B30&lt;&gt;"",'8C'!G30,"")</f>
        <v/>
      </c>
      <c r="H1480" s="92">
        <f>IF('8C'!B30&lt;&gt;"",'8C'!H30,"")</f>
        <v/>
      </c>
      <c r="I1480" s="92">
        <f>IF('8C'!B30&lt;&gt;"",'8C'!I30,"")</f>
        <v/>
      </c>
      <c r="J1480" s="82">
        <f>IF('8C'!B30&lt;&gt;"",'8C'!J30,"")</f>
        <v/>
      </c>
    </row>
    <row r="1481" ht="15.75" customHeight="1" s="52">
      <c r="A1481" s="97">
        <f>IF('8C'!B31&lt;&gt;"","8C","")</f>
        <v/>
      </c>
      <c r="B1481" s="78">
        <f>IF('8C'!B31&lt;&gt;"",'8C'!B31,"")</f>
        <v/>
      </c>
      <c r="C1481" s="78">
        <f>IF('8C'!B31&lt;&gt;"",'8C'!C31,"")</f>
        <v/>
      </c>
      <c r="D1481" s="78">
        <f>IF('8C'!B31&lt;&gt;"",'8C'!D31,"")</f>
        <v/>
      </c>
      <c r="E1481" s="78">
        <f>IF('8C'!B31&lt;&gt;"",'8C'!E31,"")</f>
        <v/>
      </c>
      <c r="F1481" s="78">
        <f>IF('8C'!B31&lt;&gt;"",'8C'!F31,"")</f>
        <v/>
      </c>
      <c r="G1481" s="78">
        <f>IF('8C'!B31&lt;&gt;"",'8C'!G31,"")</f>
        <v/>
      </c>
      <c r="H1481" s="97">
        <f>IF('8C'!B31&lt;&gt;"",'8C'!H31,"")</f>
        <v/>
      </c>
      <c r="I1481" s="97">
        <f>IF('8C'!B31&lt;&gt;"",'8C'!I31,"")</f>
        <v/>
      </c>
      <c r="J1481" s="78">
        <f>IF('8C'!B31&lt;&gt;"",'8C'!J31,"")</f>
        <v/>
      </c>
    </row>
    <row r="1482" ht="15.75" customHeight="1" s="52">
      <c r="A1482" s="92">
        <f>IF('8C'!B32&lt;&gt;"","8C","")</f>
        <v/>
      </c>
      <c r="B1482" s="82">
        <f>IF('8C'!B32&lt;&gt;"",'8C'!B32,"")</f>
        <v/>
      </c>
      <c r="C1482" s="82">
        <f>IF('8C'!B32&lt;&gt;"",'8C'!C32,"")</f>
        <v/>
      </c>
      <c r="D1482" s="82">
        <f>IF('8C'!B32&lt;&gt;"",'8C'!D32,"")</f>
        <v/>
      </c>
      <c r="E1482" s="82">
        <f>IF('8C'!B32&lt;&gt;"",'8C'!E32,"")</f>
        <v/>
      </c>
      <c r="F1482" s="82">
        <f>IF('8C'!B32&lt;&gt;"",'8C'!F32,"")</f>
        <v/>
      </c>
      <c r="G1482" s="82">
        <f>IF('8C'!B32&lt;&gt;"",'8C'!G32,"")</f>
        <v/>
      </c>
      <c r="H1482" s="92">
        <f>IF('8C'!B32&lt;&gt;"",'8C'!H32,"")</f>
        <v/>
      </c>
      <c r="I1482" s="92">
        <f>IF('8C'!B32&lt;&gt;"",'8C'!I32,"")</f>
        <v/>
      </c>
      <c r="J1482" s="82">
        <f>IF('8C'!B32&lt;&gt;"",'8C'!J32,"")</f>
        <v/>
      </c>
    </row>
    <row r="1483" ht="15.75" customHeight="1" s="52">
      <c r="A1483" s="97">
        <f>IF('8C'!B33&lt;&gt;"","8C","")</f>
        <v/>
      </c>
      <c r="B1483" s="78">
        <f>IF('8C'!B33&lt;&gt;"",'8C'!B33,"")</f>
        <v/>
      </c>
      <c r="C1483" s="78">
        <f>IF('8C'!B33&lt;&gt;"",'8C'!C33,"")</f>
        <v/>
      </c>
      <c r="D1483" s="78">
        <f>IF('8C'!B33&lt;&gt;"",'8C'!D33,"")</f>
        <v/>
      </c>
      <c r="E1483" s="78">
        <f>IF('8C'!B33&lt;&gt;"",'8C'!E33,"")</f>
        <v/>
      </c>
      <c r="F1483" s="78">
        <f>IF('8C'!B33&lt;&gt;"",'8C'!F33,"")</f>
        <v/>
      </c>
      <c r="G1483" s="78">
        <f>IF('8C'!B33&lt;&gt;"",'8C'!G33,"")</f>
        <v/>
      </c>
      <c r="H1483" s="97">
        <f>IF('8C'!B33&lt;&gt;"",'8C'!H33,"")</f>
        <v/>
      </c>
      <c r="I1483" s="97">
        <f>IF('8C'!B33&lt;&gt;"",'8C'!I33,"")</f>
        <v/>
      </c>
      <c r="J1483" s="78">
        <f>IF('8C'!B33&lt;&gt;"",'8C'!J33,"")</f>
        <v/>
      </c>
    </row>
    <row r="1484" ht="15.75" customHeight="1" s="52">
      <c r="A1484" s="92">
        <f>IF('8C'!B34&lt;&gt;"","8C","")</f>
        <v/>
      </c>
      <c r="B1484" s="82">
        <f>IF('8C'!B34&lt;&gt;"",'8C'!B34,"")</f>
        <v/>
      </c>
      <c r="C1484" s="82">
        <f>IF('8C'!B34&lt;&gt;"",'8C'!C34,"")</f>
        <v/>
      </c>
      <c r="D1484" s="82">
        <f>IF('8C'!B34&lt;&gt;"",'8C'!D34,"")</f>
        <v/>
      </c>
      <c r="E1484" s="82">
        <f>IF('8C'!B34&lt;&gt;"",'8C'!E34,"")</f>
        <v/>
      </c>
      <c r="F1484" s="82">
        <f>IF('8C'!B34&lt;&gt;"",'8C'!F34,"")</f>
        <v/>
      </c>
      <c r="G1484" s="82">
        <f>IF('8C'!B34&lt;&gt;"",'8C'!G34,"")</f>
        <v/>
      </c>
      <c r="H1484" s="92">
        <f>IF('8C'!B34&lt;&gt;"",'8C'!H34,"")</f>
        <v/>
      </c>
      <c r="I1484" s="92">
        <f>IF('8C'!B34&lt;&gt;"",'8C'!I34,"")</f>
        <v/>
      </c>
      <c r="J1484" s="82">
        <f>IF('8C'!B34&lt;&gt;"",'8C'!J34,"")</f>
        <v/>
      </c>
    </row>
    <row r="1485" ht="15.75" customHeight="1" s="52">
      <c r="A1485" s="97">
        <f>IF('8C'!B35&lt;&gt;"","8C","")</f>
        <v/>
      </c>
      <c r="B1485" s="78">
        <f>IF('8C'!B35&lt;&gt;"",'8C'!B35,"")</f>
        <v/>
      </c>
      <c r="C1485" s="78">
        <f>IF('8C'!B35&lt;&gt;"",'8C'!C35,"")</f>
        <v/>
      </c>
      <c r="D1485" s="78">
        <f>IF('8C'!B35&lt;&gt;"",'8C'!D35,"")</f>
        <v/>
      </c>
      <c r="E1485" s="78">
        <f>IF('8C'!B35&lt;&gt;"",'8C'!E35,"")</f>
        <v/>
      </c>
      <c r="F1485" s="78">
        <f>IF('8C'!B35&lt;&gt;"",'8C'!F35,"")</f>
        <v/>
      </c>
      <c r="G1485" s="78">
        <f>IF('8C'!B35&lt;&gt;"",'8C'!G35,"")</f>
        <v/>
      </c>
      <c r="H1485" s="97">
        <f>IF('8C'!B35&lt;&gt;"",'8C'!H35,"")</f>
        <v/>
      </c>
      <c r="I1485" s="97">
        <f>IF('8C'!B35&lt;&gt;"",'8C'!I35,"")</f>
        <v/>
      </c>
      <c r="J1485" s="78">
        <f>IF('8C'!B35&lt;&gt;"",'8C'!J35,"")</f>
        <v/>
      </c>
    </row>
    <row r="1486" ht="15.75" customHeight="1" s="52">
      <c r="A1486" s="92">
        <f>IF('8C'!B36&lt;&gt;"","8C","")</f>
        <v/>
      </c>
      <c r="B1486" s="82">
        <f>IF('8C'!B36&lt;&gt;"",'8C'!B36,"")</f>
        <v/>
      </c>
      <c r="C1486" s="82">
        <f>IF('8C'!B36&lt;&gt;"",'8C'!C36,"")</f>
        <v/>
      </c>
      <c r="D1486" s="82">
        <f>IF('8C'!B36&lt;&gt;"",'8C'!D36,"")</f>
        <v/>
      </c>
      <c r="E1486" s="82">
        <f>IF('8C'!B36&lt;&gt;"",'8C'!E36,"")</f>
        <v/>
      </c>
      <c r="F1486" s="82">
        <f>IF('8C'!B36&lt;&gt;"",'8C'!F36,"")</f>
        <v/>
      </c>
      <c r="G1486" s="82">
        <f>IF('8C'!B36&lt;&gt;"",'8C'!G36,"")</f>
        <v/>
      </c>
      <c r="H1486" s="92">
        <f>IF('8C'!B36&lt;&gt;"",'8C'!H36,"")</f>
        <v/>
      </c>
      <c r="I1486" s="92">
        <f>IF('8C'!B36&lt;&gt;"",'8C'!I36,"")</f>
        <v/>
      </c>
      <c r="J1486" s="82">
        <f>IF('8C'!B36&lt;&gt;"",'8C'!J36,"")</f>
        <v/>
      </c>
    </row>
    <row r="1487" ht="15.75" customHeight="1" s="52">
      <c r="A1487" s="97">
        <f>IF('8C'!B37&lt;&gt;"","8C","")</f>
        <v/>
      </c>
      <c r="B1487" s="78">
        <f>IF('8C'!B37&lt;&gt;"",'8C'!B37,"")</f>
        <v/>
      </c>
      <c r="C1487" s="78">
        <f>IF('8C'!B37&lt;&gt;"",'8C'!C37,"")</f>
        <v/>
      </c>
      <c r="D1487" s="78">
        <f>IF('8C'!B37&lt;&gt;"",'8C'!D37,"")</f>
        <v/>
      </c>
      <c r="E1487" s="78">
        <f>IF('8C'!B37&lt;&gt;"",'8C'!E37,"")</f>
        <v/>
      </c>
      <c r="F1487" s="78">
        <f>IF('8C'!B37&lt;&gt;"",'8C'!F37,"")</f>
        <v/>
      </c>
      <c r="G1487" s="78">
        <f>IF('8C'!B37&lt;&gt;"",'8C'!G37,"")</f>
        <v/>
      </c>
      <c r="H1487" s="97">
        <f>IF('8C'!B37&lt;&gt;"",'8C'!H37,"")</f>
        <v/>
      </c>
      <c r="I1487" s="97">
        <f>IF('8C'!B37&lt;&gt;"",'8C'!I37,"")</f>
        <v/>
      </c>
      <c r="J1487" s="78">
        <f>IF('8C'!B37&lt;&gt;"",'8C'!J37,"")</f>
        <v/>
      </c>
    </row>
    <row r="1488" ht="15.75" customHeight="1" s="52">
      <c r="A1488" s="92">
        <f>IF('8C'!B38&lt;&gt;"","8C","")</f>
        <v/>
      </c>
      <c r="B1488" s="82">
        <f>IF('8C'!B38&lt;&gt;"",'8C'!B38,"")</f>
        <v/>
      </c>
      <c r="C1488" s="82">
        <f>IF('8C'!B38&lt;&gt;"",'8C'!C38,"")</f>
        <v/>
      </c>
      <c r="D1488" s="82">
        <f>IF('8C'!B38&lt;&gt;"",'8C'!D38,"")</f>
        <v/>
      </c>
      <c r="E1488" s="82">
        <f>IF('8C'!B38&lt;&gt;"",'8C'!E38,"")</f>
        <v/>
      </c>
      <c r="F1488" s="82">
        <f>IF('8C'!B38&lt;&gt;"",'8C'!F38,"")</f>
        <v/>
      </c>
      <c r="G1488" s="82">
        <f>IF('8C'!B38&lt;&gt;"",'8C'!G38,"")</f>
        <v/>
      </c>
      <c r="H1488" s="92">
        <f>IF('8C'!B38&lt;&gt;"",'8C'!H38,"")</f>
        <v/>
      </c>
      <c r="I1488" s="92">
        <f>IF('8C'!B38&lt;&gt;"",'8C'!I38,"")</f>
        <v/>
      </c>
      <c r="J1488" s="82">
        <f>IF('8C'!B38&lt;&gt;"",'8C'!J38,"")</f>
        <v/>
      </c>
    </row>
    <row r="1489" ht="15.75" customHeight="1" s="52">
      <c r="A1489" s="97">
        <f>IF('8C'!B39&lt;&gt;"","8C","")</f>
        <v/>
      </c>
      <c r="B1489" s="78">
        <f>IF('8C'!B39&lt;&gt;"",'8C'!B39,"")</f>
        <v/>
      </c>
      <c r="C1489" s="78">
        <f>IF('8C'!B39&lt;&gt;"",'8C'!C39,"")</f>
        <v/>
      </c>
      <c r="D1489" s="78">
        <f>IF('8C'!B39&lt;&gt;"",'8C'!D39,"")</f>
        <v/>
      </c>
      <c r="E1489" s="78">
        <f>IF('8C'!B39&lt;&gt;"",'8C'!E39,"")</f>
        <v/>
      </c>
      <c r="F1489" s="78">
        <f>IF('8C'!B39&lt;&gt;"",'8C'!F39,"")</f>
        <v/>
      </c>
      <c r="G1489" s="78">
        <f>IF('8C'!B39&lt;&gt;"",'8C'!G39,"")</f>
        <v/>
      </c>
      <c r="H1489" s="97">
        <f>IF('8C'!B39&lt;&gt;"",'8C'!H39,"")</f>
        <v/>
      </c>
      <c r="I1489" s="97">
        <f>IF('8C'!B39&lt;&gt;"",'8C'!I39,"")</f>
        <v/>
      </c>
      <c r="J1489" s="78">
        <f>IF('8C'!B39&lt;&gt;"",'8C'!J39,"")</f>
        <v/>
      </c>
    </row>
    <row r="1490" ht="15.75" customHeight="1" s="52">
      <c r="A1490" s="92">
        <f>IF('8C'!B40&lt;&gt;"","8C","")</f>
        <v/>
      </c>
      <c r="B1490" s="82">
        <f>IF('8C'!B40&lt;&gt;"",'8C'!B40,"")</f>
        <v/>
      </c>
      <c r="C1490" s="82">
        <f>IF('8C'!B40&lt;&gt;"",'8C'!C40,"")</f>
        <v/>
      </c>
      <c r="D1490" s="82">
        <f>IF('8C'!B40&lt;&gt;"",'8C'!D40,"")</f>
        <v/>
      </c>
      <c r="E1490" s="82">
        <f>IF('8C'!B40&lt;&gt;"",'8C'!E40,"")</f>
        <v/>
      </c>
      <c r="F1490" s="82">
        <f>IF('8C'!B40&lt;&gt;"",'8C'!F40,"")</f>
        <v/>
      </c>
      <c r="G1490" s="82">
        <f>IF('8C'!B40&lt;&gt;"",'8C'!G40,"")</f>
        <v/>
      </c>
      <c r="H1490" s="92">
        <f>IF('8C'!B40&lt;&gt;"",'8C'!H40,"")</f>
        <v/>
      </c>
      <c r="I1490" s="92">
        <f>IF('8C'!B40&lt;&gt;"",'8C'!I40,"")</f>
        <v/>
      </c>
      <c r="J1490" s="82">
        <f>IF('8C'!B40&lt;&gt;"",'8C'!J40,"")</f>
        <v/>
      </c>
    </row>
    <row r="1491" ht="15.75" customHeight="1" s="52">
      <c r="A1491" s="97">
        <f>IF('8C'!B41&lt;&gt;"","8C","")</f>
        <v/>
      </c>
      <c r="B1491" s="78">
        <f>IF('8C'!B41&lt;&gt;"",'8C'!B41,"")</f>
        <v/>
      </c>
      <c r="C1491" s="78">
        <f>IF('8C'!B41&lt;&gt;"",'8C'!C41,"")</f>
        <v/>
      </c>
      <c r="D1491" s="78">
        <f>IF('8C'!B41&lt;&gt;"",'8C'!D41,"")</f>
        <v/>
      </c>
      <c r="E1491" s="78">
        <f>IF('8C'!B41&lt;&gt;"",'8C'!E41,"")</f>
        <v/>
      </c>
      <c r="F1491" s="78">
        <f>IF('8C'!B41&lt;&gt;"",'8C'!F41,"")</f>
        <v/>
      </c>
      <c r="G1491" s="78">
        <f>IF('8C'!B41&lt;&gt;"",'8C'!G41,"")</f>
        <v/>
      </c>
      <c r="H1491" s="97">
        <f>IF('8C'!B41&lt;&gt;"",'8C'!H41,"")</f>
        <v/>
      </c>
      <c r="I1491" s="97">
        <f>IF('8C'!B41&lt;&gt;"",'8C'!I41,"")</f>
        <v/>
      </c>
      <c r="J1491" s="78">
        <f>IF('8C'!B41&lt;&gt;"",'8C'!J41,"")</f>
        <v/>
      </c>
    </row>
    <row r="1492" ht="15.75" customHeight="1" s="52">
      <c r="A1492" s="92">
        <f>IF('8C'!B42&lt;&gt;"","8C","")</f>
        <v/>
      </c>
      <c r="B1492" s="82">
        <f>IF('8C'!B42&lt;&gt;"",'8C'!B42,"")</f>
        <v/>
      </c>
      <c r="C1492" s="82">
        <f>IF('8C'!B42&lt;&gt;"",'8C'!C42,"")</f>
        <v/>
      </c>
      <c r="D1492" s="82">
        <f>IF('8C'!B42&lt;&gt;"",'8C'!D42,"")</f>
        <v/>
      </c>
      <c r="E1492" s="82">
        <f>IF('8C'!B42&lt;&gt;"",'8C'!E42,"")</f>
        <v/>
      </c>
      <c r="F1492" s="82">
        <f>IF('8C'!B42&lt;&gt;"",'8C'!F42,"")</f>
        <v/>
      </c>
      <c r="G1492" s="82">
        <f>IF('8C'!B42&lt;&gt;"",'8C'!G42,"")</f>
        <v/>
      </c>
      <c r="H1492" s="92">
        <f>IF('8C'!B42&lt;&gt;"",'8C'!H42,"")</f>
        <v/>
      </c>
      <c r="I1492" s="92">
        <f>IF('8C'!B42&lt;&gt;"",'8C'!I42,"")</f>
        <v/>
      </c>
      <c r="J1492" s="82">
        <f>IF('8C'!B42&lt;&gt;"",'8C'!J42,"")</f>
        <v/>
      </c>
    </row>
    <row r="1493" ht="15.75" customHeight="1" s="52">
      <c r="A1493" s="97">
        <f>IF('8C'!B43&lt;&gt;"","8C","")</f>
        <v/>
      </c>
      <c r="B1493" s="78">
        <f>IF('8C'!B43&lt;&gt;"",'8C'!B43,"")</f>
        <v/>
      </c>
      <c r="C1493" s="78">
        <f>IF('8C'!B43&lt;&gt;"",'8C'!C43,"")</f>
        <v/>
      </c>
      <c r="D1493" s="78">
        <f>IF('8C'!B43&lt;&gt;"",'8C'!D43,"")</f>
        <v/>
      </c>
      <c r="E1493" s="78">
        <f>IF('8C'!B43&lt;&gt;"",'8C'!E43,"")</f>
        <v/>
      </c>
      <c r="F1493" s="78">
        <f>IF('8C'!B43&lt;&gt;"",'8C'!F43,"")</f>
        <v/>
      </c>
      <c r="G1493" s="78">
        <f>IF('8C'!B43&lt;&gt;"",'8C'!G43,"")</f>
        <v/>
      </c>
      <c r="H1493" s="97">
        <f>IF('8C'!B43&lt;&gt;"",'8C'!H43,"")</f>
        <v/>
      </c>
      <c r="I1493" s="97">
        <f>IF('8C'!B43&lt;&gt;"",'8C'!I43,"")</f>
        <v/>
      </c>
      <c r="J1493" s="78">
        <f>IF('8C'!B43&lt;&gt;"",'8C'!J43,"")</f>
        <v/>
      </c>
    </row>
    <row r="1494" ht="15.75" customHeight="1" s="52">
      <c r="A1494" s="92">
        <f>IF('8C'!B44&lt;&gt;"","8C","")</f>
        <v/>
      </c>
      <c r="B1494" s="82">
        <f>IF('8C'!B44&lt;&gt;"",'8C'!B44,"")</f>
        <v/>
      </c>
      <c r="C1494" s="82">
        <f>IF('8C'!B44&lt;&gt;"",'8C'!C44,"")</f>
        <v/>
      </c>
      <c r="D1494" s="82">
        <f>IF('8C'!B44&lt;&gt;"",'8C'!D44,"")</f>
        <v/>
      </c>
      <c r="E1494" s="82">
        <f>IF('8C'!B44&lt;&gt;"",'8C'!E44,"")</f>
        <v/>
      </c>
      <c r="F1494" s="82">
        <f>IF('8C'!B44&lt;&gt;"",'8C'!F44,"")</f>
        <v/>
      </c>
      <c r="G1494" s="82">
        <f>IF('8C'!B44&lt;&gt;"",'8C'!G44,"")</f>
        <v/>
      </c>
      <c r="H1494" s="92">
        <f>IF('8C'!B44&lt;&gt;"",'8C'!H44,"")</f>
        <v/>
      </c>
      <c r="I1494" s="92">
        <f>IF('8C'!B44&lt;&gt;"",'8C'!I44,"")</f>
        <v/>
      </c>
      <c r="J1494" s="82">
        <f>IF('8C'!B44&lt;&gt;"",'8C'!J44,"")</f>
        <v/>
      </c>
    </row>
    <row r="1495" ht="15.75" customHeight="1" s="52">
      <c r="A1495" s="97">
        <f>IF('8C'!B45&lt;&gt;"","8C","")</f>
        <v/>
      </c>
      <c r="B1495" s="78">
        <f>IF('8C'!B45&lt;&gt;"",'8C'!B45,"")</f>
        <v/>
      </c>
      <c r="C1495" s="78">
        <f>IF('8C'!B45&lt;&gt;"",'8C'!C45,"")</f>
        <v/>
      </c>
      <c r="D1495" s="78">
        <f>IF('8C'!B45&lt;&gt;"",'8C'!D45,"")</f>
        <v/>
      </c>
      <c r="E1495" s="78">
        <f>IF('8C'!B45&lt;&gt;"",'8C'!E45,"")</f>
        <v/>
      </c>
      <c r="F1495" s="78">
        <f>IF('8C'!B45&lt;&gt;"",'8C'!F45,"")</f>
        <v/>
      </c>
      <c r="G1495" s="78">
        <f>IF('8C'!B45&lt;&gt;"",'8C'!G45,"")</f>
        <v/>
      </c>
      <c r="H1495" s="97">
        <f>IF('8C'!B45&lt;&gt;"",'8C'!H45,"")</f>
        <v/>
      </c>
      <c r="I1495" s="97">
        <f>IF('8C'!B45&lt;&gt;"",'8C'!I45,"")</f>
        <v/>
      </c>
      <c r="J1495" s="78">
        <f>IF('8C'!B45&lt;&gt;"",'8C'!J45,"")</f>
        <v/>
      </c>
    </row>
    <row r="1496" ht="15.75" customHeight="1" s="52">
      <c r="A1496" s="92">
        <f>IF('8C'!B46&lt;&gt;"","8C","")</f>
        <v/>
      </c>
      <c r="B1496" s="82">
        <f>IF('8C'!B46&lt;&gt;"",'8C'!B46,"")</f>
        <v/>
      </c>
      <c r="C1496" s="82">
        <f>IF('8C'!B46&lt;&gt;"",'8C'!C46,"")</f>
        <v/>
      </c>
      <c r="D1496" s="82">
        <f>IF('8C'!B46&lt;&gt;"",'8C'!D46,"")</f>
        <v/>
      </c>
      <c r="E1496" s="82">
        <f>IF('8C'!B46&lt;&gt;"",'8C'!E46,"")</f>
        <v/>
      </c>
      <c r="F1496" s="82">
        <f>IF('8C'!B46&lt;&gt;"",'8C'!F46,"")</f>
        <v/>
      </c>
      <c r="G1496" s="82">
        <f>IF('8C'!B46&lt;&gt;"",'8C'!G46,"")</f>
        <v/>
      </c>
      <c r="H1496" s="92">
        <f>IF('8C'!B46&lt;&gt;"",'8C'!H46,"")</f>
        <v/>
      </c>
      <c r="I1496" s="92">
        <f>IF('8C'!B46&lt;&gt;"",'8C'!I46,"")</f>
        <v/>
      </c>
      <c r="J1496" s="82">
        <f>IF('8C'!B46&lt;&gt;"",'8C'!J46,"")</f>
        <v/>
      </c>
    </row>
    <row r="1497" ht="15.75" customHeight="1" s="52">
      <c r="A1497" s="97">
        <f>IF('8C'!B47&lt;&gt;"","8C","")</f>
        <v/>
      </c>
      <c r="B1497" s="78">
        <f>IF('8C'!B47&lt;&gt;"",'8C'!B47,"")</f>
        <v/>
      </c>
      <c r="C1497" s="78">
        <f>IF('8C'!B47&lt;&gt;"",'8C'!C47,"")</f>
        <v/>
      </c>
      <c r="D1497" s="78">
        <f>IF('8C'!B47&lt;&gt;"",'8C'!D47,"")</f>
        <v/>
      </c>
      <c r="E1497" s="78">
        <f>IF('8C'!B47&lt;&gt;"",'8C'!E47,"")</f>
        <v/>
      </c>
      <c r="F1497" s="78">
        <f>IF('8C'!B47&lt;&gt;"",'8C'!F47,"")</f>
        <v/>
      </c>
      <c r="G1497" s="78">
        <f>IF('8C'!B47&lt;&gt;"",'8C'!G47,"")</f>
        <v/>
      </c>
      <c r="H1497" s="97">
        <f>IF('8C'!B47&lt;&gt;"",'8C'!H47,"")</f>
        <v/>
      </c>
      <c r="I1497" s="97">
        <f>IF('8C'!B47&lt;&gt;"",'8C'!I47,"")</f>
        <v/>
      </c>
      <c r="J1497" s="78">
        <f>IF('8C'!B47&lt;&gt;"",'8C'!J47,"")</f>
        <v/>
      </c>
    </row>
    <row r="1498" ht="15.75" customHeight="1" s="52">
      <c r="A1498" s="92">
        <f>IF('8C'!B48&lt;&gt;"","8C","")</f>
        <v/>
      </c>
      <c r="B1498" s="82">
        <f>IF('8C'!B48&lt;&gt;"",'8C'!B48,"")</f>
        <v/>
      </c>
      <c r="C1498" s="82">
        <f>IF('8C'!B48&lt;&gt;"",'8C'!C48,"")</f>
        <v/>
      </c>
      <c r="D1498" s="82">
        <f>IF('8C'!B48&lt;&gt;"",'8C'!D48,"")</f>
        <v/>
      </c>
      <c r="E1498" s="82">
        <f>IF('8C'!B48&lt;&gt;"",'8C'!E48,"")</f>
        <v/>
      </c>
      <c r="F1498" s="82">
        <f>IF('8C'!B48&lt;&gt;"",'8C'!F48,"")</f>
        <v/>
      </c>
      <c r="G1498" s="82">
        <f>IF('8C'!B48&lt;&gt;"",'8C'!G48,"")</f>
        <v/>
      </c>
      <c r="H1498" s="92">
        <f>IF('8C'!B48&lt;&gt;"",'8C'!H48,"")</f>
        <v/>
      </c>
      <c r="I1498" s="92">
        <f>IF('8C'!B48&lt;&gt;"",'8C'!I48,"")</f>
        <v/>
      </c>
      <c r="J1498" s="82">
        <f>IF('8C'!B48&lt;&gt;"",'8C'!J48,"")</f>
        <v/>
      </c>
    </row>
    <row r="1499" ht="15.75" customHeight="1" s="52">
      <c r="A1499" s="97">
        <f>IF('8C'!B49&lt;&gt;"","8C","")</f>
        <v/>
      </c>
      <c r="B1499" s="78">
        <f>IF('8C'!B49&lt;&gt;"",'8C'!B49,"")</f>
        <v/>
      </c>
      <c r="C1499" s="78">
        <f>IF('8C'!B49&lt;&gt;"",'8C'!C49,"")</f>
        <v/>
      </c>
      <c r="D1499" s="78">
        <f>IF('8C'!B49&lt;&gt;"",'8C'!D49,"")</f>
        <v/>
      </c>
      <c r="E1499" s="78">
        <f>IF('8C'!B49&lt;&gt;"",'8C'!E49,"")</f>
        <v/>
      </c>
      <c r="F1499" s="78">
        <f>IF('8C'!B49&lt;&gt;"",'8C'!F49,"")</f>
        <v/>
      </c>
      <c r="G1499" s="78">
        <f>IF('8C'!B49&lt;&gt;"",'8C'!G49,"")</f>
        <v/>
      </c>
      <c r="H1499" s="97">
        <f>IF('8C'!B49&lt;&gt;"",'8C'!H49,"")</f>
        <v/>
      </c>
      <c r="I1499" s="97">
        <f>IF('8C'!B49&lt;&gt;"",'8C'!I49,"")</f>
        <v/>
      </c>
      <c r="J1499" s="78">
        <f>IF('8C'!B49&lt;&gt;"",'8C'!J49,"")</f>
        <v/>
      </c>
    </row>
    <row r="1500" ht="15.75" customHeight="1" s="52">
      <c r="A1500" s="92">
        <f>IF('8C'!B50&lt;&gt;"","8C","")</f>
        <v/>
      </c>
      <c r="B1500" s="82">
        <f>IF('8C'!B50&lt;&gt;"",'8C'!B50,"")</f>
        <v/>
      </c>
      <c r="C1500" s="82">
        <f>IF('8C'!B50&lt;&gt;"",'8C'!C50,"")</f>
        <v/>
      </c>
      <c r="D1500" s="82">
        <f>IF('8C'!B50&lt;&gt;"",'8C'!D50,"")</f>
        <v/>
      </c>
      <c r="E1500" s="82">
        <f>IF('8C'!B50&lt;&gt;"",'8C'!E50,"")</f>
        <v/>
      </c>
      <c r="F1500" s="82">
        <f>IF('8C'!B50&lt;&gt;"",'8C'!F50,"")</f>
        <v/>
      </c>
      <c r="G1500" s="82">
        <f>IF('8C'!B50&lt;&gt;"",'8C'!G50,"")</f>
        <v/>
      </c>
      <c r="H1500" s="92">
        <f>IF('8C'!B50&lt;&gt;"",'8C'!H50,"")</f>
        <v/>
      </c>
      <c r="I1500" s="92">
        <f>IF('8C'!B50&lt;&gt;"",'8C'!I50,"")</f>
        <v/>
      </c>
      <c r="J1500" s="82">
        <f>IF('8C'!B50&lt;&gt;"",'8C'!J50,"")</f>
        <v/>
      </c>
    </row>
    <row r="1501" ht="15.75" customHeight="1" s="52">
      <c r="A1501" s="97">
        <f>IF('8C'!B51&lt;&gt;"","8C","")</f>
        <v/>
      </c>
      <c r="B1501" s="78">
        <f>IF('8C'!B51&lt;&gt;"",'8C'!B51,"")</f>
        <v/>
      </c>
      <c r="C1501" s="78">
        <f>IF('8C'!B51&lt;&gt;"",'8C'!C51,"")</f>
        <v/>
      </c>
      <c r="D1501" s="78">
        <f>IF('8C'!B51&lt;&gt;"",'8C'!D51,"")</f>
        <v/>
      </c>
      <c r="E1501" s="78">
        <f>IF('8C'!B51&lt;&gt;"",'8C'!E51,"")</f>
        <v/>
      </c>
      <c r="F1501" s="78">
        <f>IF('8C'!B51&lt;&gt;"",'8C'!F51,"")</f>
        <v/>
      </c>
      <c r="G1501" s="78">
        <f>IF('8C'!B51&lt;&gt;"",'8C'!G51,"")</f>
        <v/>
      </c>
      <c r="H1501" s="97">
        <f>IF('8C'!B51&lt;&gt;"",'8C'!H51,"")</f>
        <v/>
      </c>
      <c r="I1501" s="97">
        <f>IF('8C'!B51&lt;&gt;"",'8C'!I51,"")</f>
        <v/>
      </c>
      <c r="J1501" s="78">
        <f>IF('8C'!B51&lt;&gt;"",'8C'!J51,"")</f>
        <v/>
      </c>
    </row>
    <row r="1502" ht="15.75" customHeight="1" s="52">
      <c r="A1502" s="92">
        <f>IF('8C'!B52&lt;&gt;"","8C","")</f>
        <v/>
      </c>
      <c r="B1502" s="82">
        <f>IF('8C'!B52&lt;&gt;"",'8C'!B52,"")</f>
        <v/>
      </c>
      <c r="C1502" s="82">
        <f>IF('8C'!B52&lt;&gt;"",'8C'!C52,"")</f>
        <v/>
      </c>
      <c r="D1502" s="82">
        <f>IF('8C'!B52&lt;&gt;"",'8C'!D52,"")</f>
        <v/>
      </c>
      <c r="E1502" s="82">
        <f>IF('8C'!B52&lt;&gt;"",'8C'!E52,"")</f>
        <v/>
      </c>
      <c r="F1502" s="82">
        <f>IF('8C'!B52&lt;&gt;"",'8C'!F52,"")</f>
        <v/>
      </c>
      <c r="G1502" s="82">
        <f>IF('8C'!B52&lt;&gt;"",'8C'!G52,"")</f>
        <v/>
      </c>
      <c r="H1502" s="92">
        <f>IF('8C'!B52&lt;&gt;"",'8C'!H52,"")</f>
        <v/>
      </c>
      <c r="I1502" s="92">
        <f>IF('8C'!B52&lt;&gt;"",'8C'!I52,"")</f>
        <v/>
      </c>
      <c r="J1502" s="82">
        <f>IF('8C'!B52&lt;&gt;"",'8C'!J52,"")</f>
        <v/>
      </c>
    </row>
    <row r="1503" ht="15.75" customHeight="1" s="52">
      <c r="A1503" s="97">
        <f>IF('8C'!B53&lt;&gt;"","8C","")</f>
        <v/>
      </c>
      <c r="B1503" s="78">
        <f>IF('8C'!B53&lt;&gt;"",'8C'!B53,"")</f>
        <v/>
      </c>
      <c r="C1503" s="78">
        <f>IF('8C'!B53&lt;&gt;"",'8C'!C53,"")</f>
        <v/>
      </c>
      <c r="D1503" s="78">
        <f>IF('8C'!B53&lt;&gt;"",'8C'!D53,"")</f>
        <v/>
      </c>
      <c r="E1503" s="78">
        <f>IF('8C'!B53&lt;&gt;"",'8C'!E53,"")</f>
        <v/>
      </c>
      <c r="F1503" s="78">
        <f>IF('8C'!B53&lt;&gt;"",'8C'!F53,"")</f>
        <v/>
      </c>
      <c r="G1503" s="78">
        <f>IF('8C'!B53&lt;&gt;"",'8C'!G53,"")</f>
        <v/>
      </c>
      <c r="H1503" s="97">
        <f>IF('8C'!B53&lt;&gt;"",'8C'!H53,"")</f>
        <v/>
      </c>
      <c r="I1503" s="97">
        <f>IF('8C'!B53&lt;&gt;"",'8C'!I53,"")</f>
        <v/>
      </c>
      <c r="J1503" s="78">
        <f>IF('8C'!B53&lt;&gt;"",'8C'!J53,"")</f>
        <v/>
      </c>
    </row>
    <row r="1504" ht="15.75" customHeight="1" s="52">
      <c r="A1504" s="92">
        <f>IF('8C'!B54&lt;&gt;"","8C","")</f>
        <v/>
      </c>
      <c r="B1504" s="82">
        <f>IF('8C'!B54&lt;&gt;"",'8C'!B54,"")</f>
        <v/>
      </c>
      <c r="C1504" s="82">
        <f>IF('8C'!B54&lt;&gt;"",'8C'!C54,"")</f>
        <v/>
      </c>
      <c r="D1504" s="82">
        <f>IF('8C'!B54&lt;&gt;"",'8C'!D54,"")</f>
        <v/>
      </c>
      <c r="E1504" s="82">
        <f>IF('8C'!B54&lt;&gt;"",'8C'!E54,"")</f>
        <v/>
      </c>
      <c r="F1504" s="82">
        <f>IF('8C'!B54&lt;&gt;"",'8C'!F54,"")</f>
        <v/>
      </c>
      <c r="G1504" s="82">
        <f>IF('8C'!B54&lt;&gt;"",'8C'!G54,"")</f>
        <v/>
      </c>
      <c r="H1504" s="92">
        <f>IF('8C'!B54&lt;&gt;"",'8C'!H54,"")</f>
        <v/>
      </c>
      <c r="I1504" s="92">
        <f>IF('8C'!B54&lt;&gt;"",'8C'!I54,"")</f>
        <v/>
      </c>
      <c r="J1504" s="82">
        <f>IF('8C'!B54&lt;&gt;"",'8C'!J54,"")</f>
        <v/>
      </c>
    </row>
    <row r="1505" ht="15.75" customHeight="1" s="52">
      <c r="A1505" s="97">
        <f>IF('1mA'!B5&lt;&gt;"","1mA","")</f>
        <v/>
      </c>
      <c r="B1505" s="78">
        <f>IF('1mA'!B5&lt;&gt;"",'1mA'!B5,"")</f>
        <v/>
      </c>
      <c r="C1505" s="78">
        <f>IF('1mA'!B5&lt;&gt;"",'1mA'!C5,"")</f>
        <v/>
      </c>
      <c r="D1505" s="78">
        <f>IF('1mA'!B5&lt;&gt;"",'1mA'!D5,"")</f>
        <v/>
      </c>
      <c r="E1505" s="78">
        <f>IF('1mA'!B5&lt;&gt;"",'1mA'!E5,"")</f>
        <v/>
      </c>
      <c r="F1505" s="78">
        <f>IF('1mA'!B5&lt;&gt;"",'1mA'!F5,"")</f>
        <v/>
      </c>
      <c r="G1505" s="78">
        <f>IF('1mA'!B5&lt;&gt;"",'1mA'!G5,"")</f>
        <v/>
      </c>
      <c r="H1505" s="97">
        <f>IF('1mA'!B5&lt;&gt;"",'1mA'!H5,"")</f>
        <v/>
      </c>
      <c r="I1505" s="97">
        <f>IF('1mA'!B5&lt;&gt;"",'1mA'!I5,"")</f>
        <v/>
      </c>
      <c r="J1505" s="78">
        <f>IF('1mA'!B5&lt;&gt;"",'1mA'!J5,"")</f>
        <v/>
      </c>
    </row>
    <row r="1506" ht="15.75" customHeight="1" s="52">
      <c r="A1506" s="92">
        <f>IF('1mA'!B6&lt;&gt;"","1mA","")</f>
        <v/>
      </c>
      <c r="B1506" s="82">
        <f>IF('1mA'!B6&lt;&gt;"",'1mA'!B6,"")</f>
        <v/>
      </c>
      <c r="C1506" s="82">
        <f>IF('1mA'!B6&lt;&gt;"",'1mA'!C6,"")</f>
        <v/>
      </c>
      <c r="D1506" s="82">
        <f>IF('1mA'!B6&lt;&gt;"",'1mA'!D6,"")</f>
        <v/>
      </c>
      <c r="E1506" s="82">
        <f>IF('1mA'!B6&lt;&gt;"",'1mA'!E6,"")</f>
        <v/>
      </c>
      <c r="F1506" s="82">
        <f>IF('1mA'!B6&lt;&gt;"",'1mA'!F6,"")</f>
        <v/>
      </c>
      <c r="G1506" s="82">
        <f>IF('1mA'!B6&lt;&gt;"",'1mA'!G6,"")</f>
        <v/>
      </c>
      <c r="H1506" s="92">
        <f>IF('1mA'!B6&lt;&gt;"",'1mA'!H6,"")</f>
        <v/>
      </c>
      <c r="I1506" s="92">
        <f>IF('1mA'!B6&lt;&gt;"",'1mA'!I6,"")</f>
        <v/>
      </c>
      <c r="J1506" s="82">
        <f>IF('1mA'!B6&lt;&gt;"",'1mA'!J6,"")</f>
        <v/>
      </c>
    </row>
    <row r="1507" ht="15.75" customHeight="1" s="52">
      <c r="A1507" s="97">
        <f>IF('1mA'!B7&lt;&gt;"","1mA","")</f>
        <v/>
      </c>
      <c r="B1507" s="78">
        <f>IF('1mA'!B7&lt;&gt;"",'1mA'!B7,"")</f>
        <v/>
      </c>
      <c r="C1507" s="78">
        <f>IF('1mA'!B7&lt;&gt;"",'1mA'!C7,"")</f>
        <v/>
      </c>
      <c r="D1507" s="78">
        <f>IF('1mA'!B7&lt;&gt;"",'1mA'!D7,"")</f>
        <v/>
      </c>
      <c r="E1507" s="78">
        <f>IF('1mA'!B7&lt;&gt;"",'1mA'!E7,"")</f>
        <v/>
      </c>
      <c r="F1507" s="78">
        <f>IF('1mA'!B7&lt;&gt;"",'1mA'!F7,"")</f>
        <v/>
      </c>
      <c r="G1507" s="78">
        <f>IF('1mA'!B7&lt;&gt;"",'1mA'!G7,"")</f>
        <v/>
      </c>
      <c r="H1507" s="97">
        <f>IF('1mA'!B7&lt;&gt;"",'1mA'!H7,"")</f>
        <v/>
      </c>
      <c r="I1507" s="97">
        <f>IF('1mA'!B7&lt;&gt;"",'1mA'!I7,"")</f>
        <v/>
      </c>
      <c r="J1507" s="78">
        <f>IF('1mA'!B7&lt;&gt;"",'1mA'!J7,"")</f>
        <v/>
      </c>
    </row>
    <row r="1508" ht="15.75" customHeight="1" s="52">
      <c r="A1508" s="92">
        <f>IF('1mA'!B8&lt;&gt;"","1mA","")</f>
        <v/>
      </c>
      <c r="B1508" s="82">
        <f>IF('1mA'!B8&lt;&gt;"",'1mA'!B8,"")</f>
        <v/>
      </c>
      <c r="C1508" s="82">
        <f>IF('1mA'!B8&lt;&gt;"",'1mA'!C8,"")</f>
        <v/>
      </c>
      <c r="D1508" s="82">
        <f>IF('1mA'!B8&lt;&gt;"",'1mA'!D8,"")</f>
        <v/>
      </c>
      <c r="E1508" s="82">
        <f>IF('1mA'!B8&lt;&gt;"",'1mA'!E8,"")</f>
        <v/>
      </c>
      <c r="F1508" s="82">
        <f>IF('1mA'!B8&lt;&gt;"",'1mA'!F8,"")</f>
        <v/>
      </c>
      <c r="G1508" s="82">
        <f>IF('1mA'!B8&lt;&gt;"",'1mA'!G8,"")</f>
        <v/>
      </c>
      <c r="H1508" s="92">
        <f>IF('1mA'!B8&lt;&gt;"",'1mA'!H8,"")</f>
        <v/>
      </c>
      <c r="I1508" s="92">
        <f>IF('1mA'!B8&lt;&gt;"",'1mA'!I8,"")</f>
        <v/>
      </c>
      <c r="J1508" s="82">
        <f>IF('1mA'!B8&lt;&gt;"",'1mA'!J8,"")</f>
        <v/>
      </c>
    </row>
    <row r="1509" ht="15.75" customHeight="1" s="52">
      <c r="A1509" s="97">
        <f>IF('1mA'!B9&lt;&gt;"","1mA","")</f>
        <v/>
      </c>
      <c r="B1509" s="78">
        <f>IF('1mA'!B9&lt;&gt;"",'1mA'!B9,"")</f>
        <v/>
      </c>
      <c r="C1509" s="78">
        <f>IF('1mA'!B9&lt;&gt;"",'1mA'!C9,"")</f>
        <v/>
      </c>
      <c r="D1509" s="78">
        <f>IF('1mA'!B9&lt;&gt;"",'1mA'!D9,"")</f>
        <v/>
      </c>
      <c r="E1509" s="78">
        <f>IF('1mA'!B9&lt;&gt;"",'1mA'!E9,"")</f>
        <v/>
      </c>
      <c r="F1509" s="78">
        <f>IF('1mA'!B9&lt;&gt;"",'1mA'!F9,"")</f>
        <v/>
      </c>
      <c r="G1509" s="78">
        <f>IF('1mA'!B9&lt;&gt;"",'1mA'!G9,"")</f>
        <v/>
      </c>
      <c r="H1509" s="97">
        <f>IF('1mA'!B9&lt;&gt;"",'1mA'!H9,"")</f>
        <v/>
      </c>
      <c r="I1509" s="97">
        <f>IF('1mA'!B9&lt;&gt;"",'1mA'!I9,"")</f>
        <v/>
      </c>
      <c r="J1509" s="78">
        <f>IF('1mA'!B9&lt;&gt;"",'1mA'!J9,"")</f>
        <v/>
      </c>
    </row>
    <row r="1510" ht="15.75" customHeight="1" s="52">
      <c r="A1510" s="92">
        <f>IF('1mA'!B10&lt;&gt;"","1mA","")</f>
        <v/>
      </c>
      <c r="B1510" s="82">
        <f>IF('1mA'!B10&lt;&gt;"",'1mA'!B10,"")</f>
        <v/>
      </c>
      <c r="C1510" s="82">
        <f>IF('1mA'!B10&lt;&gt;"",'1mA'!C10,"")</f>
        <v/>
      </c>
      <c r="D1510" s="82">
        <f>IF('1mA'!B10&lt;&gt;"",'1mA'!D10,"")</f>
        <v/>
      </c>
      <c r="E1510" s="82">
        <f>IF('1mA'!B10&lt;&gt;"",'1mA'!E10,"")</f>
        <v/>
      </c>
      <c r="F1510" s="82">
        <f>IF('1mA'!B10&lt;&gt;"",'1mA'!F10,"")</f>
        <v/>
      </c>
      <c r="G1510" s="82">
        <f>IF('1mA'!B10&lt;&gt;"",'1mA'!G10,"")</f>
        <v/>
      </c>
      <c r="H1510" s="92">
        <f>IF('1mA'!B10&lt;&gt;"",'1mA'!H10,"")</f>
        <v/>
      </c>
      <c r="I1510" s="92">
        <f>IF('1mA'!B10&lt;&gt;"",'1mA'!I10,"")</f>
        <v/>
      </c>
      <c r="J1510" s="82">
        <f>IF('1mA'!B10&lt;&gt;"",'1mA'!J10,"")</f>
        <v/>
      </c>
    </row>
    <row r="1511" ht="15.75" customHeight="1" s="52">
      <c r="A1511" s="97">
        <f>IF('1mA'!B11&lt;&gt;"","1mA","")</f>
        <v/>
      </c>
      <c r="B1511" s="78">
        <f>IF('1mA'!B11&lt;&gt;"",'1mA'!B11,"")</f>
        <v/>
      </c>
      <c r="C1511" s="78">
        <f>IF('1mA'!B11&lt;&gt;"",'1mA'!C11,"")</f>
        <v/>
      </c>
      <c r="D1511" s="78">
        <f>IF('1mA'!B11&lt;&gt;"",'1mA'!D11,"")</f>
        <v/>
      </c>
      <c r="E1511" s="78">
        <f>IF('1mA'!B11&lt;&gt;"",'1mA'!E11,"")</f>
        <v/>
      </c>
      <c r="F1511" s="78">
        <f>IF('1mA'!B11&lt;&gt;"",'1mA'!F11,"")</f>
        <v/>
      </c>
      <c r="G1511" s="78">
        <f>IF('1mA'!B11&lt;&gt;"",'1mA'!G11,"")</f>
        <v/>
      </c>
      <c r="H1511" s="97">
        <f>IF('1mA'!B11&lt;&gt;"",'1mA'!H11,"")</f>
        <v/>
      </c>
      <c r="I1511" s="97">
        <f>IF('1mA'!B11&lt;&gt;"",'1mA'!I11,"")</f>
        <v/>
      </c>
      <c r="J1511" s="78">
        <f>IF('1mA'!B11&lt;&gt;"",'1mA'!J11,"")</f>
        <v/>
      </c>
    </row>
    <row r="1512" ht="15.75" customHeight="1" s="52">
      <c r="A1512" s="92">
        <f>IF('1mA'!B12&lt;&gt;"","1mA","")</f>
        <v/>
      </c>
      <c r="B1512" s="82">
        <f>IF('1mA'!B12&lt;&gt;"",'1mA'!B12,"")</f>
        <v/>
      </c>
      <c r="C1512" s="82">
        <f>IF('1mA'!B12&lt;&gt;"",'1mA'!C12,"")</f>
        <v/>
      </c>
      <c r="D1512" s="82">
        <f>IF('1mA'!B12&lt;&gt;"",'1mA'!D12,"")</f>
        <v/>
      </c>
      <c r="E1512" s="82">
        <f>IF('1mA'!B12&lt;&gt;"",'1mA'!E12,"")</f>
        <v/>
      </c>
      <c r="F1512" s="82">
        <f>IF('1mA'!B12&lt;&gt;"",'1mA'!F12,"")</f>
        <v/>
      </c>
      <c r="G1512" s="82">
        <f>IF('1mA'!B12&lt;&gt;"",'1mA'!G12,"")</f>
        <v/>
      </c>
      <c r="H1512" s="92">
        <f>IF('1mA'!B12&lt;&gt;"",'1mA'!H12,"")</f>
        <v/>
      </c>
      <c r="I1512" s="92">
        <f>IF('1mA'!B12&lt;&gt;"",'1mA'!I12,"")</f>
        <v/>
      </c>
      <c r="J1512" s="82">
        <f>IF('1mA'!B12&lt;&gt;"",'1mA'!J12,"")</f>
        <v/>
      </c>
    </row>
    <row r="1513" ht="15.75" customHeight="1" s="52">
      <c r="A1513" s="97">
        <f>IF('1mA'!B13&lt;&gt;"","1mA","")</f>
        <v/>
      </c>
      <c r="B1513" s="78">
        <f>IF('1mA'!B13&lt;&gt;"",'1mA'!B13,"")</f>
        <v/>
      </c>
      <c r="C1513" s="78">
        <f>IF('1mA'!B13&lt;&gt;"",'1mA'!C13,"")</f>
        <v/>
      </c>
      <c r="D1513" s="78">
        <f>IF('1mA'!B13&lt;&gt;"",'1mA'!D13,"")</f>
        <v/>
      </c>
      <c r="E1513" s="78">
        <f>IF('1mA'!B13&lt;&gt;"",'1mA'!E13,"")</f>
        <v/>
      </c>
      <c r="F1513" s="78">
        <f>IF('1mA'!B13&lt;&gt;"",'1mA'!F13,"")</f>
        <v/>
      </c>
      <c r="G1513" s="78">
        <f>IF('1mA'!B13&lt;&gt;"",'1mA'!G13,"")</f>
        <v/>
      </c>
      <c r="H1513" s="97">
        <f>IF('1mA'!B13&lt;&gt;"",'1mA'!H13,"")</f>
        <v/>
      </c>
      <c r="I1513" s="97">
        <f>IF('1mA'!B13&lt;&gt;"",'1mA'!I13,"")</f>
        <v/>
      </c>
      <c r="J1513" s="78">
        <f>IF('1mA'!B13&lt;&gt;"",'1mA'!J13,"")</f>
        <v/>
      </c>
    </row>
    <row r="1514" ht="15.75" customHeight="1" s="52">
      <c r="A1514" s="92">
        <f>IF('1mA'!B14&lt;&gt;"","1mA","")</f>
        <v/>
      </c>
      <c r="B1514" s="82">
        <f>IF('1mA'!B14&lt;&gt;"",'1mA'!B14,"")</f>
        <v/>
      </c>
      <c r="C1514" s="82">
        <f>IF('1mA'!B14&lt;&gt;"",'1mA'!C14,"")</f>
        <v/>
      </c>
      <c r="D1514" s="82">
        <f>IF('1mA'!B14&lt;&gt;"",'1mA'!D14,"")</f>
        <v/>
      </c>
      <c r="E1514" s="82">
        <f>IF('1mA'!B14&lt;&gt;"",'1mA'!E14,"")</f>
        <v/>
      </c>
      <c r="F1514" s="82">
        <f>IF('1mA'!B14&lt;&gt;"",'1mA'!F14,"")</f>
        <v/>
      </c>
      <c r="G1514" s="82">
        <f>IF('1mA'!B14&lt;&gt;"",'1mA'!G14,"")</f>
        <v/>
      </c>
      <c r="H1514" s="92">
        <f>IF('1mA'!B14&lt;&gt;"",'1mA'!H14,"")</f>
        <v/>
      </c>
      <c r="I1514" s="92">
        <f>IF('1mA'!B14&lt;&gt;"",'1mA'!I14,"")</f>
        <v/>
      </c>
      <c r="J1514" s="82">
        <f>IF('1mA'!B14&lt;&gt;"",'1mA'!J14,"")</f>
        <v/>
      </c>
    </row>
    <row r="1515" ht="15.75" customHeight="1" s="52">
      <c r="A1515" s="97">
        <f>IF('1mA'!B15&lt;&gt;"","1mA","")</f>
        <v/>
      </c>
      <c r="B1515" s="78">
        <f>IF('1mA'!B15&lt;&gt;"",'1mA'!B15,"")</f>
        <v/>
      </c>
      <c r="C1515" s="78">
        <f>IF('1mA'!B15&lt;&gt;"",'1mA'!C15,"")</f>
        <v/>
      </c>
      <c r="D1515" s="78">
        <f>IF('1mA'!B15&lt;&gt;"",'1mA'!D15,"")</f>
        <v/>
      </c>
      <c r="E1515" s="78">
        <f>IF('1mA'!B15&lt;&gt;"",'1mA'!E15,"")</f>
        <v/>
      </c>
      <c r="F1515" s="78">
        <f>IF('1mA'!B15&lt;&gt;"",'1mA'!F15,"")</f>
        <v/>
      </c>
      <c r="G1515" s="78">
        <f>IF('1mA'!B15&lt;&gt;"",'1mA'!G15,"")</f>
        <v/>
      </c>
      <c r="H1515" s="97">
        <f>IF('1mA'!B15&lt;&gt;"",'1mA'!H15,"")</f>
        <v/>
      </c>
      <c r="I1515" s="97">
        <f>IF('1mA'!B15&lt;&gt;"",'1mA'!I15,"")</f>
        <v/>
      </c>
      <c r="J1515" s="78">
        <f>IF('1mA'!B15&lt;&gt;"",'1mA'!J15,"")</f>
        <v/>
      </c>
    </row>
    <row r="1516" ht="15.75" customHeight="1" s="52">
      <c r="A1516" s="92">
        <f>IF('1mA'!B16&lt;&gt;"","1mA","")</f>
        <v/>
      </c>
      <c r="B1516" s="82">
        <f>IF('1mA'!B16&lt;&gt;"",'1mA'!B16,"")</f>
        <v/>
      </c>
      <c r="C1516" s="82">
        <f>IF('1mA'!B16&lt;&gt;"",'1mA'!C16,"")</f>
        <v/>
      </c>
      <c r="D1516" s="82">
        <f>IF('1mA'!B16&lt;&gt;"",'1mA'!D16,"")</f>
        <v/>
      </c>
      <c r="E1516" s="82">
        <f>IF('1mA'!B16&lt;&gt;"",'1mA'!E16,"")</f>
        <v/>
      </c>
      <c r="F1516" s="82">
        <f>IF('1mA'!B16&lt;&gt;"",'1mA'!F16,"")</f>
        <v/>
      </c>
      <c r="G1516" s="82">
        <f>IF('1mA'!B16&lt;&gt;"",'1mA'!G16,"")</f>
        <v/>
      </c>
      <c r="H1516" s="92">
        <f>IF('1mA'!B16&lt;&gt;"",'1mA'!H16,"")</f>
        <v/>
      </c>
      <c r="I1516" s="92">
        <f>IF('1mA'!B16&lt;&gt;"",'1mA'!I16,"")</f>
        <v/>
      </c>
      <c r="J1516" s="82">
        <f>IF('1mA'!B16&lt;&gt;"",'1mA'!J16,"")</f>
        <v/>
      </c>
    </row>
    <row r="1517" ht="15.75" customHeight="1" s="52">
      <c r="A1517" s="97">
        <f>IF('1mA'!B17&lt;&gt;"","1mA","")</f>
        <v/>
      </c>
      <c r="B1517" s="78">
        <f>IF('1mA'!B17&lt;&gt;"",'1mA'!B17,"")</f>
        <v/>
      </c>
      <c r="C1517" s="78">
        <f>IF('1mA'!B17&lt;&gt;"",'1mA'!C17,"")</f>
        <v/>
      </c>
      <c r="D1517" s="78">
        <f>IF('1mA'!B17&lt;&gt;"",'1mA'!D17,"")</f>
        <v/>
      </c>
      <c r="E1517" s="78">
        <f>IF('1mA'!B17&lt;&gt;"",'1mA'!E17,"")</f>
        <v/>
      </c>
      <c r="F1517" s="78">
        <f>IF('1mA'!B17&lt;&gt;"",'1mA'!F17,"")</f>
        <v/>
      </c>
      <c r="G1517" s="78">
        <f>IF('1mA'!B17&lt;&gt;"",'1mA'!G17,"")</f>
        <v/>
      </c>
      <c r="H1517" s="97">
        <f>IF('1mA'!B17&lt;&gt;"",'1mA'!H17,"")</f>
        <v/>
      </c>
      <c r="I1517" s="97">
        <f>IF('1mA'!B17&lt;&gt;"",'1mA'!I17,"")</f>
        <v/>
      </c>
      <c r="J1517" s="78">
        <f>IF('1mA'!B17&lt;&gt;"",'1mA'!J17,"")</f>
        <v/>
      </c>
    </row>
    <row r="1518" ht="15.75" customHeight="1" s="52">
      <c r="A1518" s="92">
        <f>IF('1mA'!B18&lt;&gt;"","1mA","")</f>
        <v/>
      </c>
      <c r="B1518" s="82">
        <f>IF('1mA'!B18&lt;&gt;"",'1mA'!B18,"")</f>
        <v/>
      </c>
      <c r="C1518" s="82">
        <f>IF('1mA'!B18&lt;&gt;"",'1mA'!C18,"")</f>
        <v/>
      </c>
      <c r="D1518" s="82">
        <f>IF('1mA'!B18&lt;&gt;"",'1mA'!D18,"")</f>
        <v/>
      </c>
      <c r="E1518" s="82">
        <f>IF('1mA'!B18&lt;&gt;"",'1mA'!E18,"")</f>
        <v/>
      </c>
      <c r="F1518" s="82">
        <f>IF('1mA'!B18&lt;&gt;"",'1mA'!F18,"")</f>
        <v/>
      </c>
      <c r="G1518" s="82">
        <f>IF('1mA'!B18&lt;&gt;"",'1mA'!G18,"")</f>
        <v/>
      </c>
      <c r="H1518" s="92">
        <f>IF('1mA'!B18&lt;&gt;"",'1mA'!H18,"")</f>
        <v/>
      </c>
      <c r="I1518" s="92">
        <f>IF('1mA'!B18&lt;&gt;"",'1mA'!I18,"")</f>
        <v/>
      </c>
      <c r="J1518" s="82">
        <f>IF('1mA'!B18&lt;&gt;"",'1mA'!J18,"")</f>
        <v/>
      </c>
    </row>
    <row r="1519" ht="15.75" customHeight="1" s="52">
      <c r="A1519" s="97">
        <f>IF('1mA'!B19&lt;&gt;"","1mA","")</f>
        <v/>
      </c>
      <c r="B1519" s="78">
        <f>IF('1mA'!B19&lt;&gt;"",'1mA'!B19,"")</f>
        <v/>
      </c>
      <c r="C1519" s="78">
        <f>IF('1mA'!B19&lt;&gt;"",'1mA'!C19,"")</f>
        <v/>
      </c>
      <c r="D1519" s="78">
        <f>IF('1mA'!B19&lt;&gt;"",'1mA'!D19,"")</f>
        <v/>
      </c>
      <c r="E1519" s="78">
        <f>IF('1mA'!B19&lt;&gt;"",'1mA'!E19,"")</f>
        <v/>
      </c>
      <c r="F1519" s="78">
        <f>IF('1mA'!B19&lt;&gt;"",'1mA'!F19,"")</f>
        <v/>
      </c>
      <c r="G1519" s="78">
        <f>IF('1mA'!B19&lt;&gt;"",'1mA'!G19,"")</f>
        <v/>
      </c>
      <c r="H1519" s="97">
        <f>IF('1mA'!B19&lt;&gt;"",'1mA'!H19,"")</f>
        <v/>
      </c>
      <c r="I1519" s="97">
        <f>IF('1mA'!B19&lt;&gt;"",'1mA'!I19,"")</f>
        <v/>
      </c>
      <c r="J1519" s="78">
        <f>IF('1mA'!B19&lt;&gt;"",'1mA'!J19,"")</f>
        <v/>
      </c>
    </row>
    <row r="1520" ht="15.75" customHeight="1" s="52">
      <c r="A1520" s="92">
        <f>IF('1mA'!B20&lt;&gt;"","1mA","")</f>
        <v/>
      </c>
      <c r="B1520" s="82">
        <f>IF('1mA'!B20&lt;&gt;"",'1mA'!B20,"")</f>
        <v/>
      </c>
      <c r="C1520" s="82">
        <f>IF('1mA'!B20&lt;&gt;"",'1mA'!C20,"")</f>
        <v/>
      </c>
      <c r="D1520" s="82">
        <f>IF('1mA'!B20&lt;&gt;"",'1mA'!D20,"")</f>
        <v/>
      </c>
      <c r="E1520" s="82">
        <f>IF('1mA'!B20&lt;&gt;"",'1mA'!E20,"")</f>
        <v/>
      </c>
      <c r="F1520" s="82">
        <f>IF('1mA'!B20&lt;&gt;"",'1mA'!F20,"")</f>
        <v/>
      </c>
      <c r="G1520" s="82">
        <f>IF('1mA'!B20&lt;&gt;"",'1mA'!G20,"")</f>
        <v/>
      </c>
      <c r="H1520" s="92">
        <f>IF('1mA'!B20&lt;&gt;"",'1mA'!H20,"")</f>
        <v/>
      </c>
      <c r="I1520" s="92">
        <f>IF('1mA'!B20&lt;&gt;"",'1mA'!I20,"")</f>
        <v/>
      </c>
      <c r="J1520" s="82">
        <f>IF('1mA'!B20&lt;&gt;"",'1mA'!J20,"")</f>
        <v/>
      </c>
    </row>
    <row r="1521" ht="15.75" customHeight="1" s="52">
      <c r="A1521" s="97">
        <f>IF('1mA'!B21&lt;&gt;"","1mA","")</f>
        <v/>
      </c>
      <c r="B1521" s="78">
        <f>IF('1mA'!B21&lt;&gt;"",'1mA'!B21,"")</f>
        <v/>
      </c>
      <c r="C1521" s="78">
        <f>IF('1mA'!B21&lt;&gt;"",'1mA'!C21,"")</f>
        <v/>
      </c>
      <c r="D1521" s="78">
        <f>IF('1mA'!B21&lt;&gt;"",'1mA'!D21,"")</f>
        <v/>
      </c>
      <c r="E1521" s="78">
        <f>IF('1mA'!B21&lt;&gt;"",'1mA'!E21,"")</f>
        <v/>
      </c>
      <c r="F1521" s="78">
        <f>IF('1mA'!B21&lt;&gt;"",'1mA'!F21,"")</f>
        <v/>
      </c>
      <c r="G1521" s="78">
        <f>IF('1mA'!B21&lt;&gt;"",'1mA'!G21,"")</f>
        <v/>
      </c>
      <c r="H1521" s="97">
        <f>IF('1mA'!B21&lt;&gt;"",'1mA'!H21,"")</f>
        <v/>
      </c>
      <c r="I1521" s="97">
        <f>IF('1mA'!B21&lt;&gt;"",'1mA'!I21,"")</f>
        <v/>
      </c>
      <c r="J1521" s="78">
        <f>IF('1mA'!B21&lt;&gt;"",'1mA'!J21,"")</f>
        <v/>
      </c>
    </row>
    <row r="1522" ht="15.75" customHeight="1" s="52">
      <c r="A1522" s="92">
        <f>IF('1mA'!B22&lt;&gt;"","1mA","")</f>
        <v/>
      </c>
      <c r="B1522" s="82">
        <f>IF('1mA'!B22&lt;&gt;"",'1mA'!B22,"")</f>
        <v/>
      </c>
      <c r="C1522" s="82">
        <f>IF('1mA'!B22&lt;&gt;"",'1mA'!C22,"")</f>
        <v/>
      </c>
      <c r="D1522" s="82">
        <f>IF('1mA'!B22&lt;&gt;"",'1mA'!D22,"")</f>
        <v/>
      </c>
      <c r="E1522" s="82">
        <f>IF('1mA'!B22&lt;&gt;"",'1mA'!E22,"")</f>
        <v/>
      </c>
      <c r="F1522" s="82">
        <f>IF('1mA'!B22&lt;&gt;"",'1mA'!F22,"")</f>
        <v/>
      </c>
      <c r="G1522" s="82">
        <f>IF('1mA'!B22&lt;&gt;"",'1mA'!G22,"")</f>
        <v/>
      </c>
      <c r="H1522" s="92">
        <f>IF('1mA'!B22&lt;&gt;"",'1mA'!H22,"")</f>
        <v/>
      </c>
      <c r="I1522" s="92">
        <f>IF('1mA'!B22&lt;&gt;"",'1mA'!I22,"")</f>
        <v/>
      </c>
      <c r="J1522" s="82">
        <f>IF('1mA'!B22&lt;&gt;"",'1mA'!J22,"")</f>
        <v/>
      </c>
    </row>
    <row r="1523" ht="15.75" customHeight="1" s="52">
      <c r="A1523" s="97">
        <f>IF('1mA'!B23&lt;&gt;"","1mA","")</f>
        <v/>
      </c>
      <c r="B1523" s="78">
        <f>IF('1mA'!B23&lt;&gt;"",'1mA'!B23,"")</f>
        <v/>
      </c>
      <c r="C1523" s="78">
        <f>IF('1mA'!B23&lt;&gt;"",'1mA'!C23,"")</f>
        <v/>
      </c>
      <c r="D1523" s="78">
        <f>IF('1mA'!B23&lt;&gt;"",'1mA'!D23,"")</f>
        <v/>
      </c>
      <c r="E1523" s="78">
        <f>IF('1mA'!B23&lt;&gt;"",'1mA'!E23,"")</f>
        <v/>
      </c>
      <c r="F1523" s="78">
        <f>IF('1mA'!B23&lt;&gt;"",'1mA'!F23,"")</f>
        <v/>
      </c>
      <c r="G1523" s="78">
        <f>IF('1mA'!B23&lt;&gt;"",'1mA'!G23,"")</f>
        <v/>
      </c>
      <c r="H1523" s="97">
        <f>IF('1mA'!B23&lt;&gt;"",'1mA'!H23,"")</f>
        <v/>
      </c>
      <c r="I1523" s="97">
        <f>IF('1mA'!B23&lt;&gt;"",'1mA'!I23,"")</f>
        <v/>
      </c>
      <c r="J1523" s="78">
        <f>IF('1mA'!B23&lt;&gt;"",'1mA'!J23,"")</f>
        <v/>
      </c>
    </row>
    <row r="1524" ht="15.75" customHeight="1" s="52">
      <c r="A1524" s="92">
        <f>IF('1mA'!B24&lt;&gt;"","1mA","")</f>
        <v/>
      </c>
      <c r="B1524" s="82">
        <f>IF('1mA'!B24&lt;&gt;"",'1mA'!B24,"")</f>
        <v/>
      </c>
      <c r="C1524" s="82">
        <f>IF('1mA'!B24&lt;&gt;"",'1mA'!C24,"")</f>
        <v/>
      </c>
      <c r="D1524" s="82">
        <f>IF('1mA'!B24&lt;&gt;"",'1mA'!D24,"")</f>
        <v/>
      </c>
      <c r="E1524" s="82">
        <f>IF('1mA'!B24&lt;&gt;"",'1mA'!E24,"")</f>
        <v/>
      </c>
      <c r="F1524" s="82">
        <f>IF('1mA'!B24&lt;&gt;"",'1mA'!F24,"")</f>
        <v/>
      </c>
      <c r="G1524" s="82">
        <f>IF('1mA'!B24&lt;&gt;"",'1mA'!G24,"")</f>
        <v/>
      </c>
      <c r="H1524" s="92">
        <f>IF('1mA'!B24&lt;&gt;"",'1mA'!H24,"")</f>
        <v/>
      </c>
      <c r="I1524" s="92">
        <f>IF('1mA'!B24&lt;&gt;"",'1mA'!I24,"")</f>
        <v/>
      </c>
      <c r="J1524" s="82">
        <f>IF('1mA'!B24&lt;&gt;"",'1mA'!J24,"")</f>
        <v/>
      </c>
    </row>
    <row r="1525" ht="15.75" customHeight="1" s="52">
      <c r="A1525" s="97">
        <f>IF('1mA'!B25&lt;&gt;"","1mA","")</f>
        <v/>
      </c>
      <c r="B1525" s="78">
        <f>IF('1mA'!B25&lt;&gt;"",'1mA'!B25,"")</f>
        <v/>
      </c>
      <c r="C1525" s="78">
        <f>IF('1mA'!B25&lt;&gt;"",'1mA'!C25,"")</f>
        <v/>
      </c>
      <c r="D1525" s="78">
        <f>IF('1mA'!B25&lt;&gt;"",'1mA'!D25,"")</f>
        <v/>
      </c>
      <c r="E1525" s="78">
        <f>IF('1mA'!B25&lt;&gt;"",'1mA'!E25,"")</f>
        <v/>
      </c>
      <c r="F1525" s="78">
        <f>IF('1mA'!B25&lt;&gt;"",'1mA'!F25,"")</f>
        <v/>
      </c>
      <c r="G1525" s="78">
        <f>IF('1mA'!B25&lt;&gt;"",'1mA'!G25,"")</f>
        <v/>
      </c>
      <c r="H1525" s="97">
        <f>IF('1mA'!B25&lt;&gt;"",'1mA'!H25,"")</f>
        <v/>
      </c>
      <c r="I1525" s="97">
        <f>IF('1mA'!B25&lt;&gt;"",'1mA'!I25,"")</f>
        <v/>
      </c>
      <c r="J1525" s="78">
        <f>IF('1mA'!B25&lt;&gt;"",'1mA'!J25,"")</f>
        <v/>
      </c>
    </row>
    <row r="1526" ht="15.75" customHeight="1" s="52">
      <c r="A1526" s="92">
        <f>IF('1mA'!B26&lt;&gt;"","1mA","")</f>
        <v/>
      </c>
      <c r="B1526" s="82">
        <f>IF('1mA'!B26&lt;&gt;"",'1mA'!B26,"")</f>
        <v/>
      </c>
      <c r="C1526" s="82">
        <f>IF('1mA'!B26&lt;&gt;"",'1mA'!C26,"")</f>
        <v/>
      </c>
      <c r="D1526" s="82">
        <f>IF('1mA'!B26&lt;&gt;"",'1mA'!D26,"")</f>
        <v/>
      </c>
      <c r="E1526" s="82">
        <f>IF('1mA'!B26&lt;&gt;"",'1mA'!E26,"")</f>
        <v/>
      </c>
      <c r="F1526" s="82">
        <f>IF('1mA'!B26&lt;&gt;"",'1mA'!F26,"")</f>
        <v/>
      </c>
      <c r="G1526" s="82">
        <f>IF('1mA'!B26&lt;&gt;"",'1mA'!G26,"")</f>
        <v/>
      </c>
      <c r="H1526" s="92">
        <f>IF('1mA'!B26&lt;&gt;"",'1mA'!H26,"")</f>
        <v/>
      </c>
      <c r="I1526" s="92">
        <f>IF('1mA'!B26&lt;&gt;"",'1mA'!I26,"")</f>
        <v/>
      </c>
      <c r="J1526" s="82">
        <f>IF('1mA'!B26&lt;&gt;"",'1mA'!J26,"")</f>
        <v/>
      </c>
    </row>
    <row r="1527" ht="15.75" customHeight="1" s="52">
      <c r="A1527" s="97">
        <f>IF('1mA'!B27&lt;&gt;"","1mA","")</f>
        <v/>
      </c>
      <c r="B1527" s="78">
        <f>IF('1mA'!B27&lt;&gt;"",'1mA'!B27,"")</f>
        <v/>
      </c>
      <c r="C1527" s="78">
        <f>IF('1mA'!B27&lt;&gt;"",'1mA'!C27,"")</f>
        <v/>
      </c>
      <c r="D1527" s="78">
        <f>IF('1mA'!B27&lt;&gt;"",'1mA'!D27,"")</f>
        <v/>
      </c>
      <c r="E1527" s="78">
        <f>IF('1mA'!B27&lt;&gt;"",'1mA'!E27,"")</f>
        <v/>
      </c>
      <c r="F1527" s="78">
        <f>IF('1mA'!B27&lt;&gt;"",'1mA'!F27,"")</f>
        <v/>
      </c>
      <c r="G1527" s="78">
        <f>IF('1mA'!B27&lt;&gt;"",'1mA'!G27,"")</f>
        <v/>
      </c>
      <c r="H1527" s="97">
        <f>IF('1mA'!B27&lt;&gt;"",'1mA'!H27,"")</f>
        <v/>
      </c>
      <c r="I1527" s="97">
        <f>IF('1mA'!B27&lt;&gt;"",'1mA'!I27,"")</f>
        <v/>
      </c>
      <c r="J1527" s="78">
        <f>IF('1mA'!B27&lt;&gt;"",'1mA'!J27,"")</f>
        <v/>
      </c>
    </row>
    <row r="1528" ht="15.75" customHeight="1" s="52">
      <c r="A1528" s="92">
        <f>IF('1mA'!B28&lt;&gt;"","1mA","")</f>
        <v/>
      </c>
      <c r="B1528" s="82">
        <f>IF('1mA'!B28&lt;&gt;"",'1mA'!B28,"")</f>
        <v/>
      </c>
      <c r="C1528" s="82">
        <f>IF('1mA'!B28&lt;&gt;"",'1mA'!C28,"")</f>
        <v/>
      </c>
      <c r="D1528" s="82">
        <f>IF('1mA'!B28&lt;&gt;"",'1mA'!D28,"")</f>
        <v/>
      </c>
      <c r="E1528" s="82">
        <f>IF('1mA'!B28&lt;&gt;"",'1mA'!E28,"")</f>
        <v/>
      </c>
      <c r="F1528" s="82">
        <f>IF('1mA'!B28&lt;&gt;"",'1mA'!F28,"")</f>
        <v/>
      </c>
      <c r="G1528" s="82">
        <f>IF('1mA'!B28&lt;&gt;"",'1mA'!G28,"")</f>
        <v/>
      </c>
      <c r="H1528" s="92">
        <f>IF('1mA'!B28&lt;&gt;"",'1mA'!H28,"")</f>
        <v/>
      </c>
      <c r="I1528" s="92">
        <f>IF('1mA'!B28&lt;&gt;"",'1mA'!I28,"")</f>
        <v/>
      </c>
      <c r="J1528" s="82">
        <f>IF('1mA'!B28&lt;&gt;"",'1mA'!J28,"")</f>
        <v/>
      </c>
    </row>
    <row r="1529" ht="15.75" customHeight="1" s="52">
      <c r="A1529" s="97">
        <f>IF('1mA'!B29&lt;&gt;"","1mA","")</f>
        <v/>
      </c>
      <c r="B1529" s="78">
        <f>IF('1mA'!B29&lt;&gt;"",'1mA'!B29,"")</f>
        <v/>
      </c>
      <c r="C1529" s="78">
        <f>IF('1mA'!B29&lt;&gt;"",'1mA'!C29,"")</f>
        <v/>
      </c>
      <c r="D1529" s="78">
        <f>IF('1mA'!B29&lt;&gt;"",'1mA'!D29,"")</f>
        <v/>
      </c>
      <c r="E1529" s="78">
        <f>IF('1mA'!B29&lt;&gt;"",'1mA'!E29,"")</f>
        <v/>
      </c>
      <c r="F1529" s="78">
        <f>IF('1mA'!B29&lt;&gt;"",'1mA'!F29,"")</f>
        <v/>
      </c>
      <c r="G1529" s="78">
        <f>IF('1mA'!B29&lt;&gt;"",'1mA'!G29,"")</f>
        <v/>
      </c>
      <c r="H1529" s="97">
        <f>IF('1mA'!B29&lt;&gt;"",'1mA'!H29,"")</f>
        <v/>
      </c>
      <c r="I1529" s="97">
        <f>IF('1mA'!B29&lt;&gt;"",'1mA'!I29,"")</f>
        <v/>
      </c>
      <c r="J1529" s="78">
        <f>IF('1mA'!B29&lt;&gt;"",'1mA'!J29,"")</f>
        <v/>
      </c>
    </row>
    <row r="1530" ht="15.75" customHeight="1" s="52">
      <c r="A1530" s="92">
        <f>IF('1mA'!B30&lt;&gt;"","1mA","")</f>
        <v/>
      </c>
      <c r="B1530" s="82">
        <f>IF('1mA'!B30&lt;&gt;"",'1mA'!B30,"")</f>
        <v/>
      </c>
      <c r="C1530" s="82">
        <f>IF('1mA'!B30&lt;&gt;"",'1mA'!C30,"")</f>
        <v/>
      </c>
      <c r="D1530" s="82">
        <f>IF('1mA'!B30&lt;&gt;"",'1mA'!D30,"")</f>
        <v/>
      </c>
      <c r="E1530" s="82">
        <f>IF('1mA'!B30&lt;&gt;"",'1mA'!E30,"")</f>
        <v/>
      </c>
      <c r="F1530" s="82">
        <f>IF('1mA'!B30&lt;&gt;"",'1mA'!F30,"")</f>
        <v/>
      </c>
      <c r="G1530" s="82">
        <f>IF('1mA'!B30&lt;&gt;"",'1mA'!G30,"")</f>
        <v/>
      </c>
      <c r="H1530" s="92">
        <f>IF('1mA'!B30&lt;&gt;"",'1mA'!H30,"")</f>
        <v/>
      </c>
      <c r="I1530" s="92">
        <f>IF('1mA'!B30&lt;&gt;"",'1mA'!I30,"")</f>
        <v/>
      </c>
      <c r="J1530" s="82">
        <f>IF('1mA'!B30&lt;&gt;"",'1mA'!J30,"")</f>
        <v/>
      </c>
    </row>
    <row r="1531" ht="15.75" customHeight="1" s="52">
      <c r="A1531" s="97">
        <f>IF('1mA'!B31&lt;&gt;"","1mA","")</f>
        <v/>
      </c>
      <c r="B1531" s="78">
        <f>IF('1mA'!B31&lt;&gt;"",'1mA'!B31,"")</f>
        <v/>
      </c>
      <c r="C1531" s="78">
        <f>IF('1mA'!B31&lt;&gt;"",'1mA'!C31,"")</f>
        <v/>
      </c>
      <c r="D1531" s="78">
        <f>IF('1mA'!B31&lt;&gt;"",'1mA'!D31,"")</f>
        <v/>
      </c>
      <c r="E1531" s="78">
        <f>IF('1mA'!B31&lt;&gt;"",'1mA'!E31,"")</f>
        <v/>
      </c>
      <c r="F1531" s="78">
        <f>IF('1mA'!B31&lt;&gt;"",'1mA'!F31,"")</f>
        <v/>
      </c>
      <c r="G1531" s="78">
        <f>IF('1mA'!B31&lt;&gt;"",'1mA'!G31,"")</f>
        <v/>
      </c>
      <c r="H1531" s="97">
        <f>IF('1mA'!B31&lt;&gt;"",'1mA'!H31,"")</f>
        <v/>
      </c>
      <c r="I1531" s="97">
        <f>IF('1mA'!B31&lt;&gt;"",'1mA'!I31,"")</f>
        <v/>
      </c>
      <c r="J1531" s="78">
        <f>IF('1mA'!B31&lt;&gt;"",'1mA'!J31,"")</f>
        <v/>
      </c>
    </row>
    <row r="1532" ht="15.75" customHeight="1" s="52">
      <c r="A1532" s="92">
        <f>IF('1mA'!B32&lt;&gt;"","1mA","")</f>
        <v/>
      </c>
      <c r="B1532" s="82">
        <f>IF('1mA'!B32&lt;&gt;"",'1mA'!B32,"")</f>
        <v/>
      </c>
      <c r="C1532" s="82">
        <f>IF('1mA'!B32&lt;&gt;"",'1mA'!C32,"")</f>
        <v/>
      </c>
      <c r="D1532" s="82">
        <f>IF('1mA'!B32&lt;&gt;"",'1mA'!D32,"")</f>
        <v/>
      </c>
      <c r="E1532" s="82">
        <f>IF('1mA'!B32&lt;&gt;"",'1mA'!E32,"")</f>
        <v/>
      </c>
      <c r="F1532" s="82">
        <f>IF('1mA'!B32&lt;&gt;"",'1mA'!F32,"")</f>
        <v/>
      </c>
      <c r="G1532" s="82">
        <f>IF('1mA'!B32&lt;&gt;"",'1mA'!G32,"")</f>
        <v/>
      </c>
      <c r="H1532" s="92">
        <f>IF('1mA'!B32&lt;&gt;"",'1mA'!H32,"")</f>
        <v/>
      </c>
      <c r="I1532" s="92">
        <f>IF('1mA'!B32&lt;&gt;"",'1mA'!I32,"")</f>
        <v/>
      </c>
      <c r="J1532" s="82">
        <f>IF('1mA'!B32&lt;&gt;"",'1mA'!J32,"")</f>
        <v/>
      </c>
    </row>
    <row r="1533" ht="15.75" customHeight="1" s="52">
      <c r="A1533" s="97">
        <f>IF('1mA'!B33&lt;&gt;"","1mA","")</f>
        <v/>
      </c>
      <c r="B1533" s="78">
        <f>IF('1mA'!B33&lt;&gt;"",'1mA'!B33,"")</f>
        <v/>
      </c>
      <c r="C1533" s="78">
        <f>IF('1mA'!B33&lt;&gt;"",'1mA'!C33,"")</f>
        <v/>
      </c>
      <c r="D1533" s="78">
        <f>IF('1mA'!B33&lt;&gt;"",'1mA'!D33,"")</f>
        <v/>
      </c>
      <c r="E1533" s="78">
        <f>IF('1mA'!B33&lt;&gt;"",'1mA'!E33,"")</f>
        <v/>
      </c>
      <c r="F1533" s="78">
        <f>IF('1mA'!B33&lt;&gt;"",'1mA'!F33,"")</f>
        <v/>
      </c>
      <c r="G1533" s="78">
        <f>IF('1mA'!B33&lt;&gt;"",'1mA'!G33,"")</f>
        <v/>
      </c>
      <c r="H1533" s="97">
        <f>IF('1mA'!B33&lt;&gt;"",'1mA'!H33,"")</f>
        <v/>
      </c>
      <c r="I1533" s="97">
        <f>IF('1mA'!B33&lt;&gt;"",'1mA'!I33,"")</f>
        <v/>
      </c>
      <c r="J1533" s="78">
        <f>IF('1mA'!B33&lt;&gt;"",'1mA'!J33,"")</f>
        <v/>
      </c>
    </row>
    <row r="1534" ht="15.75" customHeight="1" s="52">
      <c r="A1534" s="92">
        <f>IF('1mA'!B34&lt;&gt;"","1mA","")</f>
        <v/>
      </c>
      <c r="B1534" s="82">
        <f>IF('1mA'!B34&lt;&gt;"",'1mA'!B34,"")</f>
        <v/>
      </c>
      <c r="C1534" s="82">
        <f>IF('1mA'!B34&lt;&gt;"",'1mA'!C34,"")</f>
        <v/>
      </c>
      <c r="D1534" s="82">
        <f>IF('1mA'!B34&lt;&gt;"",'1mA'!D34,"")</f>
        <v/>
      </c>
      <c r="E1534" s="82">
        <f>IF('1mA'!B34&lt;&gt;"",'1mA'!E34,"")</f>
        <v/>
      </c>
      <c r="F1534" s="82">
        <f>IF('1mA'!B34&lt;&gt;"",'1mA'!F34,"")</f>
        <v/>
      </c>
      <c r="G1534" s="82">
        <f>IF('1mA'!B34&lt;&gt;"",'1mA'!G34,"")</f>
        <v/>
      </c>
      <c r="H1534" s="92">
        <f>IF('1mA'!B34&lt;&gt;"",'1mA'!H34,"")</f>
        <v/>
      </c>
      <c r="I1534" s="92">
        <f>IF('1mA'!B34&lt;&gt;"",'1mA'!I34,"")</f>
        <v/>
      </c>
      <c r="J1534" s="82">
        <f>IF('1mA'!B34&lt;&gt;"",'1mA'!J34,"")</f>
        <v/>
      </c>
    </row>
    <row r="1535" ht="15.75" customHeight="1" s="52">
      <c r="A1535" s="97">
        <f>IF('1mA'!B35&lt;&gt;"","1mA","")</f>
        <v/>
      </c>
      <c r="B1535" s="78">
        <f>IF('1mA'!B35&lt;&gt;"",'1mA'!B35,"")</f>
        <v/>
      </c>
      <c r="C1535" s="78">
        <f>IF('1mA'!B35&lt;&gt;"",'1mA'!C35,"")</f>
        <v/>
      </c>
      <c r="D1535" s="78">
        <f>IF('1mA'!B35&lt;&gt;"",'1mA'!D35,"")</f>
        <v/>
      </c>
      <c r="E1535" s="78">
        <f>IF('1mA'!B35&lt;&gt;"",'1mA'!E35,"")</f>
        <v/>
      </c>
      <c r="F1535" s="78">
        <f>IF('1mA'!B35&lt;&gt;"",'1mA'!F35,"")</f>
        <v/>
      </c>
      <c r="G1535" s="78">
        <f>IF('1mA'!B35&lt;&gt;"",'1mA'!G35,"")</f>
        <v/>
      </c>
      <c r="H1535" s="97">
        <f>IF('1mA'!B35&lt;&gt;"",'1mA'!H35,"")</f>
        <v/>
      </c>
      <c r="I1535" s="97">
        <f>IF('1mA'!B35&lt;&gt;"",'1mA'!I35,"")</f>
        <v/>
      </c>
      <c r="J1535" s="78">
        <f>IF('1mA'!B35&lt;&gt;"",'1mA'!J35,"")</f>
        <v/>
      </c>
    </row>
    <row r="1536" ht="15.75" customHeight="1" s="52">
      <c r="A1536" s="92">
        <f>IF('1mA'!B36&lt;&gt;"","1mA","")</f>
        <v/>
      </c>
      <c r="B1536" s="82">
        <f>IF('1mA'!B36&lt;&gt;"",'1mA'!B36,"")</f>
        <v/>
      </c>
      <c r="C1536" s="82">
        <f>IF('1mA'!B36&lt;&gt;"",'1mA'!C36,"")</f>
        <v/>
      </c>
      <c r="D1536" s="82">
        <f>IF('1mA'!B36&lt;&gt;"",'1mA'!D36,"")</f>
        <v/>
      </c>
      <c r="E1536" s="82">
        <f>IF('1mA'!B36&lt;&gt;"",'1mA'!E36,"")</f>
        <v/>
      </c>
      <c r="F1536" s="82">
        <f>IF('1mA'!B36&lt;&gt;"",'1mA'!F36,"")</f>
        <v/>
      </c>
      <c r="G1536" s="82">
        <f>IF('1mA'!B36&lt;&gt;"",'1mA'!G36,"")</f>
        <v/>
      </c>
      <c r="H1536" s="92">
        <f>IF('1mA'!B36&lt;&gt;"",'1mA'!H36,"")</f>
        <v/>
      </c>
      <c r="I1536" s="92">
        <f>IF('1mA'!B36&lt;&gt;"",'1mA'!I36,"")</f>
        <v/>
      </c>
      <c r="J1536" s="82">
        <f>IF('1mA'!B36&lt;&gt;"",'1mA'!J36,"")</f>
        <v/>
      </c>
    </row>
    <row r="1537" ht="15.75" customHeight="1" s="52">
      <c r="A1537" s="97">
        <f>IF('1mA'!B37&lt;&gt;"","1mA","")</f>
        <v/>
      </c>
      <c r="B1537" s="78">
        <f>IF('1mA'!B37&lt;&gt;"",'1mA'!B37,"")</f>
        <v/>
      </c>
      <c r="C1537" s="78">
        <f>IF('1mA'!B37&lt;&gt;"",'1mA'!C37,"")</f>
        <v/>
      </c>
      <c r="D1537" s="78">
        <f>IF('1mA'!B37&lt;&gt;"",'1mA'!D37,"")</f>
        <v/>
      </c>
      <c r="E1537" s="78">
        <f>IF('1mA'!B37&lt;&gt;"",'1mA'!E37,"")</f>
        <v/>
      </c>
      <c r="F1537" s="78">
        <f>IF('1mA'!B37&lt;&gt;"",'1mA'!F37,"")</f>
        <v/>
      </c>
      <c r="G1537" s="78">
        <f>IF('1mA'!B37&lt;&gt;"",'1mA'!G37,"")</f>
        <v/>
      </c>
      <c r="H1537" s="97">
        <f>IF('1mA'!B37&lt;&gt;"",'1mA'!H37,"")</f>
        <v/>
      </c>
      <c r="I1537" s="97">
        <f>IF('1mA'!B37&lt;&gt;"",'1mA'!I37,"")</f>
        <v/>
      </c>
      <c r="J1537" s="78">
        <f>IF('1mA'!B37&lt;&gt;"",'1mA'!J37,"")</f>
        <v/>
      </c>
    </row>
    <row r="1538" ht="15.75" customHeight="1" s="52">
      <c r="A1538" s="92">
        <f>IF('1mA'!B38&lt;&gt;"","1mA","")</f>
        <v/>
      </c>
      <c r="B1538" s="82">
        <f>IF('1mA'!B38&lt;&gt;"",'1mA'!B38,"")</f>
        <v/>
      </c>
      <c r="C1538" s="82">
        <f>IF('1mA'!B38&lt;&gt;"",'1mA'!C38,"")</f>
        <v/>
      </c>
      <c r="D1538" s="82">
        <f>IF('1mA'!B38&lt;&gt;"",'1mA'!D38,"")</f>
        <v/>
      </c>
      <c r="E1538" s="82">
        <f>IF('1mA'!B38&lt;&gt;"",'1mA'!E38,"")</f>
        <v/>
      </c>
      <c r="F1538" s="82">
        <f>IF('1mA'!B38&lt;&gt;"",'1mA'!F38,"")</f>
        <v/>
      </c>
      <c r="G1538" s="82">
        <f>IF('1mA'!B38&lt;&gt;"",'1mA'!G38,"")</f>
        <v/>
      </c>
      <c r="H1538" s="92">
        <f>IF('1mA'!B38&lt;&gt;"",'1mA'!H38,"")</f>
        <v/>
      </c>
      <c r="I1538" s="92">
        <f>IF('1mA'!B38&lt;&gt;"",'1mA'!I38,"")</f>
        <v/>
      </c>
      <c r="J1538" s="82">
        <f>IF('1mA'!B38&lt;&gt;"",'1mA'!J38,"")</f>
        <v/>
      </c>
    </row>
    <row r="1539" ht="15.75" customHeight="1" s="52">
      <c r="A1539" s="97">
        <f>IF('1mA'!B39&lt;&gt;"","1mA","")</f>
        <v/>
      </c>
      <c r="B1539" s="78">
        <f>IF('1mA'!B39&lt;&gt;"",'1mA'!B39,"")</f>
        <v/>
      </c>
      <c r="C1539" s="78">
        <f>IF('1mA'!B39&lt;&gt;"",'1mA'!C39,"")</f>
        <v/>
      </c>
      <c r="D1539" s="78">
        <f>IF('1mA'!B39&lt;&gt;"",'1mA'!D39,"")</f>
        <v/>
      </c>
      <c r="E1539" s="78">
        <f>IF('1mA'!B39&lt;&gt;"",'1mA'!E39,"")</f>
        <v/>
      </c>
      <c r="F1539" s="78">
        <f>IF('1mA'!B39&lt;&gt;"",'1mA'!F39,"")</f>
        <v/>
      </c>
      <c r="G1539" s="78">
        <f>IF('1mA'!B39&lt;&gt;"",'1mA'!G39,"")</f>
        <v/>
      </c>
      <c r="H1539" s="97">
        <f>IF('1mA'!B39&lt;&gt;"",'1mA'!H39,"")</f>
        <v/>
      </c>
      <c r="I1539" s="97">
        <f>IF('1mA'!B39&lt;&gt;"",'1mA'!I39,"")</f>
        <v/>
      </c>
      <c r="J1539" s="78">
        <f>IF('1mA'!B39&lt;&gt;"",'1mA'!J39,"")</f>
        <v/>
      </c>
    </row>
    <row r="1540" ht="15.75" customHeight="1" s="52">
      <c r="A1540" s="92">
        <f>IF('1mA'!B40&lt;&gt;"","1mA","")</f>
        <v/>
      </c>
      <c r="B1540" s="82">
        <f>IF('1mA'!B40&lt;&gt;"",'1mA'!B40,"")</f>
        <v/>
      </c>
      <c r="C1540" s="82">
        <f>IF('1mA'!B40&lt;&gt;"",'1mA'!C40,"")</f>
        <v/>
      </c>
      <c r="D1540" s="82">
        <f>IF('1mA'!B40&lt;&gt;"",'1mA'!D40,"")</f>
        <v/>
      </c>
      <c r="E1540" s="82">
        <f>IF('1mA'!B40&lt;&gt;"",'1mA'!E40,"")</f>
        <v/>
      </c>
      <c r="F1540" s="82">
        <f>IF('1mA'!B40&lt;&gt;"",'1mA'!F40,"")</f>
        <v/>
      </c>
      <c r="G1540" s="82">
        <f>IF('1mA'!B40&lt;&gt;"",'1mA'!G40,"")</f>
        <v/>
      </c>
      <c r="H1540" s="92">
        <f>IF('1mA'!B40&lt;&gt;"",'1mA'!H40,"")</f>
        <v/>
      </c>
      <c r="I1540" s="92">
        <f>IF('1mA'!B40&lt;&gt;"",'1mA'!I40,"")</f>
        <v/>
      </c>
      <c r="J1540" s="82">
        <f>IF('1mA'!B40&lt;&gt;"",'1mA'!J40,"")</f>
        <v/>
      </c>
    </row>
    <row r="1541" ht="15.75" customHeight="1" s="52">
      <c r="A1541" s="97">
        <f>IF('1mA'!B41&lt;&gt;"","1mA","")</f>
        <v/>
      </c>
      <c r="B1541" s="78">
        <f>IF('1mA'!B41&lt;&gt;"",'1mA'!B41,"")</f>
        <v/>
      </c>
      <c r="C1541" s="78">
        <f>IF('1mA'!B41&lt;&gt;"",'1mA'!C41,"")</f>
        <v/>
      </c>
      <c r="D1541" s="78">
        <f>IF('1mA'!B41&lt;&gt;"",'1mA'!D41,"")</f>
        <v/>
      </c>
      <c r="E1541" s="78">
        <f>IF('1mA'!B41&lt;&gt;"",'1mA'!E41,"")</f>
        <v/>
      </c>
      <c r="F1541" s="78">
        <f>IF('1mA'!B41&lt;&gt;"",'1mA'!F41,"")</f>
        <v/>
      </c>
      <c r="G1541" s="78">
        <f>IF('1mA'!B41&lt;&gt;"",'1mA'!G41,"")</f>
        <v/>
      </c>
      <c r="H1541" s="97">
        <f>IF('1mA'!B41&lt;&gt;"",'1mA'!H41,"")</f>
        <v/>
      </c>
      <c r="I1541" s="97">
        <f>IF('1mA'!B41&lt;&gt;"",'1mA'!I41,"")</f>
        <v/>
      </c>
      <c r="J1541" s="78">
        <f>IF('1mA'!B41&lt;&gt;"",'1mA'!J41,"")</f>
        <v/>
      </c>
    </row>
    <row r="1542" ht="15.75" customHeight="1" s="52">
      <c r="A1542" s="92">
        <f>IF('1mA'!B42&lt;&gt;"","1mA","")</f>
        <v/>
      </c>
      <c r="B1542" s="82">
        <f>IF('1mA'!B42&lt;&gt;"",'1mA'!B42,"")</f>
        <v/>
      </c>
      <c r="C1542" s="82">
        <f>IF('1mA'!B42&lt;&gt;"",'1mA'!C42,"")</f>
        <v/>
      </c>
      <c r="D1542" s="82">
        <f>IF('1mA'!B42&lt;&gt;"",'1mA'!D42,"")</f>
        <v/>
      </c>
      <c r="E1542" s="82">
        <f>IF('1mA'!B42&lt;&gt;"",'1mA'!E42,"")</f>
        <v/>
      </c>
      <c r="F1542" s="82">
        <f>IF('1mA'!B42&lt;&gt;"",'1mA'!F42,"")</f>
        <v/>
      </c>
      <c r="G1542" s="82">
        <f>IF('1mA'!B42&lt;&gt;"",'1mA'!G42,"")</f>
        <v/>
      </c>
      <c r="H1542" s="92">
        <f>IF('1mA'!B42&lt;&gt;"",'1mA'!H42,"")</f>
        <v/>
      </c>
      <c r="I1542" s="92">
        <f>IF('1mA'!B42&lt;&gt;"",'1mA'!I42,"")</f>
        <v/>
      </c>
      <c r="J1542" s="82">
        <f>IF('1mA'!B42&lt;&gt;"",'1mA'!J42,"")</f>
        <v/>
      </c>
    </row>
    <row r="1543" ht="15.75" customHeight="1" s="52">
      <c r="A1543" s="97">
        <f>IF('1mA'!B43&lt;&gt;"","1mA","")</f>
        <v/>
      </c>
      <c r="B1543" s="78">
        <f>IF('1mA'!B43&lt;&gt;"",'1mA'!B43,"")</f>
        <v/>
      </c>
      <c r="C1543" s="78">
        <f>IF('1mA'!B43&lt;&gt;"",'1mA'!C43,"")</f>
        <v/>
      </c>
      <c r="D1543" s="78">
        <f>IF('1mA'!B43&lt;&gt;"",'1mA'!D43,"")</f>
        <v/>
      </c>
      <c r="E1543" s="78">
        <f>IF('1mA'!B43&lt;&gt;"",'1mA'!E43,"")</f>
        <v/>
      </c>
      <c r="F1543" s="78">
        <f>IF('1mA'!B43&lt;&gt;"",'1mA'!F43,"")</f>
        <v/>
      </c>
      <c r="G1543" s="78">
        <f>IF('1mA'!B43&lt;&gt;"",'1mA'!G43,"")</f>
        <v/>
      </c>
      <c r="H1543" s="97">
        <f>IF('1mA'!B43&lt;&gt;"",'1mA'!H43,"")</f>
        <v/>
      </c>
      <c r="I1543" s="97">
        <f>IF('1mA'!B43&lt;&gt;"",'1mA'!I43,"")</f>
        <v/>
      </c>
      <c r="J1543" s="78">
        <f>IF('1mA'!B43&lt;&gt;"",'1mA'!J43,"")</f>
        <v/>
      </c>
    </row>
    <row r="1544" ht="15.75" customHeight="1" s="52">
      <c r="A1544" s="92">
        <f>IF('1mA'!B44&lt;&gt;"","1mA","")</f>
        <v/>
      </c>
      <c r="B1544" s="82">
        <f>IF('1mA'!B44&lt;&gt;"",'1mA'!B44,"")</f>
        <v/>
      </c>
      <c r="C1544" s="82">
        <f>IF('1mA'!B44&lt;&gt;"",'1mA'!C44,"")</f>
        <v/>
      </c>
      <c r="D1544" s="82">
        <f>IF('1mA'!B44&lt;&gt;"",'1mA'!D44,"")</f>
        <v/>
      </c>
      <c r="E1544" s="82">
        <f>IF('1mA'!B44&lt;&gt;"",'1mA'!E44,"")</f>
        <v/>
      </c>
      <c r="F1544" s="82">
        <f>IF('1mA'!B44&lt;&gt;"",'1mA'!F44,"")</f>
        <v/>
      </c>
      <c r="G1544" s="82">
        <f>IF('1mA'!B44&lt;&gt;"",'1mA'!G44,"")</f>
        <v/>
      </c>
      <c r="H1544" s="92">
        <f>IF('1mA'!B44&lt;&gt;"",'1mA'!H44,"")</f>
        <v/>
      </c>
      <c r="I1544" s="92">
        <f>IF('1mA'!B44&lt;&gt;"",'1mA'!I44,"")</f>
        <v/>
      </c>
      <c r="J1544" s="82">
        <f>IF('1mA'!B44&lt;&gt;"",'1mA'!J44,"")</f>
        <v/>
      </c>
    </row>
    <row r="1545" ht="15.75" customHeight="1" s="52">
      <c r="A1545" s="97">
        <f>IF('1mA'!B45&lt;&gt;"","1mA","")</f>
        <v/>
      </c>
      <c r="B1545" s="78">
        <f>IF('1mA'!B45&lt;&gt;"",'1mA'!B45,"")</f>
        <v/>
      </c>
      <c r="C1545" s="78">
        <f>IF('1mA'!B45&lt;&gt;"",'1mA'!C45,"")</f>
        <v/>
      </c>
      <c r="D1545" s="78">
        <f>IF('1mA'!B45&lt;&gt;"",'1mA'!D45,"")</f>
        <v/>
      </c>
      <c r="E1545" s="78">
        <f>IF('1mA'!B45&lt;&gt;"",'1mA'!E45,"")</f>
        <v/>
      </c>
      <c r="F1545" s="78">
        <f>IF('1mA'!B45&lt;&gt;"",'1mA'!F45,"")</f>
        <v/>
      </c>
      <c r="G1545" s="78">
        <f>IF('1mA'!B45&lt;&gt;"",'1mA'!G45,"")</f>
        <v/>
      </c>
      <c r="H1545" s="97">
        <f>IF('1mA'!B45&lt;&gt;"",'1mA'!H45,"")</f>
        <v/>
      </c>
      <c r="I1545" s="97">
        <f>IF('1mA'!B45&lt;&gt;"",'1mA'!I45,"")</f>
        <v/>
      </c>
      <c r="J1545" s="78">
        <f>IF('1mA'!B45&lt;&gt;"",'1mA'!J45,"")</f>
        <v/>
      </c>
    </row>
    <row r="1546" ht="15.75" customHeight="1" s="52">
      <c r="A1546" s="92">
        <f>IF('1mA'!B46&lt;&gt;"","1mA","")</f>
        <v/>
      </c>
      <c r="B1546" s="82">
        <f>IF('1mA'!B46&lt;&gt;"",'1mA'!B46,"")</f>
        <v/>
      </c>
      <c r="C1546" s="82">
        <f>IF('1mA'!B46&lt;&gt;"",'1mA'!C46,"")</f>
        <v/>
      </c>
      <c r="D1546" s="82">
        <f>IF('1mA'!B46&lt;&gt;"",'1mA'!D46,"")</f>
        <v/>
      </c>
      <c r="E1546" s="82">
        <f>IF('1mA'!B46&lt;&gt;"",'1mA'!E46,"")</f>
        <v/>
      </c>
      <c r="F1546" s="82">
        <f>IF('1mA'!B46&lt;&gt;"",'1mA'!F46,"")</f>
        <v/>
      </c>
      <c r="G1546" s="82">
        <f>IF('1mA'!B46&lt;&gt;"",'1mA'!G46,"")</f>
        <v/>
      </c>
      <c r="H1546" s="92">
        <f>IF('1mA'!B46&lt;&gt;"",'1mA'!H46,"")</f>
        <v/>
      </c>
      <c r="I1546" s="92">
        <f>IF('1mA'!B46&lt;&gt;"",'1mA'!I46,"")</f>
        <v/>
      </c>
      <c r="J1546" s="82">
        <f>IF('1mA'!B46&lt;&gt;"",'1mA'!J46,"")</f>
        <v/>
      </c>
    </row>
    <row r="1547" ht="15.75" customHeight="1" s="52">
      <c r="A1547" s="97">
        <f>IF('1mA'!B47&lt;&gt;"","1mA","")</f>
        <v/>
      </c>
      <c r="B1547" s="78">
        <f>IF('1mA'!B47&lt;&gt;"",'1mA'!B47,"")</f>
        <v/>
      </c>
      <c r="C1547" s="78">
        <f>IF('1mA'!B47&lt;&gt;"",'1mA'!C47,"")</f>
        <v/>
      </c>
      <c r="D1547" s="78">
        <f>IF('1mA'!B47&lt;&gt;"",'1mA'!D47,"")</f>
        <v/>
      </c>
      <c r="E1547" s="78">
        <f>IF('1mA'!B47&lt;&gt;"",'1mA'!E47,"")</f>
        <v/>
      </c>
      <c r="F1547" s="78">
        <f>IF('1mA'!B47&lt;&gt;"",'1mA'!F47,"")</f>
        <v/>
      </c>
      <c r="G1547" s="78">
        <f>IF('1mA'!B47&lt;&gt;"",'1mA'!G47,"")</f>
        <v/>
      </c>
      <c r="H1547" s="97">
        <f>IF('1mA'!B47&lt;&gt;"",'1mA'!H47,"")</f>
        <v/>
      </c>
      <c r="I1547" s="97">
        <f>IF('1mA'!B47&lt;&gt;"",'1mA'!I47,"")</f>
        <v/>
      </c>
      <c r="J1547" s="78">
        <f>IF('1mA'!B47&lt;&gt;"",'1mA'!J47,"")</f>
        <v/>
      </c>
    </row>
    <row r="1548" ht="15.75" customHeight="1" s="52">
      <c r="A1548" s="92">
        <f>IF('1mA'!B48&lt;&gt;"","1mA","")</f>
        <v/>
      </c>
      <c r="B1548" s="82">
        <f>IF('1mA'!B48&lt;&gt;"",'1mA'!B48,"")</f>
        <v/>
      </c>
      <c r="C1548" s="82">
        <f>IF('1mA'!B48&lt;&gt;"",'1mA'!C48,"")</f>
        <v/>
      </c>
      <c r="D1548" s="82">
        <f>IF('1mA'!B48&lt;&gt;"",'1mA'!D48,"")</f>
        <v/>
      </c>
      <c r="E1548" s="82">
        <f>IF('1mA'!B48&lt;&gt;"",'1mA'!E48,"")</f>
        <v/>
      </c>
      <c r="F1548" s="82">
        <f>IF('1mA'!B48&lt;&gt;"",'1mA'!F48,"")</f>
        <v/>
      </c>
      <c r="G1548" s="82">
        <f>IF('1mA'!B48&lt;&gt;"",'1mA'!G48,"")</f>
        <v/>
      </c>
      <c r="H1548" s="92">
        <f>IF('1mA'!B48&lt;&gt;"",'1mA'!H48,"")</f>
        <v/>
      </c>
      <c r="I1548" s="92">
        <f>IF('1mA'!B48&lt;&gt;"",'1mA'!I48,"")</f>
        <v/>
      </c>
      <c r="J1548" s="82">
        <f>IF('1mA'!B48&lt;&gt;"",'1mA'!J48,"")</f>
        <v/>
      </c>
    </row>
    <row r="1549" ht="15.75" customHeight="1" s="52">
      <c r="A1549" s="97">
        <f>IF('1mA'!B49&lt;&gt;"","1mA","")</f>
        <v/>
      </c>
      <c r="B1549" s="78">
        <f>IF('1mA'!B49&lt;&gt;"",'1mA'!B49,"")</f>
        <v/>
      </c>
      <c r="C1549" s="78">
        <f>IF('1mA'!B49&lt;&gt;"",'1mA'!C49,"")</f>
        <v/>
      </c>
      <c r="D1549" s="78">
        <f>IF('1mA'!B49&lt;&gt;"",'1mA'!D49,"")</f>
        <v/>
      </c>
      <c r="E1549" s="78">
        <f>IF('1mA'!B49&lt;&gt;"",'1mA'!E49,"")</f>
        <v/>
      </c>
      <c r="F1549" s="78">
        <f>IF('1mA'!B49&lt;&gt;"",'1mA'!F49,"")</f>
        <v/>
      </c>
      <c r="G1549" s="78">
        <f>IF('1mA'!B49&lt;&gt;"",'1mA'!G49,"")</f>
        <v/>
      </c>
      <c r="H1549" s="97">
        <f>IF('1mA'!B49&lt;&gt;"",'1mA'!H49,"")</f>
        <v/>
      </c>
      <c r="I1549" s="97">
        <f>IF('1mA'!B49&lt;&gt;"",'1mA'!I49,"")</f>
        <v/>
      </c>
      <c r="J1549" s="78">
        <f>IF('1mA'!B49&lt;&gt;"",'1mA'!J49,"")</f>
        <v/>
      </c>
    </row>
    <row r="1550" ht="15.75" customHeight="1" s="52">
      <c r="A1550" s="92">
        <f>IF('1mA'!B50&lt;&gt;"","1mA","")</f>
        <v/>
      </c>
      <c r="B1550" s="82">
        <f>IF('1mA'!B50&lt;&gt;"",'1mA'!B50,"")</f>
        <v/>
      </c>
      <c r="C1550" s="82">
        <f>IF('1mA'!B50&lt;&gt;"",'1mA'!C50,"")</f>
        <v/>
      </c>
      <c r="D1550" s="82">
        <f>IF('1mA'!B50&lt;&gt;"",'1mA'!D50,"")</f>
        <v/>
      </c>
      <c r="E1550" s="82">
        <f>IF('1mA'!B50&lt;&gt;"",'1mA'!E50,"")</f>
        <v/>
      </c>
      <c r="F1550" s="82">
        <f>IF('1mA'!B50&lt;&gt;"",'1mA'!F50,"")</f>
        <v/>
      </c>
      <c r="G1550" s="82">
        <f>IF('1mA'!B50&lt;&gt;"",'1mA'!G50,"")</f>
        <v/>
      </c>
      <c r="H1550" s="92">
        <f>IF('1mA'!B50&lt;&gt;"",'1mA'!H50,"")</f>
        <v/>
      </c>
      <c r="I1550" s="92">
        <f>IF('1mA'!B50&lt;&gt;"",'1mA'!I50,"")</f>
        <v/>
      </c>
      <c r="J1550" s="82">
        <f>IF('1mA'!B50&lt;&gt;"",'1mA'!J50,"")</f>
        <v/>
      </c>
    </row>
    <row r="1551" ht="15.75" customHeight="1" s="52">
      <c r="A1551" s="97">
        <f>IF('1mA'!B51&lt;&gt;"","1mA","")</f>
        <v/>
      </c>
      <c r="B1551" s="78">
        <f>IF('1mA'!B51&lt;&gt;"",'1mA'!B51,"")</f>
        <v/>
      </c>
      <c r="C1551" s="78">
        <f>IF('1mA'!B51&lt;&gt;"",'1mA'!C51,"")</f>
        <v/>
      </c>
      <c r="D1551" s="78">
        <f>IF('1mA'!B51&lt;&gt;"",'1mA'!D51,"")</f>
        <v/>
      </c>
      <c r="E1551" s="78">
        <f>IF('1mA'!B51&lt;&gt;"",'1mA'!E51,"")</f>
        <v/>
      </c>
      <c r="F1551" s="78">
        <f>IF('1mA'!B51&lt;&gt;"",'1mA'!F51,"")</f>
        <v/>
      </c>
      <c r="G1551" s="78">
        <f>IF('1mA'!B51&lt;&gt;"",'1mA'!G51,"")</f>
        <v/>
      </c>
      <c r="H1551" s="97">
        <f>IF('1mA'!B51&lt;&gt;"",'1mA'!H51,"")</f>
        <v/>
      </c>
      <c r="I1551" s="97">
        <f>IF('1mA'!B51&lt;&gt;"",'1mA'!I51,"")</f>
        <v/>
      </c>
      <c r="J1551" s="78">
        <f>IF('1mA'!B51&lt;&gt;"",'1mA'!J51,"")</f>
        <v/>
      </c>
    </row>
    <row r="1552" ht="15.75" customHeight="1" s="52">
      <c r="A1552" s="92">
        <f>IF('1mA'!B52&lt;&gt;"","1mA","")</f>
        <v/>
      </c>
      <c r="B1552" s="82">
        <f>IF('1mA'!B52&lt;&gt;"",'1mA'!B52,"")</f>
        <v/>
      </c>
      <c r="C1552" s="82">
        <f>IF('1mA'!B52&lt;&gt;"",'1mA'!C52,"")</f>
        <v/>
      </c>
      <c r="D1552" s="82">
        <f>IF('1mA'!B52&lt;&gt;"",'1mA'!D52,"")</f>
        <v/>
      </c>
      <c r="E1552" s="82">
        <f>IF('1mA'!B52&lt;&gt;"",'1mA'!E52,"")</f>
        <v/>
      </c>
      <c r="F1552" s="82">
        <f>IF('1mA'!B52&lt;&gt;"",'1mA'!F52,"")</f>
        <v/>
      </c>
      <c r="G1552" s="82">
        <f>IF('1mA'!B52&lt;&gt;"",'1mA'!G52,"")</f>
        <v/>
      </c>
      <c r="H1552" s="92">
        <f>IF('1mA'!B52&lt;&gt;"",'1mA'!H52,"")</f>
        <v/>
      </c>
      <c r="I1552" s="92">
        <f>IF('1mA'!B52&lt;&gt;"",'1mA'!I52,"")</f>
        <v/>
      </c>
      <c r="J1552" s="82">
        <f>IF('1mA'!B52&lt;&gt;"",'1mA'!J52,"")</f>
        <v/>
      </c>
    </row>
    <row r="1553" ht="15.75" customHeight="1" s="52">
      <c r="A1553" s="97">
        <f>IF('1mA'!B53&lt;&gt;"","1mA","")</f>
        <v/>
      </c>
      <c r="B1553" s="78">
        <f>IF('1mA'!B53&lt;&gt;"",'1mA'!B53,"")</f>
        <v/>
      </c>
      <c r="C1553" s="78">
        <f>IF('1mA'!B53&lt;&gt;"",'1mA'!C53,"")</f>
        <v/>
      </c>
      <c r="D1553" s="78">
        <f>IF('1mA'!B53&lt;&gt;"",'1mA'!D53,"")</f>
        <v/>
      </c>
      <c r="E1553" s="78">
        <f>IF('1mA'!B53&lt;&gt;"",'1mA'!E53,"")</f>
        <v/>
      </c>
      <c r="F1553" s="78">
        <f>IF('1mA'!B53&lt;&gt;"",'1mA'!F53,"")</f>
        <v/>
      </c>
      <c r="G1553" s="78">
        <f>IF('1mA'!B53&lt;&gt;"",'1mA'!G53,"")</f>
        <v/>
      </c>
      <c r="H1553" s="97">
        <f>IF('1mA'!B53&lt;&gt;"",'1mA'!H53,"")</f>
        <v/>
      </c>
      <c r="I1553" s="97">
        <f>IF('1mA'!B53&lt;&gt;"",'1mA'!I53,"")</f>
        <v/>
      </c>
      <c r="J1553" s="78">
        <f>IF('1mA'!B53&lt;&gt;"",'1mA'!J53,"")</f>
        <v/>
      </c>
    </row>
    <row r="1554" ht="15.75" customHeight="1" s="52">
      <c r="A1554" s="92">
        <f>IF('1mA'!B54&lt;&gt;"","1mA","")</f>
        <v/>
      </c>
      <c r="B1554" s="82">
        <f>IF('1mA'!B54&lt;&gt;"",'1mA'!B54,"")</f>
        <v/>
      </c>
      <c r="C1554" s="82">
        <f>IF('1mA'!B54&lt;&gt;"",'1mA'!C54,"")</f>
        <v/>
      </c>
      <c r="D1554" s="82">
        <f>IF('1mA'!B54&lt;&gt;"",'1mA'!D54,"")</f>
        <v/>
      </c>
      <c r="E1554" s="82">
        <f>IF('1mA'!B54&lt;&gt;"",'1mA'!E54,"")</f>
        <v/>
      </c>
      <c r="F1554" s="82">
        <f>IF('1mA'!B54&lt;&gt;"",'1mA'!F54,"")</f>
        <v/>
      </c>
      <c r="G1554" s="82">
        <f>IF('1mA'!B54&lt;&gt;"",'1mA'!G54,"")</f>
        <v/>
      </c>
      <c r="H1554" s="92">
        <f>IF('1mA'!B54&lt;&gt;"",'1mA'!H54,"")</f>
        <v/>
      </c>
      <c r="I1554" s="92">
        <f>IF('1mA'!B54&lt;&gt;"",'1mA'!I54,"")</f>
        <v/>
      </c>
      <c r="J1554" s="82">
        <f>IF('1mA'!B54&lt;&gt;"",'1mA'!J54,"")</f>
        <v/>
      </c>
    </row>
    <row r="1555" ht="15.75" customHeight="1" s="52">
      <c r="A1555" s="97">
        <f>IF('1mB'!B5&lt;&gt;"","1mB","")</f>
        <v/>
      </c>
      <c r="B1555" s="78">
        <f>IF('1mB'!B5&lt;&gt;"",'1mB'!B5,"")</f>
        <v/>
      </c>
      <c r="C1555" s="78">
        <f>IF('1mB'!B5&lt;&gt;"",'1mB'!C5,"")</f>
        <v/>
      </c>
      <c r="D1555" s="78">
        <f>IF('1mB'!B5&lt;&gt;"",'1mB'!D5,"")</f>
        <v/>
      </c>
      <c r="E1555" s="78">
        <f>IF('1mB'!B5&lt;&gt;"",'1mB'!E5,"")</f>
        <v/>
      </c>
      <c r="F1555" s="78">
        <f>IF('1mB'!B5&lt;&gt;"",'1mB'!F5,"")</f>
        <v/>
      </c>
      <c r="G1555" s="78">
        <f>IF('1mB'!B5&lt;&gt;"",'1mB'!G5,"")</f>
        <v/>
      </c>
      <c r="H1555" s="97">
        <f>IF('1mB'!B5&lt;&gt;"",'1mB'!H5,"")</f>
        <v/>
      </c>
      <c r="I1555" s="97">
        <f>IF('1mB'!B5&lt;&gt;"",'1mB'!I5,"")</f>
        <v/>
      </c>
      <c r="J1555" s="78">
        <f>IF('1mB'!B5&lt;&gt;"",'1mB'!J5,"")</f>
        <v/>
      </c>
    </row>
    <row r="1556" ht="15.75" customHeight="1" s="52">
      <c r="A1556" s="92">
        <f>IF('1mB'!B6&lt;&gt;"","1mB","")</f>
        <v/>
      </c>
      <c r="B1556" s="82">
        <f>IF('1mB'!B6&lt;&gt;"",'1mB'!B6,"")</f>
        <v/>
      </c>
      <c r="C1556" s="82">
        <f>IF('1mB'!B6&lt;&gt;"",'1mB'!C6,"")</f>
        <v/>
      </c>
      <c r="D1556" s="82">
        <f>IF('1mB'!B6&lt;&gt;"",'1mB'!D6,"")</f>
        <v/>
      </c>
      <c r="E1556" s="82">
        <f>IF('1mB'!B6&lt;&gt;"",'1mB'!E6,"")</f>
        <v/>
      </c>
      <c r="F1556" s="82">
        <f>IF('1mB'!B6&lt;&gt;"",'1mB'!F6,"")</f>
        <v/>
      </c>
      <c r="G1556" s="82">
        <f>IF('1mB'!B6&lt;&gt;"",'1mB'!G6,"")</f>
        <v/>
      </c>
      <c r="H1556" s="92">
        <f>IF('1mB'!B6&lt;&gt;"",'1mB'!H6,"")</f>
        <v/>
      </c>
      <c r="I1556" s="92">
        <f>IF('1mB'!B6&lt;&gt;"",'1mB'!I6,"")</f>
        <v/>
      </c>
      <c r="J1556" s="82">
        <f>IF('1mB'!B6&lt;&gt;"",'1mB'!J6,"")</f>
        <v/>
      </c>
    </row>
    <row r="1557" ht="15.75" customHeight="1" s="52">
      <c r="A1557" s="97">
        <f>IF('1mB'!B7&lt;&gt;"","1mB","")</f>
        <v/>
      </c>
      <c r="B1557" s="78">
        <f>IF('1mB'!B7&lt;&gt;"",'1mB'!B7,"")</f>
        <v/>
      </c>
      <c r="C1557" s="78">
        <f>IF('1mB'!B7&lt;&gt;"",'1mB'!C7,"")</f>
        <v/>
      </c>
      <c r="D1557" s="78">
        <f>IF('1mB'!B7&lt;&gt;"",'1mB'!D7,"")</f>
        <v/>
      </c>
      <c r="E1557" s="78">
        <f>IF('1mB'!B7&lt;&gt;"",'1mB'!E7,"")</f>
        <v/>
      </c>
      <c r="F1557" s="78">
        <f>IF('1mB'!B7&lt;&gt;"",'1mB'!F7,"")</f>
        <v/>
      </c>
      <c r="G1557" s="78">
        <f>IF('1mB'!B7&lt;&gt;"",'1mB'!G7,"")</f>
        <v/>
      </c>
      <c r="H1557" s="97">
        <f>IF('1mB'!B7&lt;&gt;"",'1mB'!H7,"")</f>
        <v/>
      </c>
      <c r="I1557" s="97">
        <f>IF('1mB'!B7&lt;&gt;"",'1mB'!I7,"")</f>
        <v/>
      </c>
      <c r="J1557" s="78">
        <f>IF('1mB'!B7&lt;&gt;"",'1mB'!J7,"")</f>
        <v/>
      </c>
    </row>
    <row r="1558" ht="15.75" customHeight="1" s="52">
      <c r="A1558" s="92">
        <f>IF('1mB'!B8&lt;&gt;"","1mB","")</f>
        <v/>
      </c>
      <c r="B1558" s="82">
        <f>IF('1mB'!B8&lt;&gt;"",'1mB'!B8,"")</f>
        <v/>
      </c>
      <c r="C1558" s="82">
        <f>IF('1mB'!B8&lt;&gt;"",'1mB'!C8,"")</f>
        <v/>
      </c>
      <c r="D1558" s="82">
        <f>IF('1mB'!B8&lt;&gt;"",'1mB'!D8,"")</f>
        <v/>
      </c>
      <c r="E1558" s="82">
        <f>IF('1mB'!B8&lt;&gt;"",'1mB'!E8,"")</f>
        <v/>
      </c>
      <c r="F1558" s="82">
        <f>IF('1mB'!B8&lt;&gt;"",'1mB'!F8,"")</f>
        <v/>
      </c>
      <c r="G1558" s="82">
        <f>IF('1mB'!B8&lt;&gt;"",'1mB'!G8,"")</f>
        <v/>
      </c>
      <c r="H1558" s="92">
        <f>IF('1mB'!B8&lt;&gt;"",'1mB'!H8,"")</f>
        <v/>
      </c>
      <c r="I1558" s="92">
        <f>IF('1mB'!B8&lt;&gt;"",'1mB'!I8,"")</f>
        <v/>
      </c>
      <c r="J1558" s="82">
        <f>IF('1mB'!B8&lt;&gt;"",'1mB'!J8,"")</f>
        <v/>
      </c>
    </row>
    <row r="1559" ht="15.75" customHeight="1" s="52">
      <c r="A1559" s="97">
        <f>IF('1mB'!B9&lt;&gt;"","1mB","")</f>
        <v/>
      </c>
      <c r="B1559" s="78">
        <f>IF('1mB'!B9&lt;&gt;"",'1mB'!B9,"")</f>
        <v/>
      </c>
      <c r="C1559" s="78">
        <f>IF('1mB'!B9&lt;&gt;"",'1mB'!C9,"")</f>
        <v/>
      </c>
      <c r="D1559" s="78">
        <f>IF('1mB'!B9&lt;&gt;"",'1mB'!D9,"")</f>
        <v/>
      </c>
      <c r="E1559" s="78">
        <f>IF('1mB'!B9&lt;&gt;"",'1mB'!E9,"")</f>
        <v/>
      </c>
      <c r="F1559" s="78">
        <f>IF('1mB'!B9&lt;&gt;"",'1mB'!F9,"")</f>
        <v/>
      </c>
      <c r="G1559" s="78">
        <f>IF('1mB'!B9&lt;&gt;"",'1mB'!G9,"")</f>
        <v/>
      </c>
      <c r="H1559" s="97">
        <f>IF('1mB'!B9&lt;&gt;"",'1mB'!H9,"")</f>
        <v/>
      </c>
      <c r="I1559" s="97">
        <f>IF('1mB'!B9&lt;&gt;"",'1mB'!I9,"")</f>
        <v/>
      </c>
      <c r="J1559" s="78">
        <f>IF('1mB'!B9&lt;&gt;"",'1mB'!J9,"")</f>
        <v/>
      </c>
    </row>
    <row r="1560" ht="15.75" customHeight="1" s="52">
      <c r="A1560" s="92">
        <f>IF('1mB'!B10&lt;&gt;"","1mB","")</f>
        <v/>
      </c>
      <c r="B1560" s="82">
        <f>IF('1mB'!B10&lt;&gt;"",'1mB'!B10,"")</f>
        <v/>
      </c>
      <c r="C1560" s="82">
        <f>IF('1mB'!B10&lt;&gt;"",'1mB'!C10,"")</f>
        <v/>
      </c>
      <c r="D1560" s="82">
        <f>IF('1mB'!B10&lt;&gt;"",'1mB'!D10,"")</f>
        <v/>
      </c>
      <c r="E1560" s="82">
        <f>IF('1mB'!B10&lt;&gt;"",'1mB'!E10,"")</f>
        <v/>
      </c>
      <c r="F1560" s="82">
        <f>IF('1mB'!B10&lt;&gt;"",'1mB'!F10,"")</f>
        <v/>
      </c>
      <c r="G1560" s="82">
        <f>IF('1mB'!B10&lt;&gt;"",'1mB'!G10,"")</f>
        <v/>
      </c>
      <c r="H1560" s="92">
        <f>IF('1mB'!B10&lt;&gt;"",'1mB'!H10,"")</f>
        <v/>
      </c>
      <c r="I1560" s="92">
        <f>IF('1mB'!B10&lt;&gt;"",'1mB'!I10,"")</f>
        <v/>
      </c>
      <c r="J1560" s="82">
        <f>IF('1mB'!B10&lt;&gt;"",'1mB'!J10,"")</f>
        <v/>
      </c>
    </row>
    <row r="1561" ht="15.75" customHeight="1" s="52">
      <c r="A1561" s="97">
        <f>IF('1mB'!B11&lt;&gt;"","1mB","")</f>
        <v/>
      </c>
      <c r="B1561" s="78">
        <f>IF('1mB'!B11&lt;&gt;"",'1mB'!B11,"")</f>
        <v/>
      </c>
      <c r="C1561" s="78">
        <f>IF('1mB'!B11&lt;&gt;"",'1mB'!C11,"")</f>
        <v/>
      </c>
      <c r="D1561" s="78">
        <f>IF('1mB'!B11&lt;&gt;"",'1mB'!D11,"")</f>
        <v/>
      </c>
      <c r="E1561" s="78">
        <f>IF('1mB'!B11&lt;&gt;"",'1mB'!E11,"")</f>
        <v/>
      </c>
      <c r="F1561" s="78">
        <f>IF('1mB'!B11&lt;&gt;"",'1mB'!F11,"")</f>
        <v/>
      </c>
      <c r="G1561" s="78">
        <f>IF('1mB'!B11&lt;&gt;"",'1mB'!G11,"")</f>
        <v/>
      </c>
      <c r="H1561" s="97">
        <f>IF('1mB'!B11&lt;&gt;"",'1mB'!H11,"")</f>
        <v/>
      </c>
      <c r="I1561" s="97">
        <f>IF('1mB'!B11&lt;&gt;"",'1mB'!I11,"")</f>
        <v/>
      </c>
      <c r="J1561" s="78">
        <f>IF('1mB'!B11&lt;&gt;"",'1mB'!J11,"")</f>
        <v/>
      </c>
    </row>
    <row r="1562" ht="15.75" customHeight="1" s="52">
      <c r="A1562" s="92">
        <f>IF('1mB'!B12&lt;&gt;"","1mB","")</f>
        <v/>
      </c>
      <c r="B1562" s="82">
        <f>IF('1mB'!B12&lt;&gt;"",'1mB'!B12,"")</f>
        <v/>
      </c>
      <c r="C1562" s="82">
        <f>IF('1mB'!B12&lt;&gt;"",'1mB'!C12,"")</f>
        <v/>
      </c>
      <c r="D1562" s="82">
        <f>IF('1mB'!B12&lt;&gt;"",'1mB'!D12,"")</f>
        <v/>
      </c>
      <c r="E1562" s="82">
        <f>IF('1mB'!B12&lt;&gt;"",'1mB'!E12,"")</f>
        <v/>
      </c>
      <c r="F1562" s="82">
        <f>IF('1mB'!B12&lt;&gt;"",'1mB'!F12,"")</f>
        <v/>
      </c>
      <c r="G1562" s="82">
        <f>IF('1mB'!B12&lt;&gt;"",'1mB'!G12,"")</f>
        <v/>
      </c>
      <c r="H1562" s="92">
        <f>IF('1mB'!B12&lt;&gt;"",'1mB'!H12,"")</f>
        <v/>
      </c>
      <c r="I1562" s="92">
        <f>IF('1mB'!B12&lt;&gt;"",'1mB'!I12,"")</f>
        <v/>
      </c>
      <c r="J1562" s="82">
        <f>IF('1mB'!B12&lt;&gt;"",'1mB'!J12,"")</f>
        <v/>
      </c>
    </row>
    <row r="1563" ht="15.75" customHeight="1" s="52">
      <c r="A1563" s="97">
        <f>IF('1mB'!B13&lt;&gt;"","1mB","")</f>
        <v/>
      </c>
      <c r="B1563" s="78">
        <f>IF('1mB'!B13&lt;&gt;"",'1mB'!B13,"")</f>
        <v/>
      </c>
      <c r="C1563" s="78">
        <f>IF('1mB'!B13&lt;&gt;"",'1mB'!C13,"")</f>
        <v/>
      </c>
      <c r="D1563" s="78">
        <f>IF('1mB'!B13&lt;&gt;"",'1mB'!D13,"")</f>
        <v/>
      </c>
      <c r="E1563" s="78">
        <f>IF('1mB'!B13&lt;&gt;"",'1mB'!E13,"")</f>
        <v/>
      </c>
      <c r="F1563" s="78">
        <f>IF('1mB'!B13&lt;&gt;"",'1mB'!F13,"")</f>
        <v/>
      </c>
      <c r="G1563" s="78">
        <f>IF('1mB'!B13&lt;&gt;"",'1mB'!G13,"")</f>
        <v/>
      </c>
      <c r="H1563" s="97">
        <f>IF('1mB'!B13&lt;&gt;"",'1mB'!H13,"")</f>
        <v/>
      </c>
      <c r="I1563" s="97">
        <f>IF('1mB'!B13&lt;&gt;"",'1mB'!I13,"")</f>
        <v/>
      </c>
      <c r="J1563" s="78">
        <f>IF('1mB'!B13&lt;&gt;"",'1mB'!J13,"")</f>
        <v/>
      </c>
    </row>
    <row r="1564" ht="15.75" customHeight="1" s="52">
      <c r="A1564" s="92">
        <f>IF('1mB'!B14&lt;&gt;"","1mB","")</f>
        <v/>
      </c>
      <c r="B1564" s="82">
        <f>IF('1mB'!B14&lt;&gt;"",'1mB'!B14,"")</f>
        <v/>
      </c>
      <c r="C1564" s="82">
        <f>IF('1mB'!B14&lt;&gt;"",'1mB'!C14,"")</f>
        <v/>
      </c>
      <c r="D1564" s="82">
        <f>IF('1mB'!B14&lt;&gt;"",'1mB'!D14,"")</f>
        <v/>
      </c>
      <c r="E1564" s="82">
        <f>IF('1mB'!B14&lt;&gt;"",'1mB'!E14,"")</f>
        <v/>
      </c>
      <c r="F1564" s="82">
        <f>IF('1mB'!B14&lt;&gt;"",'1mB'!F14,"")</f>
        <v/>
      </c>
      <c r="G1564" s="82">
        <f>IF('1mB'!B14&lt;&gt;"",'1mB'!G14,"")</f>
        <v/>
      </c>
      <c r="H1564" s="92">
        <f>IF('1mB'!B14&lt;&gt;"",'1mB'!H14,"")</f>
        <v/>
      </c>
      <c r="I1564" s="92">
        <f>IF('1mB'!B14&lt;&gt;"",'1mB'!I14,"")</f>
        <v/>
      </c>
      <c r="J1564" s="82">
        <f>IF('1mB'!B14&lt;&gt;"",'1mB'!J14,"")</f>
        <v/>
      </c>
    </row>
    <row r="1565" ht="15.75" customHeight="1" s="52">
      <c r="A1565" s="97">
        <f>IF('1mB'!B15&lt;&gt;"","1mB","")</f>
        <v/>
      </c>
      <c r="B1565" s="78">
        <f>IF('1mB'!B15&lt;&gt;"",'1mB'!B15,"")</f>
        <v/>
      </c>
      <c r="C1565" s="78">
        <f>IF('1mB'!B15&lt;&gt;"",'1mB'!C15,"")</f>
        <v/>
      </c>
      <c r="D1565" s="78">
        <f>IF('1mB'!B15&lt;&gt;"",'1mB'!D15,"")</f>
        <v/>
      </c>
      <c r="E1565" s="78">
        <f>IF('1mB'!B15&lt;&gt;"",'1mB'!E15,"")</f>
        <v/>
      </c>
      <c r="F1565" s="78">
        <f>IF('1mB'!B15&lt;&gt;"",'1mB'!F15,"")</f>
        <v/>
      </c>
      <c r="G1565" s="78">
        <f>IF('1mB'!B15&lt;&gt;"",'1mB'!G15,"")</f>
        <v/>
      </c>
      <c r="H1565" s="97">
        <f>IF('1mB'!B15&lt;&gt;"",'1mB'!H15,"")</f>
        <v/>
      </c>
      <c r="I1565" s="97">
        <f>IF('1mB'!B15&lt;&gt;"",'1mB'!I15,"")</f>
        <v/>
      </c>
      <c r="J1565" s="78">
        <f>IF('1mB'!B15&lt;&gt;"",'1mB'!J15,"")</f>
        <v/>
      </c>
    </row>
    <row r="1566" ht="15.75" customHeight="1" s="52">
      <c r="A1566" s="92">
        <f>IF('1mB'!B16&lt;&gt;"","1mB","")</f>
        <v/>
      </c>
      <c r="B1566" s="82">
        <f>IF('1mB'!B16&lt;&gt;"",'1mB'!B16,"")</f>
        <v/>
      </c>
      <c r="C1566" s="82">
        <f>IF('1mB'!B16&lt;&gt;"",'1mB'!C16,"")</f>
        <v/>
      </c>
      <c r="D1566" s="82">
        <f>IF('1mB'!B16&lt;&gt;"",'1mB'!D16,"")</f>
        <v/>
      </c>
      <c r="E1566" s="82">
        <f>IF('1mB'!B16&lt;&gt;"",'1mB'!E16,"")</f>
        <v/>
      </c>
      <c r="F1566" s="82">
        <f>IF('1mB'!B16&lt;&gt;"",'1mB'!F16,"")</f>
        <v/>
      </c>
      <c r="G1566" s="82">
        <f>IF('1mB'!B16&lt;&gt;"",'1mB'!G16,"")</f>
        <v/>
      </c>
      <c r="H1566" s="92">
        <f>IF('1mB'!B16&lt;&gt;"",'1mB'!H16,"")</f>
        <v/>
      </c>
      <c r="I1566" s="92">
        <f>IF('1mB'!B16&lt;&gt;"",'1mB'!I16,"")</f>
        <v/>
      </c>
      <c r="J1566" s="82">
        <f>IF('1mB'!B16&lt;&gt;"",'1mB'!J16,"")</f>
        <v/>
      </c>
    </row>
    <row r="1567" ht="15.75" customHeight="1" s="52">
      <c r="A1567" s="97">
        <f>IF('1mB'!B17&lt;&gt;"","1mB","")</f>
        <v/>
      </c>
      <c r="B1567" s="78">
        <f>IF('1mB'!B17&lt;&gt;"",'1mB'!B17,"")</f>
        <v/>
      </c>
      <c r="C1567" s="78">
        <f>IF('1mB'!B17&lt;&gt;"",'1mB'!C17,"")</f>
        <v/>
      </c>
      <c r="D1567" s="78">
        <f>IF('1mB'!B17&lt;&gt;"",'1mB'!D17,"")</f>
        <v/>
      </c>
      <c r="E1567" s="78">
        <f>IF('1mB'!B17&lt;&gt;"",'1mB'!E17,"")</f>
        <v/>
      </c>
      <c r="F1567" s="78">
        <f>IF('1mB'!B17&lt;&gt;"",'1mB'!F17,"")</f>
        <v/>
      </c>
      <c r="G1567" s="78">
        <f>IF('1mB'!B17&lt;&gt;"",'1mB'!G17,"")</f>
        <v/>
      </c>
      <c r="H1567" s="97">
        <f>IF('1mB'!B17&lt;&gt;"",'1mB'!H17,"")</f>
        <v/>
      </c>
      <c r="I1567" s="97">
        <f>IF('1mB'!B17&lt;&gt;"",'1mB'!I17,"")</f>
        <v/>
      </c>
      <c r="J1567" s="78">
        <f>IF('1mB'!B17&lt;&gt;"",'1mB'!J17,"")</f>
        <v/>
      </c>
    </row>
    <row r="1568" ht="15.75" customHeight="1" s="52">
      <c r="A1568" s="92">
        <f>IF('1mB'!B18&lt;&gt;"","1mB","")</f>
        <v/>
      </c>
      <c r="B1568" s="82">
        <f>IF('1mB'!B18&lt;&gt;"",'1mB'!B18,"")</f>
        <v/>
      </c>
      <c r="C1568" s="82">
        <f>IF('1mB'!B18&lt;&gt;"",'1mB'!C18,"")</f>
        <v/>
      </c>
      <c r="D1568" s="82">
        <f>IF('1mB'!B18&lt;&gt;"",'1mB'!D18,"")</f>
        <v/>
      </c>
      <c r="E1568" s="82">
        <f>IF('1mB'!B18&lt;&gt;"",'1mB'!E18,"")</f>
        <v/>
      </c>
      <c r="F1568" s="82">
        <f>IF('1mB'!B18&lt;&gt;"",'1mB'!F18,"")</f>
        <v/>
      </c>
      <c r="G1568" s="82">
        <f>IF('1mB'!B18&lt;&gt;"",'1mB'!G18,"")</f>
        <v/>
      </c>
      <c r="H1568" s="92">
        <f>IF('1mB'!B18&lt;&gt;"",'1mB'!H18,"")</f>
        <v/>
      </c>
      <c r="I1568" s="92">
        <f>IF('1mB'!B18&lt;&gt;"",'1mB'!I18,"")</f>
        <v/>
      </c>
      <c r="J1568" s="82">
        <f>IF('1mB'!B18&lt;&gt;"",'1mB'!J18,"")</f>
        <v/>
      </c>
    </row>
    <row r="1569" ht="15.75" customHeight="1" s="52">
      <c r="A1569" s="97">
        <f>IF('1mB'!B19&lt;&gt;"","1mB","")</f>
        <v/>
      </c>
      <c r="B1569" s="78">
        <f>IF('1mB'!B19&lt;&gt;"",'1mB'!B19,"")</f>
        <v/>
      </c>
      <c r="C1569" s="78">
        <f>IF('1mB'!B19&lt;&gt;"",'1mB'!C19,"")</f>
        <v/>
      </c>
      <c r="D1569" s="78">
        <f>IF('1mB'!B19&lt;&gt;"",'1mB'!D19,"")</f>
        <v/>
      </c>
      <c r="E1569" s="78">
        <f>IF('1mB'!B19&lt;&gt;"",'1mB'!E19,"")</f>
        <v/>
      </c>
      <c r="F1569" s="78">
        <f>IF('1mB'!B19&lt;&gt;"",'1mB'!F19,"")</f>
        <v/>
      </c>
      <c r="G1569" s="78">
        <f>IF('1mB'!B19&lt;&gt;"",'1mB'!G19,"")</f>
        <v/>
      </c>
      <c r="H1569" s="97">
        <f>IF('1mB'!B19&lt;&gt;"",'1mB'!H19,"")</f>
        <v/>
      </c>
      <c r="I1569" s="97">
        <f>IF('1mB'!B19&lt;&gt;"",'1mB'!I19,"")</f>
        <v/>
      </c>
      <c r="J1569" s="78">
        <f>IF('1mB'!B19&lt;&gt;"",'1mB'!J19,"")</f>
        <v/>
      </c>
    </row>
    <row r="1570" ht="15.75" customHeight="1" s="52">
      <c r="A1570" s="92">
        <f>IF('1mB'!B20&lt;&gt;"","1mB","")</f>
        <v/>
      </c>
      <c r="B1570" s="82">
        <f>IF('1mB'!B20&lt;&gt;"",'1mB'!B20,"")</f>
        <v/>
      </c>
      <c r="C1570" s="82">
        <f>IF('1mB'!B20&lt;&gt;"",'1mB'!C20,"")</f>
        <v/>
      </c>
      <c r="D1570" s="82">
        <f>IF('1mB'!B20&lt;&gt;"",'1mB'!D20,"")</f>
        <v/>
      </c>
      <c r="E1570" s="82">
        <f>IF('1mB'!B20&lt;&gt;"",'1mB'!E20,"")</f>
        <v/>
      </c>
      <c r="F1570" s="82">
        <f>IF('1mB'!B20&lt;&gt;"",'1mB'!F20,"")</f>
        <v/>
      </c>
      <c r="G1570" s="82">
        <f>IF('1mB'!B20&lt;&gt;"",'1mB'!G20,"")</f>
        <v/>
      </c>
      <c r="H1570" s="92">
        <f>IF('1mB'!B20&lt;&gt;"",'1mB'!H20,"")</f>
        <v/>
      </c>
      <c r="I1570" s="92">
        <f>IF('1mB'!B20&lt;&gt;"",'1mB'!I20,"")</f>
        <v/>
      </c>
      <c r="J1570" s="82">
        <f>IF('1mB'!B20&lt;&gt;"",'1mB'!J20,"")</f>
        <v/>
      </c>
    </row>
    <row r="1571" ht="15.75" customHeight="1" s="52">
      <c r="A1571" s="97">
        <f>IF('1mB'!B21&lt;&gt;"","1mB","")</f>
        <v/>
      </c>
      <c r="B1571" s="78">
        <f>IF('1mB'!B21&lt;&gt;"",'1mB'!B21,"")</f>
        <v/>
      </c>
      <c r="C1571" s="78">
        <f>IF('1mB'!B21&lt;&gt;"",'1mB'!C21,"")</f>
        <v/>
      </c>
      <c r="D1571" s="78">
        <f>IF('1mB'!B21&lt;&gt;"",'1mB'!D21,"")</f>
        <v/>
      </c>
      <c r="E1571" s="78">
        <f>IF('1mB'!B21&lt;&gt;"",'1mB'!E21,"")</f>
        <v/>
      </c>
      <c r="F1571" s="78">
        <f>IF('1mB'!B21&lt;&gt;"",'1mB'!F21,"")</f>
        <v/>
      </c>
      <c r="G1571" s="78">
        <f>IF('1mB'!B21&lt;&gt;"",'1mB'!G21,"")</f>
        <v/>
      </c>
      <c r="H1571" s="97">
        <f>IF('1mB'!B21&lt;&gt;"",'1mB'!H21,"")</f>
        <v/>
      </c>
      <c r="I1571" s="97">
        <f>IF('1mB'!B21&lt;&gt;"",'1mB'!I21,"")</f>
        <v/>
      </c>
      <c r="J1571" s="78">
        <f>IF('1mB'!B21&lt;&gt;"",'1mB'!J21,"")</f>
        <v/>
      </c>
    </row>
    <row r="1572" ht="15.75" customHeight="1" s="52">
      <c r="A1572" s="92">
        <f>IF('1mB'!B22&lt;&gt;"","1mB","")</f>
        <v/>
      </c>
      <c r="B1572" s="82">
        <f>IF('1mB'!B22&lt;&gt;"",'1mB'!B22,"")</f>
        <v/>
      </c>
      <c r="C1572" s="82">
        <f>IF('1mB'!B22&lt;&gt;"",'1mB'!C22,"")</f>
        <v/>
      </c>
      <c r="D1572" s="82">
        <f>IF('1mB'!B22&lt;&gt;"",'1mB'!D22,"")</f>
        <v/>
      </c>
      <c r="E1572" s="82">
        <f>IF('1mB'!B22&lt;&gt;"",'1mB'!E22,"")</f>
        <v/>
      </c>
      <c r="F1572" s="82">
        <f>IF('1mB'!B22&lt;&gt;"",'1mB'!F22,"")</f>
        <v/>
      </c>
      <c r="G1572" s="82">
        <f>IF('1mB'!B22&lt;&gt;"",'1mB'!G22,"")</f>
        <v/>
      </c>
      <c r="H1572" s="92">
        <f>IF('1mB'!B22&lt;&gt;"",'1mB'!H22,"")</f>
        <v/>
      </c>
      <c r="I1572" s="92">
        <f>IF('1mB'!B22&lt;&gt;"",'1mB'!I22,"")</f>
        <v/>
      </c>
      <c r="J1572" s="82">
        <f>IF('1mB'!B22&lt;&gt;"",'1mB'!J22,"")</f>
        <v/>
      </c>
    </row>
    <row r="1573" ht="15.75" customHeight="1" s="52">
      <c r="A1573" s="97">
        <f>IF('1mB'!B23&lt;&gt;"","1mB","")</f>
        <v/>
      </c>
      <c r="B1573" s="78">
        <f>IF('1mB'!B23&lt;&gt;"",'1mB'!B23,"")</f>
        <v/>
      </c>
      <c r="C1573" s="78">
        <f>IF('1mB'!B23&lt;&gt;"",'1mB'!C23,"")</f>
        <v/>
      </c>
      <c r="D1573" s="78">
        <f>IF('1mB'!B23&lt;&gt;"",'1mB'!D23,"")</f>
        <v/>
      </c>
      <c r="E1573" s="78">
        <f>IF('1mB'!B23&lt;&gt;"",'1mB'!E23,"")</f>
        <v/>
      </c>
      <c r="F1573" s="78">
        <f>IF('1mB'!B23&lt;&gt;"",'1mB'!F23,"")</f>
        <v/>
      </c>
      <c r="G1573" s="78">
        <f>IF('1mB'!B23&lt;&gt;"",'1mB'!G23,"")</f>
        <v/>
      </c>
      <c r="H1573" s="97">
        <f>IF('1mB'!B23&lt;&gt;"",'1mB'!H23,"")</f>
        <v/>
      </c>
      <c r="I1573" s="97">
        <f>IF('1mB'!B23&lt;&gt;"",'1mB'!I23,"")</f>
        <v/>
      </c>
      <c r="J1573" s="78">
        <f>IF('1mB'!B23&lt;&gt;"",'1mB'!J23,"")</f>
        <v/>
      </c>
    </row>
    <row r="1574" ht="15.75" customHeight="1" s="52">
      <c r="A1574" s="92">
        <f>IF('1mB'!B24&lt;&gt;"","1mB","")</f>
        <v/>
      </c>
      <c r="B1574" s="82">
        <f>IF('1mB'!B24&lt;&gt;"",'1mB'!B24,"")</f>
        <v/>
      </c>
      <c r="C1574" s="82">
        <f>IF('1mB'!B24&lt;&gt;"",'1mB'!C24,"")</f>
        <v/>
      </c>
      <c r="D1574" s="82">
        <f>IF('1mB'!B24&lt;&gt;"",'1mB'!D24,"")</f>
        <v/>
      </c>
      <c r="E1574" s="82">
        <f>IF('1mB'!B24&lt;&gt;"",'1mB'!E24,"")</f>
        <v/>
      </c>
      <c r="F1574" s="82">
        <f>IF('1mB'!B24&lt;&gt;"",'1mB'!F24,"")</f>
        <v/>
      </c>
      <c r="G1574" s="82">
        <f>IF('1mB'!B24&lt;&gt;"",'1mB'!G24,"")</f>
        <v/>
      </c>
      <c r="H1574" s="92">
        <f>IF('1mB'!B24&lt;&gt;"",'1mB'!H24,"")</f>
        <v/>
      </c>
      <c r="I1574" s="92">
        <f>IF('1mB'!B24&lt;&gt;"",'1mB'!I24,"")</f>
        <v/>
      </c>
      <c r="J1574" s="82">
        <f>IF('1mB'!B24&lt;&gt;"",'1mB'!J24,"")</f>
        <v/>
      </c>
    </row>
    <row r="1575" ht="15.75" customHeight="1" s="52">
      <c r="A1575" s="97">
        <f>IF('1mB'!B25&lt;&gt;"","1mB","")</f>
        <v/>
      </c>
      <c r="B1575" s="78">
        <f>IF('1mB'!B25&lt;&gt;"",'1mB'!B25,"")</f>
        <v/>
      </c>
      <c r="C1575" s="78">
        <f>IF('1mB'!B25&lt;&gt;"",'1mB'!C25,"")</f>
        <v/>
      </c>
      <c r="D1575" s="78">
        <f>IF('1mB'!B25&lt;&gt;"",'1mB'!D25,"")</f>
        <v/>
      </c>
      <c r="E1575" s="78">
        <f>IF('1mB'!B25&lt;&gt;"",'1mB'!E25,"")</f>
        <v/>
      </c>
      <c r="F1575" s="78">
        <f>IF('1mB'!B25&lt;&gt;"",'1mB'!F25,"")</f>
        <v/>
      </c>
      <c r="G1575" s="78">
        <f>IF('1mB'!B25&lt;&gt;"",'1mB'!G25,"")</f>
        <v/>
      </c>
      <c r="H1575" s="97">
        <f>IF('1mB'!B25&lt;&gt;"",'1mB'!H25,"")</f>
        <v/>
      </c>
      <c r="I1575" s="97">
        <f>IF('1mB'!B25&lt;&gt;"",'1mB'!I25,"")</f>
        <v/>
      </c>
      <c r="J1575" s="78">
        <f>IF('1mB'!B25&lt;&gt;"",'1mB'!J25,"")</f>
        <v/>
      </c>
    </row>
    <row r="1576" ht="15.75" customHeight="1" s="52">
      <c r="A1576" s="92">
        <f>IF('1mB'!B26&lt;&gt;"","1mB","")</f>
        <v/>
      </c>
      <c r="B1576" s="82">
        <f>IF('1mB'!B26&lt;&gt;"",'1mB'!B26,"")</f>
        <v/>
      </c>
      <c r="C1576" s="82">
        <f>IF('1mB'!B26&lt;&gt;"",'1mB'!C26,"")</f>
        <v/>
      </c>
      <c r="D1576" s="82">
        <f>IF('1mB'!B26&lt;&gt;"",'1mB'!D26,"")</f>
        <v/>
      </c>
      <c r="E1576" s="82">
        <f>IF('1mB'!B26&lt;&gt;"",'1mB'!E26,"")</f>
        <v/>
      </c>
      <c r="F1576" s="82">
        <f>IF('1mB'!B26&lt;&gt;"",'1mB'!F26,"")</f>
        <v/>
      </c>
      <c r="G1576" s="82">
        <f>IF('1mB'!B26&lt;&gt;"",'1mB'!G26,"")</f>
        <v/>
      </c>
      <c r="H1576" s="92">
        <f>IF('1mB'!B26&lt;&gt;"",'1mB'!H26,"")</f>
        <v/>
      </c>
      <c r="I1576" s="92">
        <f>IF('1mB'!B26&lt;&gt;"",'1mB'!I26,"")</f>
        <v/>
      </c>
      <c r="J1576" s="82">
        <f>IF('1mB'!B26&lt;&gt;"",'1mB'!J26,"")</f>
        <v/>
      </c>
    </row>
    <row r="1577" ht="15.75" customHeight="1" s="52">
      <c r="A1577" s="97">
        <f>IF('1mB'!B27&lt;&gt;"","1mB","")</f>
        <v/>
      </c>
      <c r="B1577" s="78">
        <f>IF('1mB'!B27&lt;&gt;"",'1mB'!B27,"")</f>
        <v/>
      </c>
      <c r="C1577" s="78">
        <f>IF('1mB'!B27&lt;&gt;"",'1mB'!C27,"")</f>
        <v/>
      </c>
      <c r="D1577" s="78">
        <f>IF('1mB'!B27&lt;&gt;"",'1mB'!D27,"")</f>
        <v/>
      </c>
      <c r="E1577" s="78">
        <f>IF('1mB'!B27&lt;&gt;"",'1mB'!E27,"")</f>
        <v/>
      </c>
      <c r="F1577" s="78">
        <f>IF('1mB'!B27&lt;&gt;"",'1mB'!F27,"")</f>
        <v/>
      </c>
      <c r="G1577" s="78">
        <f>IF('1mB'!B27&lt;&gt;"",'1mB'!G27,"")</f>
        <v/>
      </c>
      <c r="H1577" s="97">
        <f>IF('1mB'!B27&lt;&gt;"",'1mB'!H27,"")</f>
        <v/>
      </c>
      <c r="I1577" s="97">
        <f>IF('1mB'!B27&lt;&gt;"",'1mB'!I27,"")</f>
        <v/>
      </c>
      <c r="J1577" s="78">
        <f>IF('1mB'!B27&lt;&gt;"",'1mB'!J27,"")</f>
        <v/>
      </c>
    </row>
    <row r="1578" ht="15.75" customHeight="1" s="52">
      <c r="A1578" s="92">
        <f>IF('1mB'!B28&lt;&gt;"","1mB","")</f>
        <v/>
      </c>
      <c r="B1578" s="82">
        <f>IF('1mB'!B28&lt;&gt;"",'1mB'!B28,"")</f>
        <v/>
      </c>
      <c r="C1578" s="82">
        <f>IF('1mB'!B28&lt;&gt;"",'1mB'!C28,"")</f>
        <v/>
      </c>
      <c r="D1578" s="82">
        <f>IF('1mB'!B28&lt;&gt;"",'1mB'!D28,"")</f>
        <v/>
      </c>
      <c r="E1578" s="82">
        <f>IF('1mB'!B28&lt;&gt;"",'1mB'!E28,"")</f>
        <v/>
      </c>
      <c r="F1578" s="82">
        <f>IF('1mB'!B28&lt;&gt;"",'1mB'!F28,"")</f>
        <v/>
      </c>
      <c r="G1578" s="82">
        <f>IF('1mB'!B28&lt;&gt;"",'1mB'!G28,"")</f>
        <v/>
      </c>
      <c r="H1578" s="92">
        <f>IF('1mB'!B28&lt;&gt;"",'1mB'!H28,"")</f>
        <v/>
      </c>
      <c r="I1578" s="92">
        <f>IF('1mB'!B28&lt;&gt;"",'1mB'!I28,"")</f>
        <v/>
      </c>
      <c r="J1578" s="82">
        <f>IF('1mB'!B28&lt;&gt;"",'1mB'!J28,"")</f>
        <v/>
      </c>
    </row>
    <row r="1579" ht="15.75" customHeight="1" s="52">
      <c r="A1579" s="97">
        <f>IF('1mB'!B29&lt;&gt;"","1mB","")</f>
        <v/>
      </c>
      <c r="B1579" s="78">
        <f>IF('1mB'!B29&lt;&gt;"",'1mB'!B29,"")</f>
        <v/>
      </c>
      <c r="C1579" s="78">
        <f>IF('1mB'!B29&lt;&gt;"",'1mB'!C29,"")</f>
        <v/>
      </c>
      <c r="D1579" s="78">
        <f>IF('1mB'!B29&lt;&gt;"",'1mB'!D29,"")</f>
        <v/>
      </c>
      <c r="E1579" s="78">
        <f>IF('1mB'!B29&lt;&gt;"",'1mB'!E29,"")</f>
        <v/>
      </c>
      <c r="F1579" s="78">
        <f>IF('1mB'!B29&lt;&gt;"",'1mB'!F29,"")</f>
        <v/>
      </c>
      <c r="G1579" s="78">
        <f>IF('1mB'!B29&lt;&gt;"",'1mB'!G29,"")</f>
        <v/>
      </c>
      <c r="H1579" s="97">
        <f>IF('1mB'!B29&lt;&gt;"",'1mB'!H29,"")</f>
        <v/>
      </c>
      <c r="I1579" s="97">
        <f>IF('1mB'!B29&lt;&gt;"",'1mB'!I29,"")</f>
        <v/>
      </c>
      <c r="J1579" s="78">
        <f>IF('1mB'!B29&lt;&gt;"",'1mB'!J29,"")</f>
        <v/>
      </c>
    </row>
    <row r="1580" ht="15.75" customHeight="1" s="52">
      <c r="A1580" s="92">
        <f>IF('1mB'!B30&lt;&gt;"","1mB","")</f>
        <v/>
      </c>
      <c r="B1580" s="82">
        <f>IF('1mB'!B30&lt;&gt;"",'1mB'!B30,"")</f>
        <v/>
      </c>
      <c r="C1580" s="82">
        <f>IF('1mB'!B30&lt;&gt;"",'1mB'!C30,"")</f>
        <v/>
      </c>
      <c r="D1580" s="82">
        <f>IF('1mB'!B30&lt;&gt;"",'1mB'!D30,"")</f>
        <v/>
      </c>
      <c r="E1580" s="82">
        <f>IF('1mB'!B30&lt;&gt;"",'1mB'!E30,"")</f>
        <v/>
      </c>
      <c r="F1580" s="82">
        <f>IF('1mB'!B30&lt;&gt;"",'1mB'!F30,"")</f>
        <v/>
      </c>
      <c r="G1580" s="82">
        <f>IF('1mB'!B30&lt;&gt;"",'1mB'!G30,"")</f>
        <v/>
      </c>
      <c r="H1580" s="92">
        <f>IF('1mB'!B30&lt;&gt;"",'1mB'!H30,"")</f>
        <v/>
      </c>
      <c r="I1580" s="92">
        <f>IF('1mB'!B30&lt;&gt;"",'1mB'!I30,"")</f>
        <v/>
      </c>
      <c r="J1580" s="82">
        <f>IF('1mB'!B30&lt;&gt;"",'1mB'!J30,"")</f>
        <v/>
      </c>
    </row>
    <row r="1581" ht="15.75" customHeight="1" s="52">
      <c r="A1581" s="97">
        <f>IF('1mB'!B31&lt;&gt;"","1mB","")</f>
        <v/>
      </c>
      <c r="B1581" s="78">
        <f>IF('1mB'!B31&lt;&gt;"",'1mB'!B31,"")</f>
        <v/>
      </c>
      <c r="C1581" s="78">
        <f>IF('1mB'!B31&lt;&gt;"",'1mB'!C31,"")</f>
        <v/>
      </c>
      <c r="D1581" s="78">
        <f>IF('1mB'!B31&lt;&gt;"",'1mB'!D31,"")</f>
        <v/>
      </c>
      <c r="E1581" s="78">
        <f>IF('1mB'!B31&lt;&gt;"",'1mB'!E31,"")</f>
        <v/>
      </c>
      <c r="F1581" s="78">
        <f>IF('1mB'!B31&lt;&gt;"",'1mB'!F31,"")</f>
        <v/>
      </c>
      <c r="G1581" s="78">
        <f>IF('1mB'!B31&lt;&gt;"",'1mB'!G31,"")</f>
        <v/>
      </c>
      <c r="H1581" s="97">
        <f>IF('1mB'!B31&lt;&gt;"",'1mB'!H31,"")</f>
        <v/>
      </c>
      <c r="I1581" s="97">
        <f>IF('1mB'!B31&lt;&gt;"",'1mB'!I31,"")</f>
        <v/>
      </c>
      <c r="J1581" s="78">
        <f>IF('1mB'!B31&lt;&gt;"",'1mB'!J31,"")</f>
        <v/>
      </c>
    </row>
    <row r="1582" ht="15.75" customHeight="1" s="52">
      <c r="A1582" s="92">
        <f>IF('1mB'!B32&lt;&gt;"","1mB","")</f>
        <v/>
      </c>
      <c r="B1582" s="82">
        <f>IF('1mB'!B32&lt;&gt;"",'1mB'!B32,"")</f>
        <v/>
      </c>
      <c r="C1582" s="82">
        <f>IF('1mB'!B32&lt;&gt;"",'1mB'!C32,"")</f>
        <v/>
      </c>
      <c r="D1582" s="82">
        <f>IF('1mB'!B32&lt;&gt;"",'1mB'!D32,"")</f>
        <v/>
      </c>
      <c r="E1582" s="82">
        <f>IF('1mB'!B32&lt;&gt;"",'1mB'!E32,"")</f>
        <v/>
      </c>
      <c r="F1582" s="82">
        <f>IF('1mB'!B32&lt;&gt;"",'1mB'!F32,"")</f>
        <v/>
      </c>
      <c r="G1582" s="82">
        <f>IF('1mB'!B32&lt;&gt;"",'1mB'!G32,"")</f>
        <v/>
      </c>
      <c r="H1582" s="92">
        <f>IF('1mB'!B32&lt;&gt;"",'1mB'!H32,"")</f>
        <v/>
      </c>
      <c r="I1582" s="92">
        <f>IF('1mB'!B32&lt;&gt;"",'1mB'!I32,"")</f>
        <v/>
      </c>
      <c r="J1582" s="82">
        <f>IF('1mB'!B32&lt;&gt;"",'1mB'!J32,"")</f>
        <v/>
      </c>
    </row>
    <row r="1583" ht="15.75" customHeight="1" s="52">
      <c r="A1583" s="97">
        <f>IF('1mB'!B33&lt;&gt;"","1mB","")</f>
        <v/>
      </c>
      <c r="B1583" s="78">
        <f>IF('1mB'!B33&lt;&gt;"",'1mB'!B33,"")</f>
        <v/>
      </c>
      <c r="C1583" s="78">
        <f>IF('1mB'!B33&lt;&gt;"",'1mB'!C33,"")</f>
        <v/>
      </c>
      <c r="D1583" s="78">
        <f>IF('1mB'!B33&lt;&gt;"",'1mB'!D33,"")</f>
        <v/>
      </c>
      <c r="E1583" s="78">
        <f>IF('1mB'!B33&lt;&gt;"",'1mB'!E33,"")</f>
        <v/>
      </c>
      <c r="F1583" s="78">
        <f>IF('1mB'!B33&lt;&gt;"",'1mB'!F33,"")</f>
        <v/>
      </c>
      <c r="G1583" s="78">
        <f>IF('1mB'!B33&lt;&gt;"",'1mB'!G33,"")</f>
        <v/>
      </c>
      <c r="H1583" s="97">
        <f>IF('1mB'!B33&lt;&gt;"",'1mB'!H33,"")</f>
        <v/>
      </c>
      <c r="I1583" s="97">
        <f>IF('1mB'!B33&lt;&gt;"",'1mB'!I33,"")</f>
        <v/>
      </c>
      <c r="J1583" s="78">
        <f>IF('1mB'!B33&lt;&gt;"",'1mB'!J33,"")</f>
        <v/>
      </c>
    </row>
    <row r="1584" ht="15.75" customHeight="1" s="52">
      <c r="A1584" s="92">
        <f>IF('1mB'!B34&lt;&gt;"","1mB","")</f>
        <v/>
      </c>
      <c r="B1584" s="82">
        <f>IF('1mB'!B34&lt;&gt;"",'1mB'!B34,"")</f>
        <v/>
      </c>
      <c r="C1584" s="82">
        <f>IF('1mB'!B34&lt;&gt;"",'1mB'!C34,"")</f>
        <v/>
      </c>
      <c r="D1584" s="82">
        <f>IF('1mB'!B34&lt;&gt;"",'1mB'!D34,"")</f>
        <v/>
      </c>
      <c r="E1584" s="82">
        <f>IF('1mB'!B34&lt;&gt;"",'1mB'!E34,"")</f>
        <v/>
      </c>
      <c r="F1584" s="82">
        <f>IF('1mB'!B34&lt;&gt;"",'1mB'!F34,"")</f>
        <v/>
      </c>
      <c r="G1584" s="82">
        <f>IF('1mB'!B34&lt;&gt;"",'1mB'!G34,"")</f>
        <v/>
      </c>
      <c r="H1584" s="92">
        <f>IF('1mB'!B34&lt;&gt;"",'1mB'!H34,"")</f>
        <v/>
      </c>
      <c r="I1584" s="92">
        <f>IF('1mB'!B34&lt;&gt;"",'1mB'!I34,"")</f>
        <v/>
      </c>
      <c r="J1584" s="82">
        <f>IF('1mB'!B34&lt;&gt;"",'1mB'!J34,"")</f>
        <v/>
      </c>
    </row>
    <row r="1585" ht="15.75" customHeight="1" s="52">
      <c r="A1585" s="97">
        <f>IF('1mB'!B35&lt;&gt;"","1mB","")</f>
        <v/>
      </c>
      <c r="B1585" s="78">
        <f>IF('1mB'!B35&lt;&gt;"",'1mB'!B35,"")</f>
        <v/>
      </c>
      <c r="C1585" s="78">
        <f>IF('1mB'!B35&lt;&gt;"",'1mB'!C35,"")</f>
        <v/>
      </c>
      <c r="D1585" s="78">
        <f>IF('1mB'!B35&lt;&gt;"",'1mB'!D35,"")</f>
        <v/>
      </c>
      <c r="E1585" s="78">
        <f>IF('1mB'!B35&lt;&gt;"",'1mB'!E35,"")</f>
        <v/>
      </c>
      <c r="F1585" s="78">
        <f>IF('1mB'!B35&lt;&gt;"",'1mB'!F35,"")</f>
        <v/>
      </c>
      <c r="G1585" s="78">
        <f>IF('1mB'!B35&lt;&gt;"",'1mB'!G35,"")</f>
        <v/>
      </c>
      <c r="H1585" s="97">
        <f>IF('1mB'!B35&lt;&gt;"",'1mB'!H35,"")</f>
        <v/>
      </c>
      <c r="I1585" s="97">
        <f>IF('1mB'!B35&lt;&gt;"",'1mB'!I35,"")</f>
        <v/>
      </c>
      <c r="J1585" s="78">
        <f>IF('1mB'!B35&lt;&gt;"",'1mB'!J35,"")</f>
        <v/>
      </c>
    </row>
    <row r="1586" ht="15.75" customHeight="1" s="52">
      <c r="A1586" s="92">
        <f>IF('1mB'!B36&lt;&gt;"","1mB","")</f>
        <v/>
      </c>
      <c r="B1586" s="82">
        <f>IF('1mB'!B36&lt;&gt;"",'1mB'!B36,"")</f>
        <v/>
      </c>
      <c r="C1586" s="82">
        <f>IF('1mB'!B36&lt;&gt;"",'1mB'!C36,"")</f>
        <v/>
      </c>
      <c r="D1586" s="82">
        <f>IF('1mB'!B36&lt;&gt;"",'1mB'!D36,"")</f>
        <v/>
      </c>
      <c r="E1586" s="82">
        <f>IF('1mB'!B36&lt;&gt;"",'1mB'!E36,"")</f>
        <v/>
      </c>
      <c r="F1586" s="82">
        <f>IF('1mB'!B36&lt;&gt;"",'1mB'!F36,"")</f>
        <v/>
      </c>
      <c r="G1586" s="82">
        <f>IF('1mB'!B36&lt;&gt;"",'1mB'!G36,"")</f>
        <v/>
      </c>
      <c r="H1586" s="92">
        <f>IF('1mB'!B36&lt;&gt;"",'1mB'!H36,"")</f>
        <v/>
      </c>
      <c r="I1586" s="92">
        <f>IF('1mB'!B36&lt;&gt;"",'1mB'!I36,"")</f>
        <v/>
      </c>
      <c r="J1586" s="82">
        <f>IF('1mB'!B36&lt;&gt;"",'1mB'!J36,"")</f>
        <v/>
      </c>
    </row>
    <row r="1587" ht="15.75" customHeight="1" s="52">
      <c r="A1587" s="97">
        <f>IF('1mB'!B37&lt;&gt;"","1mB","")</f>
        <v/>
      </c>
      <c r="B1587" s="78">
        <f>IF('1mB'!B37&lt;&gt;"",'1mB'!B37,"")</f>
        <v/>
      </c>
      <c r="C1587" s="78">
        <f>IF('1mB'!B37&lt;&gt;"",'1mB'!C37,"")</f>
        <v/>
      </c>
      <c r="D1587" s="78">
        <f>IF('1mB'!B37&lt;&gt;"",'1mB'!D37,"")</f>
        <v/>
      </c>
      <c r="E1587" s="78">
        <f>IF('1mB'!B37&lt;&gt;"",'1mB'!E37,"")</f>
        <v/>
      </c>
      <c r="F1587" s="78">
        <f>IF('1mB'!B37&lt;&gt;"",'1mB'!F37,"")</f>
        <v/>
      </c>
      <c r="G1587" s="78">
        <f>IF('1mB'!B37&lt;&gt;"",'1mB'!G37,"")</f>
        <v/>
      </c>
      <c r="H1587" s="97">
        <f>IF('1mB'!B37&lt;&gt;"",'1mB'!H37,"")</f>
        <v/>
      </c>
      <c r="I1587" s="97">
        <f>IF('1mB'!B37&lt;&gt;"",'1mB'!I37,"")</f>
        <v/>
      </c>
      <c r="J1587" s="78">
        <f>IF('1mB'!B37&lt;&gt;"",'1mB'!J37,"")</f>
        <v/>
      </c>
    </row>
    <row r="1588" ht="15.75" customHeight="1" s="52">
      <c r="A1588" s="92">
        <f>IF('1mB'!B38&lt;&gt;"","1mB","")</f>
        <v/>
      </c>
      <c r="B1588" s="82">
        <f>IF('1mB'!B38&lt;&gt;"",'1mB'!B38,"")</f>
        <v/>
      </c>
      <c r="C1588" s="82">
        <f>IF('1mB'!B38&lt;&gt;"",'1mB'!C38,"")</f>
        <v/>
      </c>
      <c r="D1588" s="82">
        <f>IF('1mB'!B38&lt;&gt;"",'1mB'!D38,"")</f>
        <v/>
      </c>
      <c r="E1588" s="82">
        <f>IF('1mB'!B38&lt;&gt;"",'1mB'!E38,"")</f>
        <v/>
      </c>
      <c r="F1588" s="82">
        <f>IF('1mB'!B38&lt;&gt;"",'1mB'!F38,"")</f>
        <v/>
      </c>
      <c r="G1588" s="82">
        <f>IF('1mB'!B38&lt;&gt;"",'1mB'!G38,"")</f>
        <v/>
      </c>
      <c r="H1588" s="92">
        <f>IF('1mB'!B38&lt;&gt;"",'1mB'!H38,"")</f>
        <v/>
      </c>
      <c r="I1588" s="92">
        <f>IF('1mB'!B38&lt;&gt;"",'1mB'!I38,"")</f>
        <v/>
      </c>
      <c r="J1588" s="82">
        <f>IF('1mB'!B38&lt;&gt;"",'1mB'!J38,"")</f>
        <v/>
      </c>
    </row>
    <row r="1589" ht="15.75" customHeight="1" s="52">
      <c r="A1589" s="97">
        <f>IF('1mB'!B39&lt;&gt;"","1mB","")</f>
        <v/>
      </c>
      <c r="B1589" s="78">
        <f>IF('1mB'!B39&lt;&gt;"",'1mB'!B39,"")</f>
        <v/>
      </c>
      <c r="C1589" s="78">
        <f>IF('1mB'!B39&lt;&gt;"",'1mB'!C39,"")</f>
        <v/>
      </c>
      <c r="D1589" s="78">
        <f>IF('1mB'!B39&lt;&gt;"",'1mB'!D39,"")</f>
        <v/>
      </c>
      <c r="E1589" s="78">
        <f>IF('1mB'!B39&lt;&gt;"",'1mB'!E39,"")</f>
        <v/>
      </c>
      <c r="F1589" s="78">
        <f>IF('1mB'!B39&lt;&gt;"",'1mB'!F39,"")</f>
        <v/>
      </c>
      <c r="G1589" s="78">
        <f>IF('1mB'!B39&lt;&gt;"",'1mB'!G39,"")</f>
        <v/>
      </c>
      <c r="H1589" s="97">
        <f>IF('1mB'!B39&lt;&gt;"",'1mB'!H39,"")</f>
        <v/>
      </c>
      <c r="I1589" s="97">
        <f>IF('1mB'!B39&lt;&gt;"",'1mB'!I39,"")</f>
        <v/>
      </c>
      <c r="J1589" s="78">
        <f>IF('1mB'!B39&lt;&gt;"",'1mB'!J39,"")</f>
        <v/>
      </c>
    </row>
    <row r="1590" ht="15.75" customHeight="1" s="52">
      <c r="A1590" s="92">
        <f>IF('1mB'!B40&lt;&gt;"","1mB","")</f>
        <v/>
      </c>
      <c r="B1590" s="82">
        <f>IF('1mB'!B40&lt;&gt;"",'1mB'!B40,"")</f>
        <v/>
      </c>
      <c r="C1590" s="82">
        <f>IF('1mB'!B40&lt;&gt;"",'1mB'!C40,"")</f>
        <v/>
      </c>
      <c r="D1590" s="82">
        <f>IF('1mB'!B40&lt;&gt;"",'1mB'!D40,"")</f>
        <v/>
      </c>
      <c r="E1590" s="82">
        <f>IF('1mB'!B40&lt;&gt;"",'1mB'!E40,"")</f>
        <v/>
      </c>
      <c r="F1590" s="82">
        <f>IF('1mB'!B40&lt;&gt;"",'1mB'!F40,"")</f>
        <v/>
      </c>
      <c r="G1590" s="82">
        <f>IF('1mB'!B40&lt;&gt;"",'1mB'!G40,"")</f>
        <v/>
      </c>
      <c r="H1590" s="92">
        <f>IF('1mB'!B40&lt;&gt;"",'1mB'!H40,"")</f>
        <v/>
      </c>
      <c r="I1590" s="92">
        <f>IF('1mB'!B40&lt;&gt;"",'1mB'!I40,"")</f>
        <v/>
      </c>
      <c r="J1590" s="82">
        <f>IF('1mB'!B40&lt;&gt;"",'1mB'!J40,"")</f>
        <v/>
      </c>
    </row>
    <row r="1591" ht="15.75" customHeight="1" s="52">
      <c r="A1591" s="97">
        <f>IF('1mB'!B41&lt;&gt;"","1mB","")</f>
        <v/>
      </c>
      <c r="B1591" s="78">
        <f>IF('1mB'!B41&lt;&gt;"",'1mB'!B41,"")</f>
        <v/>
      </c>
      <c r="C1591" s="78">
        <f>IF('1mB'!B41&lt;&gt;"",'1mB'!C41,"")</f>
        <v/>
      </c>
      <c r="D1591" s="78">
        <f>IF('1mB'!B41&lt;&gt;"",'1mB'!D41,"")</f>
        <v/>
      </c>
      <c r="E1591" s="78">
        <f>IF('1mB'!B41&lt;&gt;"",'1mB'!E41,"")</f>
        <v/>
      </c>
      <c r="F1591" s="78">
        <f>IF('1mB'!B41&lt;&gt;"",'1mB'!F41,"")</f>
        <v/>
      </c>
      <c r="G1591" s="78">
        <f>IF('1mB'!B41&lt;&gt;"",'1mB'!G41,"")</f>
        <v/>
      </c>
      <c r="H1591" s="97">
        <f>IF('1mB'!B41&lt;&gt;"",'1mB'!H41,"")</f>
        <v/>
      </c>
      <c r="I1591" s="97">
        <f>IF('1mB'!B41&lt;&gt;"",'1mB'!I41,"")</f>
        <v/>
      </c>
      <c r="J1591" s="78">
        <f>IF('1mB'!B41&lt;&gt;"",'1mB'!J41,"")</f>
        <v/>
      </c>
    </row>
    <row r="1592" ht="15.75" customHeight="1" s="52">
      <c r="A1592" s="92">
        <f>IF('1mB'!B42&lt;&gt;"","1mB","")</f>
        <v/>
      </c>
      <c r="B1592" s="82">
        <f>IF('1mB'!B42&lt;&gt;"",'1mB'!B42,"")</f>
        <v/>
      </c>
      <c r="C1592" s="82">
        <f>IF('1mB'!B42&lt;&gt;"",'1mB'!C42,"")</f>
        <v/>
      </c>
      <c r="D1592" s="82">
        <f>IF('1mB'!B42&lt;&gt;"",'1mB'!D42,"")</f>
        <v/>
      </c>
      <c r="E1592" s="82">
        <f>IF('1mB'!B42&lt;&gt;"",'1mB'!E42,"")</f>
        <v/>
      </c>
      <c r="F1592" s="82">
        <f>IF('1mB'!B42&lt;&gt;"",'1mB'!F42,"")</f>
        <v/>
      </c>
      <c r="G1592" s="82">
        <f>IF('1mB'!B42&lt;&gt;"",'1mB'!G42,"")</f>
        <v/>
      </c>
      <c r="H1592" s="92">
        <f>IF('1mB'!B42&lt;&gt;"",'1mB'!H42,"")</f>
        <v/>
      </c>
      <c r="I1592" s="92">
        <f>IF('1mB'!B42&lt;&gt;"",'1mB'!I42,"")</f>
        <v/>
      </c>
      <c r="J1592" s="82">
        <f>IF('1mB'!B42&lt;&gt;"",'1mB'!J42,"")</f>
        <v/>
      </c>
    </row>
    <row r="1593" ht="15.75" customHeight="1" s="52">
      <c r="A1593" s="97">
        <f>IF('1mB'!B43&lt;&gt;"","1mB","")</f>
        <v/>
      </c>
      <c r="B1593" s="78">
        <f>IF('1mB'!B43&lt;&gt;"",'1mB'!B43,"")</f>
        <v/>
      </c>
      <c r="C1593" s="78">
        <f>IF('1mB'!B43&lt;&gt;"",'1mB'!C43,"")</f>
        <v/>
      </c>
      <c r="D1593" s="78">
        <f>IF('1mB'!B43&lt;&gt;"",'1mB'!D43,"")</f>
        <v/>
      </c>
      <c r="E1593" s="78">
        <f>IF('1mB'!B43&lt;&gt;"",'1mB'!E43,"")</f>
        <v/>
      </c>
      <c r="F1593" s="78">
        <f>IF('1mB'!B43&lt;&gt;"",'1mB'!F43,"")</f>
        <v/>
      </c>
      <c r="G1593" s="78">
        <f>IF('1mB'!B43&lt;&gt;"",'1mB'!G43,"")</f>
        <v/>
      </c>
      <c r="H1593" s="97">
        <f>IF('1mB'!B43&lt;&gt;"",'1mB'!H43,"")</f>
        <v/>
      </c>
      <c r="I1593" s="97">
        <f>IF('1mB'!B43&lt;&gt;"",'1mB'!I43,"")</f>
        <v/>
      </c>
      <c r="J1593" s="78">
        <f>IF('1mB'!B43&lt;&gt;"",'1mB'!J43,"")</f>
        <v/>
      </c>
    </row>
    <row r="1594" ht="15.75" customHeight="1" s="52">
      <c r="A1594" s="92">
        <f>IF('1mB'!B44&lt;&gt;"","1mB","")</f>
        <v/>
      </c>
      <c r="B1594" s="82">
        <f>IF('1mB'!B44&lt;&gt;"",'1mB'!B44,"")</f>
        <v/>
      </c>
      <c r="C1594" s="82">
        <f>IF('1mB'!B44&lt;&gt;"",'1mB'!C44,"")</f>
        <v/>
      </c>
      <c r="D1594" s="82">
        <f>IF('1mB'!B44&lt;&gt;"",'1mB'!D44,"")</f>
        <v/>
      </c>
      <c r="E1594" s="82">
        <f>IF('1mB'!B44&lt;&gt;"",'1mB'!E44,"")</f>
        <v/>
      </c>
      <c r="F1594" s="82">
        <f>IF('1mB'!B44&lt;&gt;"",'1mB'!F44,"")</f>
        <v/>
      </c>
      <c r="G1594" s="82">
        <f>IF('1mB'!B44&lt;&gt;"",'1mB'!G44,"")</f>
        <v/>
      </c>
      <c r="H1594" s="92">
        <f>IF('1mB'!B44&lt;&gt;"",'1mB'!H44,"")</f>
        <v/>
      </c>
      <c r="I1594" s="92">
        <f>IF('1mB'!B44&lt;&gt;"",'1mB'!I44,"")</f>
        <v/>
      </c>
      <c r="J1594" s="82">
        <f>IF('1mB'!B44&lt;&gt;"",'1mB'!J44,"")</f>
        <v/>
      </c>
    </row>
    <row r="1595" ht="15.75" customHeight="1" s="52">
      <c r="A1595" s="97">
        <f>IF('1mB'!B45&lt;&gt;"","1mB","")</f>
        <v/>
      </c>
      <c r="B1595" s="78">
        <f>IF('1mB'!B45&lt;&gt;"",'1mB'!B45,"")</f>
        <v/>
      </c>
      <c r="C1595" s="78">
        <f>IF('1mB'!B45&lt;&gt;"",'1mB'!C45,"")</f>
        <v/>
      </c>
      <c r="D1595" s="78">
        <f>IF('1mB'!B45&lt;&gt;"",'1mB'!D45,"")</f>
        <v/>
      </c>
      <c r="E1595" s="78">
        <f>IF('1mB'!B45&lt;&gt;"",'1mB'!E45,"")</f>
        <v/>
      </c>
      <c r="F1595" s="78">
        <f>IF('1mB'!B45&lt;&gt;"",'1mB'!F45,"")</f>
        <v/>
      </c>
      <c r="G1595" s="78">
        <f>IF('1mB'!B45&lt;&gt;"",'1mB'!G45,"")</f>
        <v/>
      </c>
      <c r="H1595" s="97">
        <f>IF('1mB'!B45&lt;&gt;"",'1mB'!H45,"")</f>
        <v/>
      </c>
      <c r="I1595" s="97">
        <f>IF('1mB'!B45&lt;&gt;"",'1mB'!I45,"")</f>
        <v/>
      </c>
      <c r="J1595" s="78">
        <f>IF('1mB'!B45&lt;&gt;"",'1mB'!J45,"")</f>
        <v/>
      </c>
    </row>
    <row r="1596" ht="15.75" customHeight="1" s="52">
      <c r="A1596" s="92">
        <f>IF('1mB'!B46&lt;&gt;"","1mB","")</f>
        <v/>
      </c>
      <c r="B1596" s="82">
        <f>IF('1mB'!B46&lt;&gt;"",'1mB'!B46,"")</f>
        <v/>
      </c>
      <c r="C1596" s="82">
        <f>IF('1mB'!B46&lt;&gt;"",'1mB'!C46,"")</f>
        <v/>
      </c>
      <c r="D1596" s="82">
        <f>IF('1mB'!B46&lt;&gt;"",'1mB'!D46,"")</f>
        <v/>
      </c>
      <c r="E1596" s="82">
        <f>IF('1mB'!B46&lt;&gt;"",'1mB'!E46,"")</f>
        <v/>
      </c>
      <c r="F1596" s="82">
        <f>IF('1mB'!B46&lt;&gt;"",'1mB'!F46,"")</f>
        <v/>
      </c>
      <c r="G1596" s="82">
        <f>IF('1mB'!B46&lt;&gt;"",'1mB'!G46,"")</f>
        <v/>
      </c>
      <c r="H1596" s="92">
        <f>IF('1mB'!B46&lt;&gt;"",'1mB'!H46,"")</f>
        <v/>
      </c>
      <c r="I1596" s="92">
        <f>IF('1mB'!B46&lt;&gt;"",'1mB'!I46,"")</f>
        <v/>
      </c>
      <c r="J1596" s="82">
        <f>IF('1mB'!B46&lt;&gt;"",'1mB'!J46,"")</f>
        <v/>
      </c>
    </row>
    <row r="1597" ht="15.75" customHeight="1" s="52">
      <c r="A1597" s="97">
        <f>IF('1mB'!B47&lt;&gt;"","1mB","")</f>
        <v/>
      </c>
      <c r="B1597" s="78">
        <f>IF('1mB'!B47&lt;&gt;"",'1mB'!B47,"")</f>
        <v/>
      </c>
      <c r="C1597" s="78">
        <f>IF('1mB'!B47&lt;&gt;"",'1mB'!C47,"")</f>
        <v/>
      </c>
      <c r="D1597" s="78">
        <f>IF('1mB'!B47&lt;&gt;"",'1mB'!D47,"")</f>
        <v/>
      </c>
      <c r="E1597" s="78">
        <f>IF('1mB'!B47&lt;&gt;"",'1mB'!E47,"")</f>
        <v/>
      </c>
      <c r="F1597" s="78">
        <f>IF('1mB'!B47&lt;&gt;"",'1mB'!F47,"")</f>
        <v/>
      </c>
      <c r="G1597" s="78">
        <f>IF('1mB'!B47&lt;&gt;"",'1mB'!G47,"")</f>
        <v/>
      </c>
      <c r="H1597" s="97">
        <f>IF('1mB'!B47&lt;&gt;"",'1mB'!H47,"")</f>
        <v/>
      </c>
      <c r="I1597" s="97">
        <f>IF('1mB'!B47&lt;&gt;"",'1mB'!I47,"")</f>
        <v/>
      </c>
      <c r="J1597" s="78">
        <f>IF('1mB'!B47&lt;&gt;"",'1mB'!J47,"")</f>
        <v/>
      </c>
    </row>
    <row r="1598" ht="15.75" customHeight="1" s="52">
      <c r="A1598" s="92">
        <f>IF('1mB'!B48&lt;&gt;"","1mB","")</f>
        <v/>
      </c>
      <c r="B1598" s="82">
        <f>IF('1mB'!B48&lt;&gt;"",'1mB'!B48,"")</f>
        <v/>
      </c>
      <c r="C1598" s="82">
        <f>IF('1mB'!B48&lt;&gt;"",'1mB'!C48,"")</f>
        <v/>
      </c>
      <c r="D1598" s="82">
        <f>IF('1mB'!B48&lt;&gt;"",'1mB'!D48,"")</f>
        <v/>
      </c>
      <c r="E1598" s="82">
        <f>IF('1mB'!B48&lt;&gt;"",'1mB'!E48,"")</f>
        <v/>
      </c>
      <c r="F1598" s="82">
        <f>IF('1mB'!B48&lt;&gt;"",'1mB'!F48,"")</f>
        <v/>
      </c>
      <c r="G1598" s="82">
        <f>IF('1mB'!B48&lt;&gt;"",'1mB'!G48,"")</f>
        <v/>
      </c>
      <c r="H1598" s="92">
        <f>IF('1mB'!B48&lt;&gt;"",'1mB'!H48,"")</f>
        <v/>
      </c>
      <c r="I1598" s="92">
        <f>IF('1mB'!B48&lt;&gt;"",'1mB'!I48,"")</f>
        <v/>
      </c>
      <c r="J1598" s="82">
        <f>IF('1mB'!B48&lt;&gt;"",'1mB'!J48,"")</f>
        <v/>
      </c>
    </row>
    <row r="1599" ht="15.75" customHeight="1" s="52">
      <c r="A1599" s="97">
        <f>IF('1mB'!B49&lt;&gt;"","1mB","")</f>
        <v/>
      </c>
      <c r="B1599" s="78">
        <f>IF('1mB'!B49&lt;&gt;"",'1mB'!B49,"")</f>
        <v/>
      </c>
      <c r="C1599" s="78">
        <f>IF('1mB'!B49&lt;&gt;"",'1mB'!C49,"")</f>
        <v/>
      </c>
      <c r="D1599" s="78">
        <f>IF('1mB'!B49&lt;&gt;"",'1mB'!D49,"")</f>
        <v/>
      </c>
      <c r="E1599" s="78">
        <f>IF('1mB'!B49&lt;&gt;"",'1mB'!E49,"")</f>
        <v/>
      </c>
      <c r="F1599" s="78">
        <f>IF('1mB'!B49&lt;&gt;"",'1mB'!F49,"")</f>
        <v/>
      </c>
      <c r="G1599" s="78">
        <f>IF('1mB'!B49&lt;&gt;"",'1mB'!G49,"")</f>
        <v/>
      </c>
      <c r="H1599" s="97">
        <f>IF('1mB'!B49&lt;&gt;"",'1mB'!H49,"")</f>
        <v/>
      </c>
      <c r="I1599" s="97">
        <f>IF('1mB'!B49&lt;&gt;"",'1mB'!I49,"")</f>
        <v/>
      </c>
      <c r="J1599" s="78">
        <f>IF('1mB'!B49&lt;&gt;"",'1mB'!J49,"")</f>
        <v/>
      </c>
    </row>
    <row r="1600" ht="15.75" customHeight="1" s="52">
      <c r="A1600" s="92">
        <f>IF('1mB'!B50&lt;&gt;"","1mB","")</f>
        <v/>
      </c>
      <c r="B1600" s="82">
        <f>IF('1mB'!B50&lt;&gt;"",'1mB'!B50,"")</f>
        <v/>
      </c>
      <c r="C1600" s="82">
        <f>IF('1mB'!B50&lt;&gt;"",'1mB'!C50,"")</f>
        <v/>
      </c>
      <c r="D1600" s="82">
        <f>IF('1mB'!B50&lt;&gt;"",'1mB'!D50,"")</f>
        <v/>
      </c>
      <c r="E1600" s="82">
        <f>IF('1mB'!B50&lt;&gt;"",'1mB'!E50,"")</f>
        <v/>
      </c>
      <c r="F1600" s="82">
        <f>IF('1mB'!B50&lt;&gt;"",'1mB'!F50,"")</f>
        <v/>
      </c>
      <c r="G1600" s="82">
        <f>IF('1mB'!B50&lt;&gt;"",'1mB'!G50,"")</f>
        <v/>
      </c>
      <c r="H1600" s="92">
        <f>IF('1mB'!B50&lt;&gt;"",'1mB'!H50,"")</f>
        <v/>
      </c>
      <c r="I1600" s="92">
        <f>IF('1mB'!B50&lt;&gt;"",'1mB'!I50,"")</f>
        <v/>
      </c>
      <c r="J1600" s="82">
        <f>IF('1mB'!B50&lt;&gt;"",'1mB'!J50,"")</f>
        <v/>
      </c>
    </row>
    <row r="1601" ht="15.75" customHeight="1" s="52">
      <c r="A1601" s="97">
        <f>IF('1mB'!B51&lt;&gt;"","1mB","")</f>
        <v/>
      </c>
      <c r="B1601" s="78">
        <f>IF('1mB'!B51&lt;&gt;"",'1mB'!B51,"")</f>
        <v/>
      </c>
      <c r="C1601" s="78">
        <f>IF('1mB'!B51&lt;&gt;"",'1mB'!C51,"")</f>
        <v/>
      </c>
      <c r="D1601" s="78">
        <f>IF('1mB'!B51&lt;&gt;"",'1mB'!D51,"")</f>
        <v/>
      </c>
      <c r="E1601" s="78">
        <f>IF('1mB'!B51&lt;&gt;"",'1mB'!E51,"")</f>
        <v/>
      </c>
      <c r="F1601" s="78">
        <f>IF('1mB'!B51&lt;&gt;"",'1mB'!F51,"")</f>
        <v/>
      </c>
      <c r="G1601" s="78">
        <f>IF('1mB'!B51&lt;&gt;"",'1mB'!G51,"")</f>
        <v/>
      </c>
      <c r="H1601" s="97">
        <f>IF('1mB'!B51&lt;&gt;"",'1mB'!H51,"")</f>
        <v/>
      </c>
      <c r="I1601" s="97">
        <f>IF('1mB'!B51&lt;&gt;"",'1mB'!I51,"")</f>
        <v/>
      </c>
      <c r="J1601" s="78">
        <f>IF('1mB'!B51&lt;&gt;"",'1mB'!J51,"")</f>
        <v/>
      </c>
    </row>
    <row r="1602" ht="15.75" customHeight="1" s="52">
      <c r="A1602" s="92">
        <f>IF('1mB'!B52&lt;&gt;"","1mB","")</f>
        <v/>
      </c>
      <c r="B1602" s="82">
        <f>IF('1mB'!B52&lt;&gt;"",'1mB'!B52,"")</f>
        <v/>
      </c>
      <c r="C1602" s="82">
        <f>IF('1mB'!B52&lt;&gt;"",'1mB'!C52,"")</f>
        <v/>
      </c>
      <c r="D1602" s="82">
        <f>IF('1mB'!B52&lt;&gt;"",'1mB'!D52,"")</f>
        <v/>
      </c>
      <c r="E1602" s="82">
        <f>IF('1mB'!B52&lt;&gt;"",'1mB'!E52,"")</f>
        <v/>
      </c>
      <c r="F1602" s="82">
        <f>IF('1mB'!B52&lt;&gt;"",'1mB'!F52,"")</f>
        <v/>
      </c>
      <c r="G1602" s="82">
        <f>IF('1mB'!B52&lt;&gt;"",'1mB'!G52,"")</f>
        <v/>
      </c>
      <c r="H1602" s="92">
        <f>IF('1mB'!B52&lt;&gt;"",'1mB'!H52,"")</f>
        <v/>
      </c>
      <c r="I1602" s="92">
        <f>IF('1mB'!B52&lt;&gt;"",'1mB'!I52,"")</f>
        <v/>
      </c>
      <c r="J1602" s="82">
        <f>IF('1mB'!B52&lt;&gt;"",'1mB'!J52,"")</f>
        <v/>
      </c>
    </row>
    <row r="1603" ht="15.75" customHeight="1" s="52">
      <c r="A1603" s="97">
        <f>IF('1mB'!B53&lt;&gt;"","1mB","")</f>
        <v/>
      </c>
      <c r="B1603" s="78">
        <f>IF('1mB'!B53&lt;&gt;"",'1mB'!B53,"")</f>
        <v/>
      </c>
      <c r="C1603" s="78">
        <f>IF('1mB'!B53&lt;&gt;"",'1mB'!C53,"")</f>
        <v/>
      </c>
      <c r="D1603" s="78">
        <f>IF('1mB'!B53&lt;&gt;"",'1mB'!D53,"")</f>
        <v/>
      </c>
      <c r="E1603" s="78">
        <f>IF('1mB'!B53&lt;&gt;"",'1mB'!E53,"")</f>
        <v/>
      </c>
      <c r="F1603" s="78">
        <f>IF('1mB'!B53&lt;&gt;"",'1mB'!F53,"")</f>
        <v/>
      </c>
      <c r="G1603" s="78">
        <f>IF('1mB'!B53&lt;&gt;"",'1mB'!G53,"")</f>
        <v/>
      </c>
      <c r="H1603" s="97">
        <f>IF('1mB'!B53&lt;&gt;"",'1mB'!H53,"")</f>
        <v/>
      </c>
      <c r="I1603" s="97">
        <f>IF('1mB'!B53&lt;&gt;"",'1mB'!I53,"")</f>
        <v/>
      </c>
      <c r="J1603" s="78">
        <f>IF('1mB'!B53&lt;&gt;"",'1mB'!J53,"")</f>
        <v/>
      </c>
    </row>
    <row r="1604" ht="15.75" customHeight="1" s="52">
      <c r="A1604" s="92">
        <f>IF('1mB'!B54&lt;&gt;"","1mB","")</f>
        <v/>
      </c>
      <c r="B1604" s="82">
        <f>IF('1mB'!B54&lt;&gt;"",'1mB'!B54,"")</f>
        <v/>
      </c>
      <c r="C1604" s="82">
        <f>IF('1mB'!B54&lt;&gt;"",'1mB'!C54,"")</f>
        <v/>
      </c>
      <c r="D1604" s="82">
        <f>IF('1mB'!B54&lt;&gt;"",'1mB'!D54,"")</f>
        <v/>
      </c>
      <c r="E1604" s="82">
        <f>IF('1mB'!B54&lt;&gt;"",'1mB'!E54,"")</f>
        <v/>
      </c>
      <c r="F1604" s="82">
        <f>IF('1mB'!B54&lt;&gt;"",'1mB'!F54,"")</f>
        <v/>
      </c>
      <c r="G1604" s="82">
        <f>IF('1mB'!B54&lt;&gt;"",'1mB'!G54,"")</f>
        <v/>
      </c>
      <c r="H1604" s="92">
        <f>IF('1mB'!B54&lt;&gt;"",'1mB'!H54,"")</f>
        <v/>
      </c>
      <c r="I1604" s="92">
        <f>IF('1mB'!B54&lt;&gt;"",'1mB'!I54,"")</f>
        <v/>
      </c>
      <c r="J1604" s="82">
        <f>IF('1mB'!B54&lt;&gt;"",'1mB'!J54,"")</f>
        <v/>
      </c>
    </row>
    <row r="1605" ht="15.75" customHeight="1" s="52">
      <c r="A1605" s="97">
        <f>IF('1mC'!B5&lt;&gt;"","1mC","")</f>
        <v/>
      </c>
      <c r="B1605" s="78">
        <f>IF('1mC'!B5&lt;&gt;"",'1mC'!B5,"")</f>
        <v/>
      </c>
      <c r="C1605" s="78">
        <f>IF('1mC'!B5&lt;&gt;"",'1mC'!C5,"")</f>
        <v/>
      </c>
      <c r="D1605" s="78">
        <f>IF('1mC'!B5&lt;&gt;"",'1mC'!D5,"")</f>
        <v/>
      </c>
      <c r="E1605" s="78">
        <f>IF('1mC'!B5&lt;&gt;"",'1mC'!E5,"")</f>
        <v/>
      </c>
      <c r="F1605" s="78">
        <f>IF('1mC'!B5&lt;&gt;"",'1mC'!F5,"")</f>
        <v/>
      </c>
      <c r="G1605" s="78">
        <f>IF('1mC'!B5&lt;&gt;"",'1mC'!G5,"")</f>
        <v/>
      </c>
      <c r="H1605" s="97">
        <f>IF('1mC'!B5&lt;&gt;"",'1mC'!H5,"")</f>
        <v/>
      </c>
      <c r="I1605" s="97">
        <f>IF('1mC'!B5&lt;&gt;"",'1mC'!I5,"")</f>
        <v/>
      </c>
      <c r="J1605" s="78">
        <f>IF('1mC'!B5&lt;&gt;"",'1mC'!J5,"")</f>
        <v/>
      </c>
    </row>
    <row r="1606" ht="15.75" customHeight="1" s="52">
      <c r="A1606" s="92">
        <f>IF('1mC'!B6&lt;&gt;"","1mC","")</f>
        <v/>
      </c>
      <c r="B1606" s="82">
        <f>IF('1mC'!B6&lt;&gt;"",'1mC'!B6,"")</f>
        <v/>
      </c>
      <c r="C1606" s="82">
        <f>IF('1mC'!B6&lt;&gt;"",'1mC'!C6,"")</f>
        <v/>
      </c>
      <c r="D1606" s="82">
        <f>IF('1mC'!B6&lt;&gt;"",'1mC'!D6,"")</f>
        <v/>
      </c>
      <c r="E1606" s="82">
        <f>IF('1mC'!B6&lt;&gt;"",'1mC'!E6,"")</f>
        <v/>
      </c>
      <c r="F1606" s="82">
        <f>IF('1mC'!B6&lt;&gt;"",'1mC'!F6,"")</f>
        <v/>
      </c>
      <c r="G1606" s="82">
        <f>IF('1mC'!B6&lt;&gt;"",'1mC'!G6,"")</f>
        <v/>
      </c>
      <c r="H1606" s="92">
        <f>IF('1mC'!B6&lt;&gt;"",'1mC'!H6,"")</f>
        <v/>
      </c>
      <c r="I1606" s="92">
        <f>IF('1mC'!B6&lt;&gt;"",'1mC'!I6,"")</f>
        <v/>
      </c>
      <c r="J1606" s="82">
        <f>IF('1mC'!B6&lt;&gt;"",'1mC'!J6,"")</f>
        <v/>
      </c>
    </row>
    <row r="1607" ht="15.75" customHeight="1" s="52">
      <c r="A1607" s="97">
        <f>IF('1mC'!B7&lt;&gt;"","1mC","")</f>
        <v/>
      </c>
      <c r="B1607" s="78">
        <f>IF('1mC'!B7&lt;&gt;"",'1mC'!B7,"")</f>
        <v/>
      </c>
      <c r="C1607" s="78">
        <f>IF('1mC'!B7&lt;&gt;"",'1mC'!C7,"")</f>
        <v/>
      </c>
      <c r="D1607" s="78">
        <f>IF('1mC'!B7&lt;&gt;"",'1mC'!D7,"")</f>
        <v/>
      </c>
      <c r="E1607" s="78">
        <f>IF('1mC'!B7&lt;&gt;"",'1mC'!E7,"")</f>
        <v/>
      </c>
      <c r="F1607" s="78">
        <f>IF('1mC'!B7&lt;&gt;"",'1mC'!F7,"")</f>
        <v/>
      </c>
      <c r="G1607" s="78">
        <f>IF('1mC'!B7&lt;&gt;"",'1mC'!G7,"")</f>
        <v/>
      </c>
      <c r="H1607" s="97">
        <f>IF('1mC'!B7&lt;&gt;"",'1mC'!H7,"")</f>
        <v/>
      </c>
      <c r="I1607" s="97">
        <f>IF('1mC'!B7&lt;&gt;"",'1mC'!I7,"")</f>
        <v/>
      </c>
      <c r="J1607" s="78">
        <f>IF('1mC'!B7&lt;&gt;"",'1mC'!J7,"")</f>
        <v/>
      </c>
    </row>
    <row r="1608" ht="15.75" customHeight="1" s="52">
      <c r="A1608" s="92">
        <f>IF('1mC'!B8&lt;&gt;"","1mC","")</f>
        <v/>
      </c>
      <c r="B1608" s="82">
        <f>IF('1mC'!B8&lt;&gt;"",'1mC'!B8,"")</f>
        <v/>
      </c>
      <c r="C1608" s="82">
        <f>IF('1mC'!B8&lt;&gt;"",'1mC'!C8,"")</f>
        <v/>
      </c>
      <c r="D1608" s="82">
        <f>IF('1mC'!B8&lt;&gt;"",'1mC'!D8,"")</f>
        <v/>
      </c>
      <c r="E1608" s="82">
        <f>IF('1mC'!B8&lt;&gt;"",'1mC'!E8,"")</f>
        <v/>
      </c>
      <c r="F1608" s="82">
        <f>IF('1mC'!B8&lt;&gt;"",'1mC'!F8,"")</f>
        <v/>
      </c>
      <c r="G1608" s="82">
        <f>IF('1mC'!B8&lt;&gt;"",'1mC'!G8,"")</f>
        <v/>
      </c>
      <c r="H1608" s="92">
        <f>IF('1mC'!B8&lt;&gt;"",'1mC'!H8,"")</f>
        <v/>
      </c>
      <c r="I1608" s="92">
        <f>IF('1mC'!B8&lt;&gt;"",'1mC'!I8,"")</f>
        <v/>
      </c>
      <c r="J1608" s="82">
        <f>IF('1mC'!B8&lt;&gt;"",'1mC'!J8,"")</f>
        <v/>
      </c>
    </row>
    <row r="1609" ht="15.75" customHeight="1" s="52">
      <c r="A1609" s="97">
        <f>IF('1mC'!B9&lt;&gt;"","1mC","")</f>
        <v/>
      </c>
      <c r="B1609" s="78">
        <f>IF('1mC'!B9&lt;&gt;"",'1mC'!B9,"")</f>
        <v/>
      </c>
      <c r="C1609" s="78">
        <f>IF('1mC'!B9&lt;&gt;"",'1mC'!C9,"")</f>
        <v/>
      </c>
      <c r="D1609" s="78">
        <f>IF('1mC'!B9&lt;&gt;"",'1mC'!D9,"")</f>
        <v/>
      </c>
      <c r="E1609" s="78">
        <f>IF('1mC'!B9&lt;&gt;"",'1mC'!E9,"")</f>
        <v/>
      </c>
      <c r="F1609" s="78">
        <f>IF('1mC'!B9&lt;&gt;"",'1mC'!F9,"")</f>
        <v/>
      </c>
      <c r="G1609" s="78">
        <f>IF('1mC'!B9&lt;&gt;"",'1mC'!G9,"")</f>
        <v/>
      </c>
      <c r="H1609" s="97">
        <f>IF('1mC'!B9&lt;&gt;"",'1mC'!H9,"")</f>
        <v/>
      </c>
      <c r="I1609" s="97">
        <f>IF('1mC'!B9&lt;&gt;"",'1mC'!I9,"")</f>
        <v/>
      </c>
      <c r="J1609" s="78">
        <f>IF('1mC'!B9&lt;&gt;"",'1mC'!J9,"")</f>
        <v/>
      </c>
    </row>
    <row r="1610" ht="15.75" customHeight="1" s="52">
      <c r="A1610" s="92">
        <f>IF('1mC'!B10&lt;&gt;"","1mC","")</f>
        <v/>
      </c>
      <c r="B1610" s="82">
        <f>IF('1mC'!B10&lt;&gt;"",'1mC'!B10,"")</f>
        <v/>
      </c>
      <c r="C1610" s="82">
        <f>IF('1mC'!B10&lt;&gt;"",'1mC'!C10,"")</f>
        <v/>
      </c>
      <c r="D1610" s="82">
        <f>IF('1mC'!B10&lt;&gt;"",'1mC'!D10,"")</f>
        <v/>
      </c>
      <c r="E1610" s="82">
        <f>IF('1mC'!B10&lt;&gt;"",'1mC'!E10,"")</f>
        <v/>
      </c>
      <c r="F1610" s="82">
        <f>IF('1mC'!B10&lt;&gt;"",'1mC'!F10,"")</f>
        <v/>
      </c>
      <c r="G1610" s="82">
        <f>IF('1mC'!B10&lt;&gt;"",'1mC'!G10,"")</f>
        <v/>
      </c>
      <c r="H1610" s="92">
        <f>IF('1mC'!B10&lt;&gt;"",'1mC'!H10,"")</f>
        <v/>
      </c>
      <c r="I1610" s="92">
        <f>IF('1mC'!B10&lt;&gt;"",'1mC'!I10,"")</f>
        <v/>
      </c>
      <c r="J1610" s="82">
        <f>IF('1mC'!B10&lt;&gt;"",'1mC'!J10,"")</f>
        <v/>
      </c>
    </row>
    <row r="1611" ht="15.75" customHeight="1" s="52">
      <c r="A1611" s="97">
        <f>IF('1mC'!B11&lt;&gt;"","1mC","")</f>
        <v/>
      </c>
      <c r="B1611" s="78">
        <f>IF('1mC'!B11&lt;&gt;"",'1mC'!B11,"")</f>
        <v/>
      </c>
      <c r="C1611" s="78">
        <f>IF('1mC'!B11&lt;&gt;"",'1mC'!C11,"")</f>
        <v/>
      </c>
      <c r="D1611" s="78">
        <f>IF('1mC'!B11&lt;&gt;"",'1mC'!D11,"")</f>
        <v/>
      </c>
      <c r="E1611" s="78">
        <f>IF('1mC'!B11&lt;&gt;"",'1mC'!E11,"")</f>
        <v/>
      </c>
      <c r="F1611" s="78">
        <f>IF('1mC'!B11&lt;&gt;"",'1mC'!F11,"")</f>
        <v/>
      </c>
      <c r="G1611" s="78">
        <f>IF('1mC'!B11&lt;&gt;"",'1mC'!G11,"")</f>
        <v/>
      </c>
      <c r="H1611" s="97">
        <f>IF('1mC'!B11&lt;&gt;"",'1mC'!H11,"")</f>
        <v/>
      </c>
      <c r="I1611" s="97">
        <f>IF('1mC'!B11&lt;&gt;"",'1mC'!I11,"")</f>
        <v/>
      </c>
      <c r="J1611" s="78">
        <f>IF('1mC'!B11&lt;&gt;"",'1mC'!J11,"")</f>
        <v/>
      </c>
    </row>
    <row r="1612" ht="15.75" customHeight="1" s="52">
      <c r="A1612" s="92">
        <f>IF('1mC'!B12&lt;&gt;"","1mC","")</f>
        <v/>
      </c>
      <c r="B1612" s="82">
        <f>IF('1mC'!B12&lt;&gt;"",'1mC'!B12,"")</f>
        <v/>
      </c>
      <c r="C1612" s="82">
        <f>IF('1mC'!B12&lt;&gt;"",'1mC'!C12,"")</f>
        <v/>
      </c>
      <c r="D1612" s="82">
        <f>IF('1mC'!B12&lt;&gt;"",'1mC'!D12,"")</f>
        <v/>
      </c>
      <c r="E1612" s="82">
        <f>IF('1mC'!B12&lt;&gt;"",'1mC'!E12,"")</f>
        <v/>
      </c>
      <c r="F1612" s="82">
        <f>IF('1mC'!B12&lt;&gt;"",'1mC'!F12,"")</f>
        <v/>
      </c>
      <c r="G1612" s="82">
        <f>IF('1mC'!B12&lt;&gt;"",'1mC'!G12,"")</f>
        <v/>
      </c>
      <c r="H1612" s="92">
        <f>IF('1mC'!B12&lt;&gt;"",'1mC'!H12,"")</f>
        <v/>
      </c>
      <c r="I1612" s="92">
        <f>IF('1mC'!B12&lt;&gt;"",'1mC'!I12,"")</f>
        <v/>
      </c>
      <c r="J1612" s="82">
        <f>IF('1mC'!B12&lt;&gt;"",'1mC'!J12,"")</f>
        <v/>
      </c>
    </row>
    <row r="1613" ht="15.75" customHeight="1" s="52">
      <c r="A1613" s="97">
        <f>IF('1mC'!B13&lt;&gt;"","1mC","")</f>
        <v/>
      </c>
      <c r="B1613" s="78">
        <f>IF('1mC'!B13&lt;&gt;"",'1mC'!B13,"")</f>
        <v/>
      </c>
      <c r="C1613" s="78">
        <f>IF('1mC'!B13&lt;&gt;"",'1mC'!C13,"")</f>
        <v/>
      </c>
      <c r="D1613" s="78">
        <f>IF('1mC'!B13&lt;&gt;"",'1mC'!D13,"")</f>
        <v/>
      </c>
      <c r="E1613" s="78">
        <f>IF('1mC'!B13&lt;&gt;"",'1mC'!E13,"")</f>
        <v/>
      </c>
      <c r="F1613" s="78">
        <f>IF('1mC'!B13&lt;&gt;"",'1mC'!F13,"")</f>
        <v/>
      </c>
      <c r="G1613" s="78">
        <f>IF('1mC'!B13&lt;&gt;"",'1mC'!G13,"")</f>
        <v/>
      </c>
      <c r="H1613" s="97">
        <f>IF('1mC'!B13&lt;&gt;"",'1mC'!H13,"")</f>
        <v/>
      </c>
      <c r="I1613" s="97">
        <f>IF('1mC'!B13&lt;&gt;"",'1mC'!I13,"")</f>
        <v/>
      </c>
      <c r="J1613" s="78">
        <f>IF('1mC'!B13&lt;&gt;"",'1mC'!J13,"")</f>
        <v/>
      </c>
    </row>
    <row r="1614" ht="15.75" customHeight="1" s="52">
      <c r="A1614" s="92">
        <f>IF('1mC'!B14&lt;&gt;"","1mC","")</f>
        <v/>
      </c>
      <c r="B1614" s="82">
        <f>IF('1mC'!B14&lt;&gt;"",'1mC'!B14,"")</f>
        <v/>
      </c>
      <c r="C1614" s="82">
        <f>IF('1mC'!B14&lt;&gt;"",'1mC'!C14,"")</f>
        <v/>
      </c>
      <c r="D1614" s="82">
        <f>IF('1mC'!B14&lt;&gt;"",'1mC'!D14,"")</f>
        <v/>
      </c>
      <c r="E1614" s="82">
        <f>IF('1mC'!B14&lt;&gt;"",'1mC'!E14,"")</f>
        <v/>
      </c>
      <c r="F1614" s="82">
        <f>IF('1mC'!B14&lt;&gt;"",'1mC'!F14,"")</f>
        <v/>
      </c>
      <c r="G1614" s="82">
        <f>IF('1mC'!B14&lt;&gt;"",'1mC'!G14,"")</f>
        <v/>
      </c>
      <c r="H1614" s="92">
        <f>IF('1mC'!B14&lt;&gt;"",'1mC'!H14,"")</f>
        <v/>
      </c>
      <c r="I1614" s="92">
        <f>IF('1mC'!B14&lt;&gt;"",'1mC'!I14,"")</f>
        <v/>
      </c>
      <c r="J1614" s="82">
        <f>IF('1mC'!B14&lt;&gt;"",'1mC'!J14,"")</f>
        <v/>
      </c>
    </row>
    <row r="1615" ht="15.75" customHeight="1" s="52">
      <c r="A1615" s="97">
        <f>IF('1mC'!B15&lt;&gt;"","1mC","")</f>
        <v/>
      </c>
      <c r="B1615" s="78">
        <f>IF('1mC'!B15&lt;&gt;"",'1mC'!B15,"")</f>
        <v/>
      </c>
      <c r="C1615" s="78">
        <f>IF('1mC'!B15&lt;&gt;"",'1mC'!C15,"")</f>
        <v/>
      </c>
      <c r="D1615" s="78">
        <f>IF('1mC'!B15&lt;&gt;"",'1mC'!D15,"")</f>
        <v/>
      </c>
      <c r="E1615" s="78">
        <f>IF('1mC'!B15&lt;&gt;"",'1mC'!E15,"")</f>
        <v/>
      </c>
      <c r="F1615" s="78">
        <f>IF('1mC'!B15&lt;&gt;"",'1mC'!F15,"")</f>
        <v/>
      </c>
      <c r="G1615" s="78">
        <f>IF('1mC'!B15&lt;&gt;"",'1mC'!G15,"")</f>
        <v/>
      </c>
      <c r="H1615" s="97">
        <f>IF('1mC'!B15&lt;&gt;"",'1mC'!H15,"")</f>
        <v/>
      </c>
      <c r="I1615" s="97">
        <f>IF('1mC'!B15&lt;&gt;"",'1mC'!I15,"")</f>
        <v/>
      </c>
      <c r="J1615" s="78">
        <f>IF('1mC'!B15&lt;&gt;"",'1mC'!J15,"")</f>
        <v/>
      </c>
    </row>
    <row r="1616" ht="15.75" customHeight="1" s="52">
      <c r="A1616" s="92">
        <f>IF('1mC'!B16&lt;&gt;"","1mC","")</f>
        <v/>
      </c>
      <c r="B1616" s="82">
        <f>IF('1mC'!B16&lt;&gt;"",'1mC'!B16,"")</f>
        <v/>
      </c>
      <c r="C1616" s="82">
        <f>IF('1mC'!B16&lt;&gt;"",'1mC'!C16,"")</f>
        <v/>
      </c>
      <c r="D1616" s="82">
        <f>IF('1mC'!B16&lt;&gt;"",'1mC'!D16,"")</f>
        <v/>
      </c>
      <c r="E1616" s="82">
        <f>IF('1mC'!B16&lt;&gt;"",'1mC'!E16,"")</f>
        <v/>
      </c>
      <c r="F1616" s="82">
        <f>IF('1mC'!B16&lt;&gt;"",'1mC'!F16,"")</f>
        <v/>
      </c>
      <c r="G1616" s="82">
        <f>IF('1mC'!B16&lt;&gt;"",'1mC'!G16,"")</f>
        <v/>
      </c>
      <c r="H1616" s="92">
        <f>IF('1mC'!B16&lt;&gt;"",'1mC'!H16,"")</f>
        <v/>
      </c>
      <c r="I1616" s="92">
        <f>IF('1mC'!B16&lt;&gt;"",'1mC'!I16,"")</f>
        <v/>
      </c>
      <c r="J1616" s="82">
        <f>IF('1mC'!B16&lt;&gt;"",'1mC'!J16,"")</f>
        <v/>
      </c>
    </row>
    <row r="1617" ht="15.75" customHeight="1" s="52">
      <c r="A1617" s="97">
        <f>IF('1mC'!B17&lt;&gt;"","1mC","")</f>
        <v/>
      </c>
      <c r="B1617" s="78">
        <f>IF('1mC'!B17&lt;&gt;"",'1mC'!B17,"")</f>
        <v/>
      </c>
      <c r="C1617" s="78">
        <f>IF('1mC'!B17&lt;&gt;"",'1mC'!C17,"")</f>
        <v/>
      </c>
      <c r="D1617" s="78">
        <f>IF('1mC'!B17&lt;&gt;"",'1mC'!D17,"")</f>
        <v/>
      </c>
      <c r="E1617" s="78">
        <f>IF('1mC'!B17&lt;&gt;"",'1mC'!E17,"")</f>
        <v/>
      </c>
      <c r="F1617" s="78">
        <f>IF('1mC'!B17&lt;&gt;"",'1mC'!F17,"")</f>
        <v/>
      </c>
      <c r="G1617" s="78">
        <f>IF('1mC'!B17&lt;&gt;"",'1mC'!G17,"")</f>
        <v/>
      </c>
      <c r="H1617" s="97">
        <f>IF('1mC'!B17&lt;&gt;"",'1mC'!H17,"")</f>
        <v/>
      </c>
      <c r="I1617" s="97">
        <f>IF('1mC'!B17&lt;&gt;"",'1mC'!I17,"")</f>
        <v/>
      </c>
      <c r="J1617" s="78">
        <f>IF('1mC'!B17&lt;&gt;"",'1mC'!J17,"")</f>
        <v/>
      </c>
    </row>
    <row r="1618" ht="15.75" customHeight="1" s="52">
      <c r="A1618" s="92">
        <f>IF('1mC'!B18&lt;&gt;"","1mC","")</f>
        <v/>
      </c>
      <c r="B1618" s="82">
        <f>IF('1mC'!B18&lt;&gt;"",'1mC'!B18,"")</f>
        <v/>
      </c>
      <c r="C1618" s="82">
        <f>IF('1mC'!B18&lt;&gt;"",'1mC'!C18,"")</f>
        <v/>
      </c>
      <c r="D1618" s="82">
        <f>IF('1mC'!B18&lt;&gt;"",'1mC'!D18,"")</f>
        <v/>
      </c>
      <c r="E1618" s="82">
        <f>IF('1mC'!B18&lt;&gt;"",'1mC'!E18,"")</f>
        <v/>
      </c>
      <c r="F1618" s="82">
        <f>IF('1mC'!B18&lt;&gt;"",'1mC'!F18,"")</f>
        <v/>
      </c>
      <c r="G1618" s="82">
        <f>IF('1mC'!B18&lt;&gt;"",'1mC'!G18,"")</f>
        <v/>
      </c>
      <c r="H1618" s="92">
        <f>IF('1mC'!B18&lt;&gt;"",'1mC'!H18,"")</f>
        <v/>
      </c>
      <c r="I1618" s="92">
        <f>IF('1mC'!B18&lt;&gt;"",'1mC'!I18,"")</f>
        <v/>
      </c>
      <c r="J1618" s="82">
        <f>IF('1mC'!B18&lt;&gt;"",'1mC'!J18,"")</f>
        <v/>
      </c>
    </row>
    <row r="1619" ht="15.75" customHeight="1" s="52">
      <c r="A1619" s="97">
        <f>IF('1mC'!B19&lt;&gt;"","1mC","")</f>
        <v/>
      </c>
      <c r="B1619" s="78">
        <f>IF('1mC'!B19&lt;&gt;"",'1mC'!B19,"")</f>
        <v/>
      </c>
      <c r="C1619" s="78">
        <f>IF('1mC'!B19&lt;&gt;"",'1mC'!C19,"")</f>
        <v/>
      </c>
      <c r="D1619" s="78">
        <f>IF('1mC'!B19&lt;&gt;"",'1mC'!D19,"")</f>
        <v/>
      </c>
      <c r="E1619" s="78">
        <f>IF('1mC'!B19&lt;&gt;"",'1mC'!E19,"")</f>
        <v/>
      </c>
      <c r="F1619" s="78">
        <f>IF('1mC'!B19&lt;&gt;"",'1mC'!F19,"")</f>
        <v/>
      </c>
      <c r="G1619" s="78">
        <f>IF('1mC'!B19&lt;&gt;"",'1mC'!G19,"")</f>
        <v/>
      </c>
      <c r="H1619" s="97">
        <f>IF('1mC'!B19&lt;&gt;"",'1mC'!H19,"")</f>
        <v/>
      </c>
      <c r="I1619" s="97">
        <f>IF('1mC'!B19&lt;&gt;"",'1mC'!I19,"")</f>
        <v/>
      </c>
      <c r="J1619" s="78">
        <f>IF('1mC'!B19&lt;&gt;"",'1mC'!J19,"")</f>
        <v/>
      </c>
    </row>
    <row r="1620" ht="15.75" customHeight="1" s="52">
      <c r="A1620" s="92">
        <f>IF('1mC'!B20&lt;&gt;"","1mC","")</f>
        <v/>
      </c>
      <c r="B1620" s="82">
        <f>IF('1mC'!B20&lt;&gt;"",'1mC'!B20,"")</f>
        <v/>
      </c>
      <c r="C1620" s="82">
        <f>IF('1mC'!B20&lt;&gt;"",'1mC'!C20,"")</f>
        <v/>
      </c>
      <c r="D1620" s="82">
        <f>IF('1mC'!B20&lt;&gt;"",'1mC'!D20,"")</f>
        <v/>
      </c>
      <c r="E1620" s="82">
        <f>IF('1mC'!B20&lt;&gt;"",'1mC'!E20,"")</f>
        <v/>
      </c>
      <c r="F1620" s="82">
        <f>IF('1mC'!B20&lt;&gt;"",'1mC'!F20,"")</f>
        <v/>
      </c>
      <c r="G1620" s="82">
        <f>IF('1mC'!B20&lt;&gt;"",'1mC'!G20,"")</f>
        <v/>
      </c>
      <c r="H1620" s="92">
        <f>IF('1mC'!B20&lt;&gt;"",'1mC'!H20,"")</f>
        <v/>
      </c>
      <c r="I1620" s="92">
        <f>IF('1mC'!B20&lt;&gt;"",'1mC'!I20,"")</f>
        <v/>
      </c>
      <c r="J1620" s="82">
        <f>IF('1mC'!B20&lt;&gt;"",'1mC'!J20,"")</f>
        <v/>
      </c>
    </row>
    <row r="1621" ht="15.75" customHeight="1" s="52">
      <c r="A1621" s="97">
        <f>IF('1mC'!B21&lt;&gt;"","1mC","")</f>
        <v/>
      </c>
      <c r="B1621" s="78">
        <f>IF('1mC'!B21&lt;&gt;"",'1mC'!B21,"")</f>
        <v/>
      </c>
      <c r="C1621" s="78">
        <f>IF('1mC'!B21&lt;&gt;"",'1mC'!C21,"")</f>
        <v/>
      </c>
      <c r="D1621" s="78">
        <f>IF('1mC'!B21&lt;&gt;"",'1mC'!D21,"")</f>
        <v/>
      </c>
      <c r="E1621" s="78">
        <f>IF('1mC'!B21&lt;&gt;"",'1mC'!E21,"")</f>
        <v/>
      </c>
      <c r="F1621" s="78">
        <f>IF('1mC'!B21&lt;&gt;"",'1mC'!F21,"")</f>
        <v/>
      </c>
      <c r="G1621" s="78">
        <f>IF('1mC'!B21&lt;&gt;"",'1mC'!G21,"")</f>
        <v/>
      </c>
      <c r="H1621" s="97">
        <f>IF('1mC'!B21&lt;&gt;"",'1mC'!H21,"")</f>
        <v/>
      </c>
      <c r="I1621" s="97">
        <f>IF('1mC'!B21&lt;&gt;"",'1mC'!I21,"")</f>
        <v/>
      </c>
      <c r="J1621" s="78">
        <f>IF('1mC'!B21&lt;&gt;"",'1mC'!J21,"")</f>
        <v/>
      </c>
    </row>
    <row r="1622" ht="15.75" customHeight="1" s="52">
      <c r="A1622" s="92">
        <f>IF('1mC'!B22&lt;&gt;"","1mC","")</f>
        <v/>
      </c>
      <c r="B1622" s="82">
        <f>IF('1mC'!B22&lt;&gt;"",'1mC'!B22,"")</f>
        <v/>
      </c>
      <c r="C1622" s="82">
        <f>IF('1mC'!B22&lt;&gt;"",'1mC'!C22,"")</f>
        <v/>
      </c>
      <c r="D1622" s="82">
        <f>IF('1mC'!B22&lt;&gt;"",'1mC'!D22,"")</f>
        <v/>
      </c>
      <c r="E1622" s="82">
        <f>IF('1mC'!B22&lt;&gt;"",'1mC'!E22,"")</f>
        <v/>
      </c>
      <c r="F1622" s="82">
        <f>IF('1mC'!B22&lt;&gt;"",'1mC'!F22,"")</f>
        <v/>
      </c>
      <c r="G1622" s="82">
        <f>IF('1mC'!B22&lt;&gt;"",'1mC'!G22,"")</f>
        <v/>
      </c>
      <c r="H1622" s="92">
        <f>IF('1mC'!B22&lt;&gt;"",'1mC'!H22,"")</f>
        <v/>
      </c>
      <c r="I1622" s="92">
        <f>IF('1mC'!B22&lt;&gt;"",'1mC'!I22,"")</f>
        <v/>
      </c>
      <c r="J1622" s="82">
        <f>IF('1mC'!B22&lt;&gt;"",'1mC'!J22,"")</f>
        <v/>
      </c>
    </row>
    <row r="1623" ht="15.75" customHeight="1" s="52">
      <c r="A1623" s="97">
        <f>IF('1mC'!B23&lt;&gt;"","1mC","")</f>
        <v/>
      </c>
      <c r="B1623" s="78">
        <f>IF('1mC'!B23&lt;&gt;"",'1mC'!B23,"")</f>
        <v/>
      </c>
      <c r="C1623" s="78">
        <f>IF('1mC'!B23&lt;&gt;"",'1mC'!C23,"")</f>
        <v/>
      </c>
      <c r="D1623" s="78">
        <f>IF('1mC'!B23&lt;&gt;"",'1mC'!D23,"")</f>
        <v/>
      </c>
      <c r="E1623" s="78">
        <f>IF('1mC'!B23&lt;&gt;"",'1mC'!E23,"")</f>
        <v/>
      </c>
      <c r="F1623" s="78">
        <f>IF('1mC'!B23&lt;&gt;"",'1mC'!F23,"")</f>
        <v/>
      </c>
      <c r="G1623" s="78">
        <f>IF('1mC'!B23&lt;&gt;"",'1mC'!G23,"")</f>
        <v/>
      </c>
      <c r="H1623" s="97">
        <f>IF('1mC'!B23&lt;&gt;"",'1mC'!H23,"")</f>
        <v/>
      </c>
      <c r="I1623" s="97">
        <f>IF('1mC'!B23&lt;&gt;"",'1mC'!I23,"")</f>
        <v/>
      </c>
      <c r="J1623" s="78">
        <f>IF('1mC'!B23&lt;&gt;"",'1mC'!J23,"")</f>
        <v/>
      </c>
    </row>
    <row r="1624" ht="15.75" customHeight="1" s="52">
      <c r="A1624" s="92">
        <f>IF('1mC'!B24&lt;&gt;"","1mC","")</f>
        <v/>
      </c>
      <c r="B1624" s="82">
        <f>IF('1mC'!B24&lt;&gt;"",'1mC'!B24,"")</f>
        <v/>
      </c>
      <c r="C1624" s="82">
        <f>IF('1mC'!B24&lt;&gt;"",'1mC'!C24,"")</f>
        <v/>
      </c>
      <c r="D1624" s="82">
        <f>IF('1mC'!B24&lt;&gt;"",'1mC'!D24,"")</f>
        <v/>
      </c>
      <c r="E1624" s="82">
        <f>IF('1mC'!B24&lt;&gt;"",'1mC'!E24,"")</f>
        <v/>
      </c>
      <c r="F1624" s="82">
        <f>IF('1mC'!B24&lt;&gt;"",'1mC'!F24,"")</f>
        <v/>
      </c>
      <c r="G1624" s="82">
        <f>IF('1mC'!B24&lt;&gt;"",'1mC'!G24,"")</f>
        <v/>
      </c>
      <c r="H1624" s="92">
        <f>IF('1mC'!B24&lt;&gt;"",'1mC'!H24,"")</f>
        <v/>
      </c>
      <c r="I1624" s="92">
        <f>IF('1mC'!B24&lt;&gt;"",'1mC'!I24,"")</f>
        <v/>
      </c>
      <c r="J1624" s="82">
        <f>IF('1mC'!B24&lt;&gt;"",'1mC'!J24,"")</f>
        <v/>
      </c>
    </row>
    <row r="1625" ht="15.75" customHeight="1" s="52">
      <c r="A1625" s="97">
        <f>IF('1mC'!B25&lt;&gt;"","1mC","")</f>
        <v/>
      </c>
      <c r="B1625" s="78">
        <f>IF('1mC'!B25&lt;&gt;"",'1mC'!B25,"")</f>
        <v/>
      </c>
      <c r="C1625" s="78">
        <f>IF('1mC'!B25&lt;&gt;"",'1mC'!C25,"")</f>
        <v/>
      </c>
      <c r="D1625" s="78">
        <f>IF('1mC'!B25&lt;&gt;"",'1mC'!D25,"")</f>
        <v/>
      </c>
      <c r="E1625" s="78">
        <f>IF('1mC'!B25&lt;&gt;"",'1mC'!E25,"")</f>
        <v/>
      </c>
      <c r="F1625" s="78">
        <f>IF('1mC'!B25&lt;&gt;"",'1mC'!F25,"")</f>
        <v/>
      </c>
      <c r="G1625" s="78">
        <f>IF('1mC'!B25&lt;&gt;"",'1mC'!G25,"")</f>
        <v/>
      </c>
      <c r="H1625" s="97">
        <f>IF('1mC'!B25&lt;&gt;"",'1mC'!H25,"")</f>
        <v/>
      </c>
      <c r="I1625" s="97">
        <f>IF('1mC'!B25&lt;&gt;"",'1mC'!I25,"")</f>
        <v/>
      </c>
      <c r="J1625" s="78">
        <f>IF('1mC'!B25&lt;&gt;"",'1mC'!J25,"")</f>
        <v/>
      </c>
    </row>
    <row r="1626" ht="15.75" customHeight="1" s="52">
      <c r="A1626" s="92">
        <f>IF('1mC'!B26&lt;&gt;"","1mC","")</f>
        <v/>
      </c>
      <c r="B1626" s="82">
        <f>IF('1mC'!B26&lt;&gt;"",'1mC'!B26,"")</f>
        <v/>
      </c>
      <c r="C1626" s="82">
        <f>IF('1mC'!B26&lt;&gt;"",'1mC'!C26,"")</f>
        <v/>
      </c>
      <c r="D1626" s="82">
        <f>IF('1mC'!B26&lt;&gt;"",'1mC'!D26,"")</f>
        <v/>
      </c>
      <c r="E1626" s="82">
        <f>IF('1mC'!B26&lt;&gt;"",'1mC'!E26,"")</f>
        <v/>
      </c>
      <c r="F1626" s="82">
        <f>IF('1mC'!B26&lt;&gt;"",'1mC'!F26,"")</f>
        <v/>
      </c>
      <c r="G1626" s="82">
        <f>IF('1mC'!B26&lt;&gt;"",'1mC'!G26,"")</f>
        <v/>
      </c>
      <c r="H1626" s="92">
        <f>IF('1mC'!B26&lt;&gt;"",'1mC'!H26,"")</f>
        <v/>
      </c>
      <c r="I1626" s="92">
        <f>IF('1mC'!B26&lt;&gt;"",'1mC'!I26,"")</f>
        <v/>
      </c>
      <c r="J1626" s="82">
        <f>IF('1mC'!B26&lt;&gt;"",'1mC'!J26,"")</f>
        <v/>
      </c>
    </row>
    <row r="1627" ht="15.75" customHeight="1" s="52">
      <c r="A1627" s="97">
        <f>IF('1mC'!B27&lt;&gt;"","1mC","")</f>
        <v/>
      </c>
      <c r="B1627" s="78">
        <f>IF('1mC'!B27&lt;&gt;"",'1mC'!B27,"")</f>
        <v/>
      </c>
      <c r="C1627" s="78">
        <f>IF('1mC'!B27&lt;&gt;"",'1mC'!C27,"")</f>
        <v/>
      </c>
      <c r="D1627" s="78">
        <f>IF('1mC'!B27&lt;&gt;"",'1mC'!D27,"")</f>
        <v/>
      </c>
      <c r="E1627" s="78">
        <f>IF('1mC'!B27&lt;&gt;"",'1mC'!E27,"")</f>
        <v/>
      </c>
      <c r="F1627" s="78">
        <f>IF('1mC'!B27&lt;&gt;"",'1mC'!F27,"")</f>
        <v/>
      </c>
      <c r="G1627" s="78">
        <f>IF('1mC'!B27&lt;&gt;"",'1mC'!G27,"")</f>
        <v/>
      </c>
      <c r="H1627" s="97">
        <f>IF('1mC'!B27&lt;&gt;"",'1mC'!H27,"")</f>
        <v/>
      </c>
      <c r="I1627" s="97">
        <f>IF('1mC'!B27&lt;&gt;"",'1mC'!I27,"")</f>
        <v/>
      </c>
      <c r="J1627" s="78">
        <f>IF('1mC'!B27&lt;&gt;"",'1mC'!J27,"")</f>
        <v/>
      </c>
    </row>
    <row r="1628" ht="15.75" customHeight="1" s="52">
      <c r="A1628" s="92">
        <f>IF('1mC'!B28&lt;&gt;"","1mC","")</f>
        <v/>
      </c>
      <c r="B1628" s="82">
        <f>IF('1mC'!B28&lt;&gt;"",'1mC'!B28,"")</f>
        <v/>
      </c>
      <c r="C1628" s="82">
        <f>IF('1mC'!B28&lt;&gt;"",'1mC'!C28,"")</f>
        <v/>
      </c>
      <c r="D1628" s="82">
        <f>IF('1mC'!B28&lt;&gt;"",'1mC'!D28,"")</f>
        <v/>
      </c>
      <c r="E1628" s="82">
        <f>IF('1mC'!B28&lt;&gt;"",'1mC'!E28,"")</f>
        <v/>
      </c>
      <c r="F1628" s="82">
        <f>IF('1mC'!B28&lt;&gt;"",'1mC'!F28,"")</f>
        <v/>
      </c>
      <c r="G1628" s="82">
        <f>IF('1mC'!B28&lt;&gt;"",'1mC'!G28,"")</f>
        <v/>
      </c>
      <c r="H1628" s="92">
        <f>IF('1mC'!B28&lt;&gt;"",'1mC'!H28,"")</f>
        <v/>
      </c>
      <c r="I1628" s="92">
        <f>IF('1mC'!B28&lt;&gt;"",'1mC'!I28,"")</f>
        <v/>
      </c>
      <c r="J1628" s="82">
        <f>IF('1mC'!B28&lt;&gt;"",'1mC'!J28,"")</f>
        <v/>
      </c>
    </row>
    <row r="1629" ht="15.75" customHeight="1" s="52">
      <c r="A1629" s="97">
        <f>IF('1mC'!B29&lt;&gt;"","1mC","")</f>
        <v/>
      </c>
      <c r="B1629" s="78">
        <f>IF('1mC'!B29&lt;&gt;"",'1mC'!B29,"")</f>
        <v/>
      </c>
      <c r="C1629" s="78">
        <f>IF('1mC'!B29&lt;&gt;"",'1mC'!C29,"")</f>
        <v/>
      </c>
      <c r="D1629" s="78">
        <f>IF('1mC'!B29&lt;&gt;"",'1mC'!D29,"")</f>
        <v/>
      </c>
      <c r="E1629" s="78">
        <f>IF('1mC'!B29&lt;&gt;"",'1mC'!E29,"")</f>
        <v/>
      </c>
      <c r="F1629" s="78">
        <f>IF('1mC'!B29&lt;&gt;"",'1mC'!F29,"")</f>
        <v/>
      </c>
      <c r="G1629" s="78">
        <f>IF('1mC'!B29&lt;&gt;"",'1mC'!G29,"")</f>
        <v/>
      </c>
      <c r="H1629" s="97">
        <f>IF('1mC'!B29&lt;&gt;"",'1mC'!H29,"")</f>
        <v/>
      </c>
      <c r="I1629" s="97">
        <f>IF('1mC'!B29&lt;&gt;"",'1mC'!I29,"")</f>
        <v/>
      </c>
      <c r="J1629" s="78">
        <f>IF('1mC'!B29&lt;&gt;"",'1mC'!J29,"")</f>
        <v/>
      </c>
    </row>
    <row r="1630" ht="15.75" customHeight="1" s="52">
      <c r="A1630" s="92">
        <f>IF('1mC'!B30&lt;&gt;"","1mC","")</f>
        <v/>
      </c>
      <c r="B1630" s="82">
        <f>IF('1mC'!B30&lt;&gt;"",'1mC'!B30,"")</f>
        <v/>
      </c>
      <c r="C1630" s="82">
        <f>IF('1mC'!B30&lt;&gt;"",'1mC'!C30,"")</f>
        <v/>
      </c>
      <c r="D1630" s="82">
        <f>IF('1mC'!B30&lt;&gt;"",'1mC'!D30,"")</f>
        <v/>
      </c>
      <c r="E1630" s="82">
        <f>IF('1mC'!B30&lt;&gt;"",'1mC'!E30,"")</f>
        <v/>
      </c>
      <c r="F1630" s="82">
        <f>IF('1mC'!B30&lt;&gt;"",'1mC'!F30,"")</f>
        <v/>
      </c>
      <c r="G1630" s="82">
        <f>IF('1mC'!B30&lt;&gt;"",'1mC'!G30,"")</f>
        <v/>
      </c>
      <c r="H1630" s="92">
        <f>IF('1mC'!B30&lt;&gt;"",'1mC'!H30,"")</f>
        <v/>
      </c>
      <c r="I1630" s="92">
        <f>IF('1mC'!B30&lt;&gt;"",'1mC'!I30,"")</f>
        <v/>
      </c>
      <c r="J1630" s="82">
        <f>IF('1mC'!B30&lt;&gt;"",'1mC'!J30,"")</f>
        <v/>
      </c>
    </row>
    <row r="1631" ht="15.75" customHeight="1" s="52">
      <c r="A1631" s="97">
        <f>IF('1mC'!B31&lt;&gt;"","1mC","")</f>
        <v/>
      </c>
      <c r="B1631" s="78">
        <f>IF('1mC'!B31&lt;&gt;"",'1mC'!B31,"")</f>
        <v/>
      </c>
      <c r="C1631" s="78">
        <f>IF('1mC'!B31&lt;&gt;"",'1mC'!C31,"")</f>
        <v/>
      </c>
      <c r="D1631" s="78">
        <f>IF('1mC'!B31&lt;&gt;"",'1mC'!D31,"")</f>
        <v/>
      </c>
      <c r="E1631" s="78">
        <f>IF('1mC'!B31&lt;&gt;"",'1mC'!E31,"")</f>
        <v/>
      </c>
      <c r="F1631" s="78">
        <f>IF('1mC'!B31&lt;&gt;"",'1mC'!F31,"")</f>
        <v/>
      </c>
      <c r="G1631" s="78">
        <f>IF('1mC'!B31&lt;&gt;"",'1mC'!G31,"")</f>
        <v/>
      </c>
      <c r="H1631" s="97">
        <f>IF('1mC'!B31&lt;&gt;"",'1mC'!H31,"")</f>
        <v/>
      </c>
      <c r="I1631" s="97">
        <f>IF('1mC'!B31&lt;&gt;"",'1mC'!I31,"")</f>
        <v/>
      </c>
      <c r="J1631" s="78">
        <f>IF('1mC'!B31&lt;&gt;"",'1mC'!J31,"")</f>
        <v/>
      </c>
    </row>
    <row r="1632" ht="15.75" customHeight="1" s="52">
      <c r="A1632" s="92">
        <f>IF('1mC'!B32&lt;&gt;"","1mC","")</f>
        <v/>
      </c>
      <c r="B1632" s="82">
        <f>IF('1mC'!B32&lt;&gt;"",'1mC'!B32,"")</f>
        <v/>
      </c>
      <c r="C1632" s="82">
        <f>IF('1mC'!B32&lt;&gt;"",'1mC'!C32,"")</f>
        <v/>
      </c>
      <c r="D1632" s="82">
        <f>IF('1mC'!B32&lt;&gt;"",'1mC'!D32,"")</f>
        <v/>
      </c>
      <c r="E1632" s="82">
        <f>IF('1mC'!B32&lt;&gt;"",'1mC'!E32,"")</f>
        <v/>
      </c>
      <c r="F1632" s="82">
        <f>IF('1mC'!B32&lt;&gt;"",'1mC'!F32,"")</f>
        <v/>
      </c>
      <c r="G1632" s="82">
        <f>IF('1mC'!B32&lt;&gt;"",'1mC'!G32,"")</f>
        <v/>
      </c>
      <c r="H1632" s="92">
        <f>IF('1mC'!B32&lt;&gt;"",'1mC'!H32,"")</f>
        <v/>
      </c>
      <c r="I1632" s="92">
        <f>IF('1mC'!B32&lt;&gt;"",'1mC'!I32,"")</f>
        <v/>
      </c>
      <c r="J1632" s="82">
        <f>IF('1mC'!B32&lt;&gt;"",'1mC'!J32,"")</f>
        <v/>
      </c>
    </row>
    <row r="1633" ht="15.75" customHeight="1" s="52">
      <c r="A1633" s="97">
        <f>IF('1mC'!B33&lt;&gt;"","1mC","")</f>
        <v/>
      </c>
      <c r="B1633" s="78">
        <f>IF('1mC'!B33&lt;&gt;"",'1mC'!B33,"")</f>
        <v/>
      </c>
      <c r="C1633" s="78">
        <f>IF('1mC'!B33&lt;&gt;"",'1mC'!C33,"")</f>
        <v/>
      </c>
      <c r="D1633" s="78">
        <f>IF('1mC'!B33&lt;&gt;"",'1mC'!D33,"")</f>
        <v/>
      </c>
      <c r="E1633" s="78">
        <f>IF('1mC'!B33&lt;&gt;"",'1mC'!E33,"")</f>
        <v/>
      </c>
      <c r="F1633" s="78">
        <f>IF('1mC'!B33&lt;&gt;"",'1mC'!F33,"")</f>
        <v/>
      </c>
      <c r="G1633" s="78">
        <f>IF('1mC'!B33&lt;&gt;"",'1mC'!G33,"")</f>
        <v/>
      </c>
      <c r="H1633" s="97">
        <f>IF('1mC'!B33&lt;&gt;"",'1mC'!H33,"")</f>
        <v/>
      </c>
      <c r="I1633" s="97">
        <f>IF('1mC'!B33&lt;&gt;"",'1mC'!I33,"")</f>
        <v/>
      </c>
      <c r="J1633" s="78">
        <f>IF('1mC'!B33&lt;&gt;"",'1mC'!J33,"")</f>
        <v/>
      </c>
    </row>
    <row r="1634" ht="15.75" customHeight="1" s="52">
      <c r="A1634" s="92">
        <f>IF('1mC'!B34&lt;&gt;"","1mC","")</f>
        <v/>
      </c>
      <c r="B1634" s="82">
        <f>IF('1mC'!B34&lt;&gt;"",'1mC'!B34,"")</f>
        <v/>
      </c>
      <c r="C1634" s="82">
        <f>IF('1mC'!B34&lt;&gt;"",'1mC'!C34,"")</f>
        <v/>
      </c>
      <c r="D1634" s="82">
        <f>IF('1mC'!B34&lt;&gt;"",'1mC'!D34,"")</f>
        <v/>
      </c>
      <c r="E1634" s="82">
        <f>IF('1mC'!B34&lt;&gt;"",'1mC'!E34,"")</f>
        <v/>
      </c>
      <c r="F1634" s="82">
        <f>IF('1mC'!B34&lt;&gt;"",'1mC'!F34,"")</f>
        <v/>
      </c>
      <c r="G1634" s="82">
        <f>IF('1mC'!B34&lt;&gt;"",'1mC'!G34,"")</f>
        <v/>
      </c>
      <c r="H1634" s="92">
        <f>IF('1mC'!B34&lt;&gt;"",'1mC'!H34,"")</f>
        <v/>
      </c>
      <c r="I1634" s="92">
        <f>IF('1mC'!B34&lt;&gt;"",'1mC'!I34,"")</f>
        <v/>
      </c>
      <c r="J1634" s="82">
        <f>IF('1mC'!B34&lt;&gt;"",'1mC'!J34,"")</f>
        <v/>
      </c>
    </row>
    <row r="1635" ht="15.75" customHeight="1" s="52">
      <c r="A1635" s="97">
        <f>IF('1mC'!B35&lt;&gt;"","1mC","")</f>
        <v/>
      </c>
      <c r="B1635" s="78">
        <f>IF('1mC'!B35&lt;&gt;"",'1mC'!B35,"")</f>
        <v/>
      </c>
      <c r="C1635" s="78">
        <f>IF('1mC'!B35&lt;&gt;"",'1mC'!C35,"")</f>
        <v/>
      </c>
      <c r="D1635" s="78">
        <f>IF('1mC'!B35&lt;&gt;"",'1mC'!D35,"")</f>
        <v/>
      </c>
      <c r="E1635" s="78">
        <f>IF('1mC'!B35&lt;&gt;"",'1mC'!E35,"")</f>
        <v/>
      </c>
      <c r="F1635" s="78">
        <f>IF('1mC'!B35&lt;&gt;"",'1mC'!F35,"")</f>
        <v/>
      </c>
      <c r="G1635" s="78">
        <f>IF('1mC'!B35&lt;&gt;"",'1mC'!G35,"")</f>
        <v/>
      </c>
      <c r="H1635" s="97">
        <f>IF('1mC'!B35&lt;&gt;"",'1mC'!H35,"")</f>
        <v/>
      </c>
      <c r="I1635" s="97">
        <f>IF('1mC'!B35&lt;&gt;"",'1mC'!I35,"")</f>
        <v/>
      </c>
      <c r="J1635" s="78">
        <f>IF('1mC'!B35&lt;&gt;"",'1mC'!J35,"")</f>
        <v/>
      </c>
    </row>
    <row r="1636" ht="15.75" customHeight="1" s="52">
      <c r="A1636" s="92">
        <f>IF('1mC'!B36&lt;&gt;"","1mC","")</f>
        <v/>
      </c>
      <c r="B1636" s="82">
        <f>IF('1mC'!B36&lt;&gt;"",'1mC'!B36,"")</f>
        <v/>
      </c>
      <c r="C1636" s="82">
        <f>IF('1mC'!B36&lt;&gt;"",'1mC'!C36,"")</f>
        <v/>
      </c>
      <c r="D1636" s="82">
        <f>IF('1mC'!B36&lt;&gt;"",'1mC'!D36,"")</f>
        <v/>
      </c>
      <c r="E1636" s="82">
        <f>IF('1mC'!B36&lt;&gt;"",'1mC'!E36,"")</f>
        <v/>
      </c>
      <c r="F1636" s="82">
        <f>IF('1mC'!B36&lt;&gt;"",'1mC'!F36,"")</f>
        <v/>
      </c>
      <c r="G1636" s="82">
        <f>IF('1mC'!B36&lt;&gt;"",'1mC'!G36,"")</f>
        <v/>
      </c>
      <c r="H1636" s="92">
        <f>IF('1mC'!B36&lt;&gt;"",'1mC'!H36,"")</f>
        <v/>
      </c>
      <c r="I1636" s="92">
        <f>IF('1mC'!B36&lt;&gt;"",'1mC'!I36,"")</f>
        <v/>
      </c>
      <c r="J1636" s="82">
        <f>IF('1mC'!B36&lt;&gt;"",'1mC'!J36,"")</f>
        <v/>
      </c>
    </row>
    <row r="1637" ht="15.75" customHeight="1" s="52">
      <c r="A1637" s="97">
        <f>IF('1mC'!B37&lt;&gt;"","1mC","")</f>
        <v/>
      </c>
      <c r="B1637" s="78">
        <f>IF('1mC'!B37&lt;&gt;"",'1mC'!B37,"")</f>
        <v/>
      </c>
      <c r="C1637" s="78">
        <f>IF('1mC'!B37&lt;&gt;"",'1mC'!C37,"")</f>
        <v/>
      </c>
      <c r="D1637" s="78">
        <f>IF('1mC'!B37&lt;&gt;"",'1mC'!D37,"")</f>
        <v/>
      </c>
      <c r="E1637" s="78">
        <f>IF('1mC'!B37&lt;&gt;"",'1mC'!E37,"")</f>
        <v/>
      </c>
      <c r="F1637" s="78">
        <f>IF('1mC'!B37&lt;&gt;"",'1mC'!F37,"")</f>
        <v/>
      </c>
      <c r="G1637" s="78">
        <f>IF('1mC'!B37&lt;&gt;"",'1mC'!G37,"")</f>
        <v/>
      </c>
      <c r="H1637" s="97">
        <f>IF('1mC'!B37&lt;&gt;"",'1mC'!H37,"")</f>
        <v/>
      </c>
      <c r="I1637" s="97">
        <f>IF('1mC'!B37&lt;&gt;"",'1mC'!I37,"")</f>
        <v/>
      </c>
      <c r="J1637" s="78">
        <f>IF('1mC'!B37&lt;&gt;"",'1mC'!J37,"")</f>
        <v/>
      </c>
    </row>
    <row r="1638" ht="15.75" customHeight="1" s="52">
      <c r="A1638" s="92">
        <f>IF('1mC'!B38&lt;&gt;"","1mC","")</f>
        <v/>
      </c>
      <c r="B1638" s="82">
        <f>IF('1mC'!B38&lt;&gt;"",'1mC'!B38,"")</f>
        <v/>
      </c>
      <c r="C1638" s="82">
        <f>IF('1mC'!B38&lt;&gt;"",'1mC'!C38,"")</f>
        <v/>
      </c>
      <c r="D1638" s="82">
        <f>IF('1mC'!B38&lt;&gt;"",'1mC'!D38,"")</f>
        <v/>
      </c>
      <c r="E1638" s="82">
        <f>IF('1mC'!B38&lt;&gt;"",'1mC'!E38,"")</f>
        <v/>
      </c>
      <c r="F1638" s="82">
        <f>IF('1mC'!B38&lt;&gt;"",'1mC'!F38,"")</f>
        <v/>
      </c>
      <c r="G1638" s="82">
        <f>IF('1mC'!B38&lt;&gt;"",'1mC'!G38,"")</f>
        <v/>
      </c>
      <c r="H1638" s="92">
        <f>IF('1mC'!B38&lt;&gt;"",'1mC'!H38,"")</f>
        <v/>
      </c>
      <c r="I1638" s="92">
        <f>IF('1mC'!B38&lt;&gt;"",'1mC'!I38,"")</f>
        <v/>
      </c>
      <c r="J1638" s="82">
        <f>IF('1mC'!B38&lt;&gt;"",'1mC'!J38,"")</f>
        <v/>
      </c>
    </row>
    <row r="1639" ht="15.75" customHeight="1" s="52">
      <c r="A1639" s="97">
        <f>IF('1mC'!B39&lt;&gt;"","1mC","")</f>
        <v/>
      </c>
      <c r="B1639" s="78">
        <f>IF('1mC'!B39&lt;&gt;"",'1mC'!B39,"")</f>
        <v/>
      </c>
      <c r="C1639" s="78">
        <f>IF('1mC'!B39&lt;&gt;"",'1mC'!C39,"")</f>
        <v/>
      </c>
      <c r="D1639" s="78">
        <f>IF('1mC'!B39&lt;&gt;"",'1mC'!D39,"")</f>
        <v/>
      </c>
      <c r="E1639" s="78">
        <f>IF('1mC'!B39&lt;&gt;"",'1mC'!E39,"")</f>
        <v/>
      </c>
      <c r="F1639" s="78">
        <f>IF('1mC'!B39&lt;&gt;"",'1mC'!F39,"")</f>
        <v/>
      </c>
      <c r="G1639" s="78">
        <f>IF('1mC'!B39&lt;&gt;"",'1mC'!G39,"")</f>
        <v/>
      </c>
      <c r="H1639" s="97">
        <f>IF('1mC'!B39&lt;&gt;"",'1mC'!H39,"")</f>
        <v/>
      </c>
      <c r="I1639" s="97">
        <f>IF('1mC'!B39&lt;&gt;"",'1mC'!I39,"")</f>
        <v/>
      </c>
      <c r="J1639" s="78">
        <f>IF('1mC'!B39&lt;&gt;"",'1mC'!J39,"")</f>
        <v/>
      </c>
    </row>
    <row r="1640" ht="15.75" customHeight="1" s="52">
      <c r="A1640" s="92">
        <f>IF('1mC'!B40&lt;&gt;"","1mC","")</f>
        <v/>
      </c>
      <c r="B1640" s="82">
        <f>IF('1mC'!B40&lt;&gt;"",'1mC'!B40,"")</f>
        <v/>
      </c>
      <c r="C1640" s="82">
        <f>IF('1mC'!B40&lt;&gt;"",'1mC'!C40,"")</f>
        <v/>
      </c>
      <c r="D1640" s="82">
        <f>IF('1mC'!B40&lt;&gt;"",'1mC'!D40,"")</f>
        <v/>
      </c>
      <c r="E1640" s="82">
        <f>IF('1mC'!B40&lt;&gt;"",'1mC'!E40,"")</f>
        <v/>
      </c>
      <c r="F1640" s="82">
        <f>IF('1mC'!B40&lt;&gt;"",'1mC'!F40,"")</f>
        <v/>
      </c>
      <c r="G1640" s="82">
        <f>IF('1mC'!B40&lt;&gt;"",'1mC'!G40,"")</f>
        <v/>
      </c>
      <c r="H1640" s="92">
        <f>IF('1mC'!B40&lt;&gt;"",'1mC'!H40,"")</f>
        <v/>
      </c>
      <c r="I1640" s="92">
        <f>IF('1mC'!B40&lt;&gt;"",'1mC'!I40,"")</f>
        <v/>
      </c>
      <c r="J1640" s="82">
        <f>IF('1mC'!B40&lt;&gt;"",'1mC'!J40,"")</f>
        <v/>
      </c>
    </row>
    <row r="1641" ht="15.75" customHeight="1" s="52">
      <c r="A1641" s="97">
        <f>IF('1mC'!B41&lt;&gt;"","1mC","")</f>
        <v/>
      </c>
      <c r="B1641" s="78">
        <f>IF('1mC'!B41&lt;&gt;"",'1mC'!B41,"")</f>
        <v/>
      </c>
      <c r="C1641" s="78">
        <f>IF('1mC'!B41&lt;&gt;"",'1mC'!C41,"")</f>
        <v/>
      </c>
      <c r="D1641" s="78">
        <f>IF('1mC'!B41&lt;&gt;"",'1mC'!D41,"")</f>
        <v/>
      </c>
      <c r="E1641" s="78">
        <f>IF('1mC'!B41&lt;&gt;"",'1mC'!E41,"")</f>
        <v/>
      </c>
      <c r="F1641" s="78">
        <f>IF('1mC'!B41&lt;&gt;"",'1mC'!F41,"")</f>
        <v/>
      </c>
      <c r="G1641" s="78">
        <f>IF('1mC'!B41&lt;&gt;"",'1mC'!G41,"")</f>
        <v/>
      </c>
      <c r="H1641" s="97">
        <f>IF('1mC'!B41&lt;&gt;"",'1mC'!H41,"")</f>
        <v/>
      </c>
      <c r="I1641" s="97">
        <f>IF('1mC'!B41&lt;&gt;"",'1mC'!I41,"")</f>
        <v/>
      </c>
      <c r="J1641" s="78">
        <f>IF('1mC'!B41&lt;&gt;"",'1mC'!J41,"")</f>
        <v/>
      </c>
    </row>
    <row r="1642" ht="15.75" customHeight="1" s="52">
      <c r="A1642" s="92">
        <f>IF('1mC'!B42&lt;&gt;"","1mC","")</f>
        <v/>
      </c>
      <c r="B1642" s="82">
        <f>IF('1mC'!B42&lt;&gt;"",'1mC'!B42,"")</f>
        <v/>
      </c>
      <c r="C1642" s="82">
        <f>IF('1mC'!B42&lt;&gt;"",'1mC'!C42,"")</f>
        <v/>
      </c>
      <c r="D1642" s="82">
        <f>IF('1mC'!B42&lt;&gt;"",'1mC'!D42,"")</f>
        <v/>
      </c>
      <c r="E1642" s="82">
        <f>IF('1mC'!B42&lt;&gt;"",'1mC'!E42,"")</f>
        <v/>
      </c>
      <c r="F1642" s="82">
        <f>IF('1mC'!B42&lt;&gt;"",'1mC'!F42,"")</f>
        <v/>
      </c>
      <c r="G1642" s="82">
        <f>IF('1mC'!B42&lt;&gt;"",'1mC'!G42,"")</f>
        <v/>
      </c>
      <c r="H1642" s="92">
        <f>IF('1mC'!B42&lt;&gt;"",'1mC'!H42,"")</f>
        <v/>
      </c>
      <c r="I1642" s="92">
        <f>IF('1mC'!B42&lt;&gt;"",'1mC'!I42,"")</f>
        <v/>
      </c>
      <c r="J1642" s="82">
        <f>IF('1mC'!B42&lt;&gt;"",'1mC'!J42,"")</f>
        <v/>
      </c>
    </row>
    <row r="1643" ht="15.75" customHeight="1" s="52">
      <c r="A1643" s="97">
        <f>IF('1mC'!B43&lt;&gt;"","1mC","")</f>
        <v/>
      </c>
      <c r="B1643" s="78">
        <f>IF('1mC'!B43&lt;&gt;"",'1mC'!B43,"")</f>
        <v/>
      </c>
      <c r="C1643" s="78">
        <f>IF('1mC'!B43&lt;&gt;"",'1mC'!C43,"")</f>
        <v/>
      </c>
      <c r="D1643" s="78">
        <f>IF('1mC'!B43&lt;&gt;"",'1mC'!D43,"")</f>
        <v/>
      </c>
      <c r="E1643" s="78">
        <f>IF('1mC'!B43&lt;&gt;"",'1mC'!E43,"")</f>
        <v/>
      </c>
      <c r="F1643" s="78">
        <f>IF('1mC'!B43&lt;&gt;"",'1mC'!F43,"")</f>
        <v/>
      </c>
      <c r="G1643" s="78">
        <f>IF('1mC'!B43&lt;&gt;"",'1mC'!G43,"")</f>
        <v/>
      </c>
      <c r="H1643" s="97">
        <f>IF('1mC'!B43&lt;&gt;"",'1mC'!H43,"")</f>
        <v/>
      </c>
      <c r="I1643" s="97">
        <f>IF('1mC'!B43&lt;&gt;"",'1mC'!I43,"")</f>
        <v/>
      </c>
      <c r="J1643" s="78">
        <f>IF('1mC'!B43&lt;&gt;"",'1mC'!J43,"")</f>
        <v/>
      </c>
    </row>
    <row r="1644" ht="15.75" customHeight="1" s="52">
      <c r="A1644" s="92">
        <f>IF('1mC'!B44&lt;&gt;"","1mC","")</f>
        <v/>
      </c>
      <c r="B1644" s="82">
        <f>IF('1mC'!B44&lt;&gt;"",'1mC'!B44,"")</f>
        <v/>
      </c>
      <c r="C1644" s="82">
        <f>IF('1mC'!B44&lt;&gt;"",'1mC'!C44,"")</f>
        <v/>
      </c>
      <c r="D1644" s="82">
        <f>IF('1mC'!B44&lt;&gt;"",'1mC'!D44,"")</f>
        <v/>
      </c>
      <c r="E1644" s="82">
        <f>IF('1mC'!B44&lt;&gt;"",'1mC'!E44,"")</f>
        <v/>
      </c>
      <c r="F1644" s="82">
        <f>IF('1mC'!B44&lt;&gt;"",'1mC'!F44,"")</f>
        <v/>
      </c>
      <c r="G1644" s="82">
        <f>IF('1mC'!B44&lt;&gt;"",'1mC'!G44,"")</f>
        <v/>
      </c>
      <c r="H1644" s="92">
        <f>IF('1mC'!B44&lt;&gt;"",'1mC'!H44,"")</f>
        <v/>
      </c>
      <c r="I1644" s="92">
        <f>IF('1mC'!B44&lt;&gt;"",'1mC'!I44,"")</f>
        <v/>
      </c>
      <c r="J1644" s="82">
        <f>IF('1mC'!B44&lt;&gt;"",'1mC'!J44,"")</f>
        <v/>
      </c>
    </row>
    <row r="1645" ht="15.75" customHeight="1" s="52">
      <c r="A1645" s="97">
        <f>IF('1mC'!B45&lt;&gt;"","1mC","")</f>
        <v/>
      </c>
      <c r="B1645" s="78">
        <f>IF('1mC'!B45&lt;&gt;"",'1mC'!B45,"")</f>
        <v/>
      </c>
      <c r="C1645" s="78">
        <f>IF('1mC'!B45&lt;&gt;"",'1mC'!C45,"")</f>
        <v/>
      </c>
      <c r="D1645" s="78">
        <f>IF('1mC'!B45&lt;&gt;"",'1mC'!D45,"")</f>
        <v/>
      </c>
      <c r="E1645" s="78">
        <f>IF('1mC'!B45&lt;&gt;"",'1mC'!E45,"")</f>
        <v/>
      </c>
      <c r="F1645" s="78">
        <f>IF('1mC'!B45&lt;&gt;"",'1mC'!F45,"")</f>
        <v/>
      </c>
      <c r="G1645" s="78">
        <f>IF('1mC'!B45&lt;&gt;"",'1mC'!G45,"")</f>
        <v/>
      </c>
      <c r="H1645" s="97">
        <f>IF('1mC'!B45&lt;&gt;"",'1mC'!H45,"")</f>
        <v/>
      </c>
      <c r="I1645" s="97">
        <f>IF('1mC'!B45&lt;&gt;"",'1mC'!I45,"")</f>
        <v/>
      </c>
      <c r="J1645" s="78">
        <f>IF('1mC'!B45&lt;&gt;"",'1mC'!J45,"")</f>
        <v/>
      </c>
    </row>
    <row r="1646" ht="15.75" customHeight="1" s="52">
      <c r="A1646" s="92">
        <f>IF('1mC'!B46&lt;&gt;"","1mC","")</f>
        <v/>
      </c>
      <c r="B1646" s="82">
        <f>IF('1mC'!B46&lt;&gt;"",'1mC'!B46,"")</f>
        <v/>
      </c>
      <c r="C1646" s="82">
        <f>IF('1mC'!B46&lt;&gt;"",'1mC'!C46,"")</f>
        <v/>
      </c>
      <c r="D1646" s="82">
        <f>IF('1mC'!B46&lt;&gt;"",'1mC'!D46,"")</f>
        <v/>
      </c>
      <c r="E1646" s="82">
        <f>IF('1mC'!B46&lt;&gt;"",'1mC'!E46,"")</f>
        <v/>
      </c>
      <c r="F1646" s="82">
        <f>IF('1mC'!B46&lt;&gt;"",'1mC'!F46,"")</f>
        <v/>
      </c>
      <c r="G1646" s="82">
        <f>IF('1mC'!B46&lt;&gt;"",'1mC'!G46,"")</f>
        <v/>
      </c>
      <c r="H1646" s="92">
        <f>IF('1mC'!B46&lt;&gt;"",'1mC'!H46,"")</f>
        <v/>
      </c>
      <c r="I1646" s="92">
        <f>IF('1mC'!B46&lt;&gt;"",'1mC'!I46,"")</f>
        <v/>
      </c>
      <c r="J1646" s="82">
        <f>IF('1mC'!B46&lt;&gt;"",'1mC'!J46,"")</f>
        <v/>
      </c>
    </row>
    <row r="1647" ht="15.75" customHeight="1" s="52">
      <c r="A1647" s="97">
        <f>IF('1mC'!B47&lt;&gt;"","1mC","")</f>
        <v/>
      </c>
      <c r="B1647" s="78">
        <f>IF('1mC'!B47&lt;&gt;"",'1mC'!B47,"")</f>
        <v/>
      </c>
      <c r="C1647" s="78">
        <f>IF('1mC'!B47&lt;&gt;"",'1mC'!C47,"")</f>
        <v/>
      </c>
      <c r="D1647" s="78">
        <f>IF('1mC'!B47&lt;&gt;"",'1mC'!D47,"")</f>
        <v/>
      </c>
      <c r="E1647" s="78">
        <f>IF('1mC'!B47&lt;&gt;"",'1mC'!E47,"")</f>
        <v/>
      </c>
      <c r="F1647" s="78">
        <f>IF('1mC'!B47&lt;&gt;"",'1mC'!F47,"")</f>
        <v/>
      </c>
      <c r="G1647" s="78">
        <f>IF('1mC'!B47&lt;&gt;"",'1mC'!G47,"")</f>
        <v/>
      </c>
      <c r="H1647" s="97">
        <f>IF('1mC'!B47&lt;&gt;"",'1mC'!H47,"")</f>
        <v/>
      </c>
      <c r="I1647" s="97">
        <f>IF('1mC'!B47&lt;&gt;"",'1mC'!I47,"")</f>
        <v/>
      </c>
      <c r="J1647" s="78">
        <f>IF('1mC'!B47&lt;&gt;"",'1mC'!J47,"")</f>
        <v/>
      </c>
    </row>
    <row r="1648" ht="15.75" customHeight="1" s="52">
      <c r="A1648" s="92">
        <f>IF('1mC'!B48&lt;&gt;"","1mC","")</f>
        <v/>
      </c>
      <c r="B1648" s="82">
        <f>IF('1mC'!B48&lt;&gt;"",'1mC'!B48,"")</f>
        <v/>
      </c>
      <c r="C1648" s="82">
        <f>IF('1mC'!B48&lt;&gt;"",'1mC'!C48,"")</f>
        <v/>
      </c>
      <c r="D1648" s="82">
        <f>IF('1mC'!B48&lt;&gt;"",'1mC'!D48,"")</f>
        <v/>
      </c>
      <c r="E1648" s="82">
        <f>IF('1mC'!B48&lt;&gt;"",'1mC'!E48,"")</f>
        <v/>
      </c>
      <c r="F1648" s="82">
        <f>IF('1mC'!B48&lt;&gt;"",'1mC'!F48,"")</f>
        <v/>
      </c>
      <c r="G1648" s="82">
        <f>IF('1mC'!B48&lt;&gt;"",'1mC'!G48,"")</f>
        <v/>
      </c>
      <c r="H1648" s="92">
        <f>IF('1mC'!B48&lt;&gt;"",'1mC'!H48,"")</f>
        <v/>
      </c>
      <c r="I1648" s="92">
        <f>IF('1mC'!B48&lt;&gt;"",'1mC'!I48,"")</f>
        <v/>
      </c>
      <c r="J1648" s="82">
        <f>IF('1mC'!B48&lt;&gt;"",'1mC'!J48,"")</f>
        <v/>
      </c>
    </row>
    <row r="1649" ht="15.75" customHeight="1" s="52">
      <c r="A1649" s="97">
        <f>IF('1mC'!B49&lt;&gt;"","1mC","")</f>
        <v/>
      </c>
      <c r="B1649" s="78">
        <f>IF('1mC'!B49&lt;&gt;"",'1mC'!B49,"")</f>
        <v/>
      </c>
      <c r="C1649" s="78">
        <f>IF('1mC'!B49&lt;&gt;"",'1mC'!C49,"")</f>
        <v/>
      </c>
      <c r="D1649" s="78">
        <f>IF('1mC'!B49&lt;&gt;"",'1mC'!D49,"")</f>
        <v/>
      </c>
      <c r="E1649" s="78">
        <f>IF('1mC'!B49&lt;&gt;"",'1mC'!E49,"")</f>
        <v/>
      </c>
      <c r="F1649" s="78">
        <f>IF('1mC'!B49&lt;&gt;"",'1mC'!F49,"")</f>
        <v/>
      </c>
      <c r="G1649" s="78">
        <f>IF('1mC'!B49&lt;&gt;"",'1mC'!G49,"")</f>
        <v/>
      </c>
      <c r="H1649" s="97">
        <f>IF('1mC'!B49&lt;&gt;"",'1mC'!H49,"")</f>
        <v/>
      </c>
      <c r="I1649" s="97">
        <f>IF('1mC'!B49&lt;&gt;"",'1mC'!I49,"")</f>
        <v/>
      </c>
      <c r="J1649" s="78">
        <f>IF('1mC'!B49&lt;&gt;"",'1mC'!J49,"")</f>
        <v/>
      </c>
    </row>
    <row r="1650" ht="15.75" customHeight="1" s="52">
      <c r="A1650" s="92">
        <f>IF('1mC'!B50&lt;&gt;"","1mC","")</f>
        <v/>
      </c>
      <c r="B1650" s="82">
        <f>IF('1mC'!B50&lt;&gt;"",'1mC'!B50,"")</f>
        <v/>
      </c>
      <c r="C1650" s="82">
        <f>IF('1mC'!B50&lt;&gt;"",'1mC'!C50,"")</f>
        <v/>
      </c>
      <c r="D1650" s="82">
        <f>IF('1mC'!B50&lt;&gt;"",'1mC'!D50,"")</f>
        <v/>
      </c>
      <c r="E1650" s="82">
        <f>IF('1mC'!B50&lt;&gt;"",'1mC'!E50,"")</f>
        <v/>
      </c>
      <c r="F1650" s="82">
        <f>IF('1mC'!B50&lt;&gt;"",'1mC'!F50,"")</f>
        <v/>
      </c>
      <c r="G1650" s="82">
        <f>IF('1mC'!B50&lt;&gt;"",'1mC'!G50,"")</f>
        <v/>
      </c>
      <c r="H1650" s="92">
        <f>IF('1mC'!B50&lt;&gt;"",'1mC'!H50,"")</f>
        <v/>
      </c>
      <c r="I1650" s="92">
        <f>IF('1mC'!B50&lt;&gt;"",'1mC'!I50,"")</f>
        <v/>
      </c>
      <c r="J1650" s="82">
        <f>IF('1mC'!B50&lt;&gt;"",'1mC'!J50,"")</f>
        <v/>
      </c>
    </row>
    <row r="1651" ht="15.75" customHeight="1" s="52">
      <c r="A1651" s="97">
        <f>IF('1mC'!B51&lt;&gt;"","1mC","")</f>
        <v/>
      </c>
      <c r="B1651" s="78">
        <f>IF('1mC'!B51&lt;&gt;"",'1mC'!B51,"")</f>
        <v/>
      </c>
      <c r="C1651" s="78">
        <f>IF('1mC'!B51&lt;&gt;"",'1mC'!C51,"")</f>
        <v/>
      </c>
      <c r="D1651" s="78">
        <f>IF('1mC'!B51&lt;&gt;"",'1mC'!D51,"")</f>
        <v/>
      </c>
      <c r="E1651" s="78">
        <f>IF('1mC'!B51&lt;&gt;"",'1mC'!E51,"")</f>
        <v/>
      </c>
      <c r="F1651" s="78">
        <f>IF('1mC'!B51&lt;&gt;"",'1mC'!F51,"")</f>
        <v/>
      </c>
      <c r="G1651" s="78">
        <f>IF('1mC'!B51&lt;&gt;"",'1mC'!G51,"")</f>
        <v/>
      </c>
      <c r="H1651" s="97">
        <f>IF('1mC'!B51&lt;&gt;"",'1mC'!H51,"")</f>
        <v/>
      </c>
      <c r="I1651" s="97">
        <f>IF('1mC'!B51&lt;&gt;"",'1mC'!I51,"")</f>
        <v/>
      </c>
      <c r="J1651" s="78">
        <f>IF('1mC'!B51&lt;&gt;"",'1mC'!J51,"")</f>
        <v/>
      </c>
    </row>
    <row r="1652" ht="15.75" customHeight="1" s="52">
      <c r="A1652" s="92">
        <f>IF('1mC'!B52&lt;&gt;"","1mC","")</f>
        <v/>
      </c>
      <c r="B1652" s="82">
        <f>IF('1mC'!B52&lt;&gt;"",'1mC'!B52,"")</f>
        <v/>
      </c>
      <c r="C1652" s="82">
        <f>IF('1mC'!B52&lt;&gt;"",'1mC'!C52,"")</f>
        <v/>
      </c>
      <c r="D1652" s="82">
        <f>IF('1mC'!B52&lt;&gt;"",'1mC'!D52,"")</f>
        <v/>
      </c>
      <c r="E1652" s="82">
        <f>IF('1mC'!B52&lt;&gt;"",'1mC'!E52,"")</f>
        <v/>
      </c>
      <c r="F1652" s="82">
        <f>IF('1mC'!B52&lt;&gt;"",'1mC'!F52,"")</f>
        <v/>
      </c>
      <c r="G1652" s="82">
        <f>IF('1mC'!B52&lt;&gt;"",'1mC'!G52,"")</f>
        <v/>
      </c>
      <c r="H1652" s="92">
        <f>IF('1mC'!B52&lt;&gt;"",'1mC'!H52,"")</f>
        <v/>
      </c>
      <c r="I1652" s="92">
        <f>IF('1mC'!B52&lt;&gt;"",'1mC'!I52,"")</f>
        <v/>
      </c>
      <c r="J1652" s="82">
        <f>IF('1mC'!B52&lt;&gt;"",'1mC'!J52,"")</f>
        <v/>
      </c>
    </row>
    <row r="1653" ht="15.75" customHeight="1" s="52">
      <c r="A1653" s="97">
        <f>IF('1mC'!B53&lt;&gt;"","1mC","")</f>
        <v/>
      </c>
      <c r="B1653" s="78">
        <f>IF('1mC'!B53&lt;&gt;"",'1mC'!B53,"")</f>
        <v/>
      </c>
      <c r="C1653" s="78">
        <f>IF('1mC'!B53&lt;&gt;"",'1mC'!C53,"")</f>
        <v/>
      </c>
      <c r="D1653" s="78">
        <f>IF('1mC'!B53&lt;&gt;"",'1mC'!D53,"")</f>
        <v/>
      </c>
      <c r="E1653" s="78">
        <f>IF('1mC'!B53&lt;&gt;"",'1mC'!E53,"")</f>
        <v/>
      </c>
      <c r="F1653" s="78">
        <f>IF('1mC'!B53&lt;&gt;"",'1mC'!F53,"")</f>
        <v/>
      </c>
      <c r="G1653" s="78">
        <f>IF('1mC'!B53&lt;&gt;"",'1mC'!G53,"")</f>
        <v/>
      </c>
      <c r="H1653" s="97">
        <f>IF('1mC'!B53&lt;&gt;"",'1mC'!H53,"")</f>
        <v/>
      </c>
      <c r="I1653" s="97">
        <f>IF('1mC'!B53&lt;&gt;"",'1mC'!I53,"")</f>
        <v/>
      </c>
      <c r="J1653" s="78">
        <f>IF('1mC'!B53&lt;&gt;"",'1mC'!J53,"")</f>
        <v/>
      </c>
    </row>
    <row r="1654" ht="15.75" customHeight="1" s="52">
      <c r="A1654" s="92">
        <f>IF('1mC'!B54&lt;&gt;"","1mC","")</f>
        <v/>
      </c>
      <c r="B1654" s="82">
        <f>IF('1mC'!B54&lt;&gt;"",'1mC'!B54,"")</f>
        <v/>
      </c>
      <c r="C1654" s="82">
        <f>IF('1mC'!B54&lt;&gt;"",'1mC'!C54,"")</f>
        <v/>
      </c>
      <c r="D1654" s="82">
        <f>IF('1mC'!B54&lt;&gt;"",'1mC'!D54,"")</f>
        <v/>
      </c>
      <c r="E1654" s="82">
        <f>IF('1mC'!B54&lt;&gt;"",'1mC'!E54,"")</f>
        <v/>
      </c>
      <c r="F1654" s="82">
        <f>IF('1mC'!B54&lt;&gt;"",'1mC'!F54,"")</f>
        <v/>
      </c>
      <c r="G1654" s="82">
        <f>IF('1mC'!B54&lt;&gt;"",'1mC'!G54,"")</f>
        <v/>
      </c>
      <c r="H1654" s="92">
        <f>IF('1mC'!B54&lt;&gt;"",'1mC'!H54,"")</f>
        <v/>
      </c>
      <c r="I1654" s="92">
        <f>IF('1mC'!B54&lt;&gt;"",'1mC'!I54,"")</f>
        <v/>
      </c>
      <c r="J1654" s="82">
        <f>IF('1mC'!B54&lt;&gt;"",'1mC'!J54,"")</f>
        <v/>
      </c>
    </row>
    <row r="1655" ht="15.75" customHeight="1" s="52">
      <c r="A1655" s="97">
        <f>IF('2mA'!B5&lt;&gt;"","2mA","")</f>
        <v/>
      </c>
      <c r="B1655" s="78">
        <f>IF('2mA'!B5&lt;&gt;"",'2mA'!B5,"")</f>
        <v/>
      </c>
      <c r="C1655" s="78">
        <f>IF('2mA'!B5&lt;&gt;"",'2mA'!C5,"")</f>
        <v/>
      </c>
      <c r="D1655" s="78">
        <f>IF('2mA'!B5&lt;&gt;"",'2mA'!D5,"")</f>
        <v/>
      </c>
      <c r="E1655" s="78">
        <f>IF('2mA'!B5&lt;&gt;"",'2mA'!E5,"")</f>
        <v/>
      </c>
      <c r="F1655" s="78">
        <f>IF('2mA'!B5&lt;&gt;"",'2mA'!F5,"")</f>
        <v/>
      </c>
      <c r="G1655" s="78">
        <f>IF('2mA'!B5&lt;&gt;"",'2mA'!G5,"")</f>
        <v/>
      </c>
      <c r="H1655" s="97">
        <f>IF('2mA'!B5&lt;&gt;"",'2mA'!H5,"")</f>
        <v/>
      </c>
      <c r="I1655" s="97">
        <f>IF('2mA'!B5&lt;&gt;"",'2mA'!I5,"")</f>
        <v/>
      </c>
      <c r="J1655" s="78">
        <f>IF('2mA'!B5&lt;&gt;"",'2mA'!J5,"")</f>
        <v/>
      </c>
    </row>
    <row r="1656" ht="15.75" customHeight="1" s="52">
      <c r="A1656" s="92">
        <f>IF('2mA'!B6&lt;&gt;"","2mA","")</f>
        <v/>
      </c>
      <c r="B1656" s="82">
        <f>IF('2mA'!B6&lt;&gt;"",'2mA'!B6,"")</f>
        <v/>
      </c>
      <c r="C1656" s="82">
        <f>IF('2mA'!B6&lt;&gt;"",'2mA'!C6,"")</f>
        <v/>
      </c>
      <c r="D1656" s="82">
        <f>IF('2mA'!B6&lt;&gt;"",'2mA'!D6,"")</f>
        <v/>
      </c>
      <c r="E1656" s="82">
        <f>IF('2mA'!B6&lt;&gt;"",'2mA'!E6,"")</f>
        <v/>
      </c>
      <c r="F1656" s="82">
        <f>IF('2mA'!B6&lt;&gt;"",'2mA'!F6,"")</f>
        <v/>
      </c>
      <c r="G1656" s="82">
        <f>IF('2mA'!B6&lt;&gt;"",'2mA'!G6,"")</f>
        <v/>
      </c>
      <c r="H1656" s="92">
        <f>IF('2mA'!B6&lt;&gt;"",'2mA'!H6,"")</f>
        <v/>
      </c>
      <c r="I1656" s="92">
        <f>IF('2mA'!B6&lt;&gt;"",'2mA'!I6,"")</f>
        <v/>
      </c>
      <c r="J1656" s="82">
        <f>IF('2mA'!B6&lt;&gt;"",'2mA'!J6,"")</f>
        <v/>
      </c>
    </row>
    <row r="1657" ht="15.75" customHeight="1" s="52">
      <c r="A1657" s="97">
        <f>IF('2mA'!B7&lt;&gt;"","2mA","")</f>
        <v/>
      </c>
      <c r="B1657" s="78">
        <f>IF('2mA'!B7&lt;&gt;"",'2mA'!B7,"")</f>
        <v/>
      </c>
      <c r="C1657" s="78">
        <f>IF('2mA'!B7&lt;&gt;"",'2mA'!C7,"")</f>
        <v/>
      </c>
      <c r="D1657" s="78">
        <f>IF('2mA'!B7&lt;&gt;"",'2mA'!D7,"")</f>
        <v/>
      </c>
      <c r="E1657" s="78">
        <f>IF('2mA'!B7&lt;&gt;"",'2mA'!E7,"")</f>
        <v/>
      </c>
      <c r="F1657" s="78">
        <f>IF('2mA'!B7&lt;&gt;"",'2mA'!F7,"")</f>
        <v/>
      </c>
      <c r="G1657" s="78">
        <f>IF('2mA'!B7&lt;&gt;"",'2mA'!G7,"")</f>
        <v/>
      </c>
      <c r="H1657" s="97">
        <f>IF('2mA'!B7&lt;&gt;"",'2mA'!H7,"")</f>
        <v/>
      </c>
      <c r="I1657" s="97">
        <f>IF('2mA'!B7&lt;&gt;"",'2mA'!I7,"")</f>
        <v/>
      </c>
      <c r="J1657" s="78">
        <f>IF('2mA'!B7&lt;&gt;"",'2mA'!J7,"")</f>
        <v/>
      </c>
    </row>
    <row r="1658" ht="15.75" customHeight="1" s="52">
      <c r="A1658" s="92">
        <f>IF('2mA'!B8&lt;&gt;"","2mA","")</f>
        <v/>
      </c>
      <c r="B1658" s="82">
        <f>IF('2mA'!B8&lt;&gt;"",'2mA'!B8,"")</f>
        <v/>
      </c>
      <c r="C1658" s="82">
        <f>IF('2mA'!B8&lt;&gt;"",'2mA'!C8,"")</f>
        <v/>
      </c>
      <c r="D1658" s="82">
        <f>IF('2mA'!B8&lt;&gt;"",'2mA'!D8,"")</f>
        <v/>
      </c>
      <c r="E1658" s="82">
        <f>IF('2mA'!B8&lt;&gt;"",'2mA'!E8,"")</f>
        <v/>
      </c>
      <c r="F1658" s="82">
        <f>IF('2mA'!B8&lt;&gt;"",'2mA'!F8,"")</f>
        <v/>
      </c>
      <c r="G1658" s="82">
        <f>IF('2mA'!B8&lt;&gt;"",'2mA'!G8,"")</f>
        <v/>
      </c>
      <c r="H1658" s="92">
        <f>IF('2mA'!B8&lt;&gt;"",'2mA'!H8,"")</f>
        <v/>
      </c>
      <c r="I1658" s="92">
        <f>IF('2mA'!B8&lt;&gt;"",'2mA'!I8,"")</f>
        <v/>
      </c>
      <c r="J1658" s="82">
        <f>IF('2mA'!B8&lt;&gt;"",'2mA'!J8,"")</f>
        <v/>
      </c>
    </row>
    <row r="1659" ht="15.75" customHeight="1" s="52">
      <c r="A1659" s="97">
        <f>IF('2mA'!B9&lt;&gt;"","2mA","")</f>
        <v/>
      </c>
      <c r="B1659" s="78">
        <f>IF('2mA'!B9&lt;&gt;"",'2mA'!B9,"")</f>
        <v/>
      </c>
      <c r="C1659" s="78">
        <f>IF('2mA'!B9&lt;&gt;"",'2mA'!C9,"")</f>
        <v/>
      </c>
      <c r="D1659" s="78">
        <f>IF('2mA'!B9&lt;&gt;"",'2mA'!D9,"")</f>
        <v/>
      </c>
      <c r="E1659" s="78">
        <f>IF('2mA'!B9&lt;&gt;"",'2mA'!E9,"")</f>
        <v/>
      </c>
      <c r="F1659" s="78">
        <f>IF('2mA'!B9&lt;&gt;"",'2mA'!F9,"")</f>
        <v/>
      </c>
      <c r="G1659" s="78">
        <f>IF('2mA'!B9&lt;&gt;"",'2mA'!G9,"")</f>
        <v/>
      </c>
      <c r="H1659" s="97">
        <f>IF('2mA'!B9&lt;&gt;"",'2mA'!H9,"")</f>
        <v/>
      </c>
      <c r="I1659" s="97">
        <f>IF('2mA'!B9&lt;&gt;"",'2mA'!I9,"")</f>
        <v/>
      </c>
      <c r="J1659" s="78">
        <f>IF('2mA'!B9&lt;&gt;"",'2mA'!J9,"")</f>
        <v/>
      </c>
    </row>
    <row r="1660" ht="15.75" customHeight="1" s="52">
      <c r="A1660" s="92">
        <f>IF('2mA'!B10&lt;&gt;"","2mA","")</f>
        <v/>
      </c>
      <c r="B1660" s="82">
        <f>IF('2mA'!B10&lt;&gt;"",'2mA'!B10,"")</f>
        <v/>
      </c>
      <c r="C1660" s="82">
        <f>IF('2mA'!B10&lt;&gt;"",'2mA'!C10,"")</f>
        <v/>
      </c>
      <c r="D1660" s="82">
        <f>IF('2mA'!B10&lt;&gt;"",'2mA'!D10,"")</f>
        <v/>
      </c>
      <c r="E1660" s="82">
        <f>IF('2mA'!B10&lt;&gt;"",'2mA'!E10,"")</f>
        <v/>
      </c>
      <c r="F1660" s="82">
        <f>IF('2mA'!B10&lt;&gt;"",'2mA'!F10,"")</f>
        <v/>
      </c>
      <c r="G1660" s="82">
        <f>IF('2mA'!B10&lt;&gt;"",'2mA'!G10,"")</f>
        <v/>
      </c>
      <c r="H1660" s="92">
        <f>IF('2mA'!B10&lt;&gt;"",'2mA'!H10,"")</f>
        <v/>
      </c>
      <c r="I1660" s="92">
        <f>IF('2mA'!B10&lt;&gt;"",'2mA'!I10,"")</f>
        <v/>
      </c>
      <c r="J1660" s="82">
        <f>IF('2mA'!B10&lt;&gt;"",'2mA'!J10,"")</f>
        <v/>
      </c>
    </row>
    <row r="1661" ht="15.75" customHeight="1" s="52">
      <c r="A1661" s="97">
        <f>IF('2mA'!B11&lt;&gt;"","2mA","")</f>
        <v/>
      </c>
      <c r="B1661" s="78">
        <f>IF('2mA'!B11&lt;&gt;"",'2mA'!B11,"")</f>
        <v/>
      </c>
      <c r="C1661" s="78">
        <f>IF('2mA'!B11&lt;&gt;"",'2mA'!C11,"")</f>
        <v/>
      </c>
      <c r="D1661" s="78">
        <f>IF('2mA'!B11&lt;&gt;"",'2mA'!D11,"")</f>
        <v/>
      </c>
      <c r="E1661" s="78">
        <f>IF('2mA'!B11&lt;&gt;"",'2mA'!E11,"")</f>
        <v/>
      </c>
      <c r="F1661" s="78">
        <f>IF('2mA'!B11&lt;&gt;"",'2mA'!F11,"")</f>
        <v/>
      </c>
      <c r="G1661" s="78">
        <f>IF('2mA'!B11&lt;&gt;"",'2mA'!G11,"")</f>
        <v/>
      </c>
      <c r="H1661" s="97">
        <f>IF('2mA'!B11&lt;&gt;"",'2mA'!H11,"")</f>
        <v/>
      </c>
      <c r="I1661" s="97">
        <f>IF('2mA'!B11&lt;&gt;"",'2mA'!I11,"")</f>
        <v/>
      </c>
      <c r="J1661" s="78">
        <f>IF('2mA'!B11&lt;&gt;"",'2mA'!J11,"")</f>
        <v/>
      </c>
    </row>
    <row r="1662" ht="15.75" customHeight="1" s="52">
      <c r="A1662" s="92">
        <f>IF('2mA'!B12&lt;&gt;"","2mA","")</f>
        <v/>
      </c>
      <c r="B1662" s="82">
        <f>IF('2mA'!B12&lt;&gt;"",'2mA'!B12,"")</f>
        <v/>
      </c>
      <c r="C1662" s="82">
        <f>IF('2mA'!B12&lt;&gt;"",'2mA'!C12,"")</f>
        <v/>
      </c>
      <c r="D1662" s="82">
        <f>IF('2mA'!B12&lt;&gt;"",'2mA'!D12,"")</f>
        <v/>
      </c>
      <c r="E1662" s="82">
        <f>IF('2mA'!B12&lt;&gt;"",'2mA'!E12,"")</f>
        <v/>
      </c>
      <c r="F1662" s="82">
        <f>IF('2mA'!B12&lt;&gt;"",'2mA'!F12,"")</f>
        <v/>
      </c>
      <c r="G1662" s="82">
        <f>IF('2mA'!B12&lt;&gt;"",'2mA'!G12,"")</f>
        <v/>
      </c>
      <c r="H1662" s="92">
        <f>IF('2mA'!B12&lt;&gt;"",'2mA'!H12,"")</f>
        <v/>
      </c>
      <c r="I1662" s="92">
        <f>IF('2mA'!B12&lt;&gt;"",'2mA'!I12,"")</f>
        <v/>
      </c>
      <c r="J1662" s="82">
        <f>IF('2mA'!B12&lt;&gt;"",'2mA'!J12,"")</f>
        <v/>
      </c>
    </row>
    <row r="1663" ht="15.75" customHeight="1" s="52">
      <c r="A1663" s="97">
        <f>IF('2mA'!B13&lt;&gt;"","2mA","")</f>
        <v/>
      </c>
      <c r="B1663" s="78">
        <f>IF('2mA'!B13&lt;&gt;"",'2mA'!B13,"")</f>
        <v/>
      </c>
      <c r="C1663" s="78">
        <f>IF('2mA'!B13&lt;&gt;"",'2mA'!C13,"")</f>
        <v/>
      </c>
      <c r="D1663" s="78">
        <f>IF('2mA'!B13&lt;&gt;"",'2mA'!D13,"")</f>
        <v/>
      </c>
      <c r="E1663" s="78">
        <f>IF('2mA'!B13&lt;&gt;"",'2mA'!E13,"")</f>
        <v/>
      </c>
      <c r="F1663" s="78">
        <f>IF('2mA'!B13&lt;&gt;"",'2mA'!F13,"")</f>
        <v/>
      </c>
      <c r="G1663" s="78">
        <f>IF('2mA'!B13&lt;&gt;"",'2mA'!G13,"")</f>
        <v/>
      </c>
      <c r="H1663" s="97">
        <f>IF('2mA'!B13&lt;&gt;"",'2mA'!H13,"")</f>
        <v/>
      </c>
      <c r="I1663" s="97">
        <f>IF('2mA'!B13&lt;&gt;"",'2mA'!I13,"")</f>
        <v/>
      </c>
      <c r="J1663" s="78">
        <f>IF('2mA'!B13&lt;&gt;"",'2mA'!J13,"")</f>
        <v/>
      </c>
    </row>
    <row r="1664" ht="15.75" customHeight="1" s="52">
      <c r="A1664" s="92">
        <f>IF('2mA'!B14&lt;&gt;"","2mA","")</f>
        <v/>
      </c>
      <c r="B1664" s="82">
        <f>IF('2mA'!B14&lt;&gt;"",'2mA'!B14,"")</f>
        <v/>
      </c>
      <c r="C1664" s="82">
        <f>IF('2mA'!B14&lt;&gt;"",'2mA'!C14,"")</f>
        <v/>
      </c>
      <c r="D1664" s="82">
        <f>IF('2mA'!B14&lt;&gt;"",'2mA'!D14,"")</f>
        <v/>
      </c>
      <c r="E1664" s="82">
        <f>IF('2mA'!B14&lt;&gt;"",'2mA'!E14,"")</f>
        <v/>
      </c>
      <c r="F1664" s="82">
        <f>IF('2mA'!B14&lt;&gt;"",'2mA'!F14,"")</f>
        <v/>
      </c>
      <c r="G1664" s="82">
        <f>IF('2mA'!B14&lt;&gt;"",'2mA'!G14,"")</f>
        <v/>
      </c>
      <c r="H1664" s="92">
        <f>IF('2mA'!B14&lt;&gt;"",'2mA'!H14,"")</f>
        <v/>
      </c>
      <c r="I1664" s="92">
        <f>IF('2mA'!B14&lt;&gt;"",'2mA'!I14,"")</f>
        <v/>
      </c>
      <c r="J1664" s="82">
        <f>IF('2mA'!B14&lt;&gt;"",'2mA'!J14,"")</f>
        <v/>
      </c>
    </row>
    <row r="1665" ht="15.75" customHeight="1" s="52">
      <c r="A1665" s="97">
        <f>IF('2mA'!B15&lt;&gt;"","2mA","")</f>
        <v/>
      </c>
      <c r="B1665" s="78">
        <f>IF('2mA'!B15&lt;&gt;"",'2mA'!B15,"")</f>
        <v/>
      </c>
      <c r="C1665" s="78">
        <f>IF('2mA'!B15&lt;&gt;"",'2mA'!C15,"")</f>
        <v/>
      </c>
      <c r="D1665" s="78">
        <f>IF('2mA'!B15&lt;&gt;"",'2mA'!D15,"")</f>
        <v/>
      </c>
      <c r="E1665" s="78">
        <f>IF('2mA'!B15&lt;&gt;"",'2mA'!E15,"")</f>
        <v/>
      </c>
      <c r="F1665" s="78">
        <f>IF('2mA'!B15&lt;&gt;"",'2mA'!F15,"")</f>
        <v/>
      </c>
      <c r="G1665" s="78">
        <f>IF('2mA'!B15&lt;&gt;"",'2mA'!G15,"")</f>
        <v/>
      </c>
      <c r="H1665" s="97">
        <f>IF('2mA'!B15&lt;&gt;"",'2mA'!H15,"")</f>
        <v/>
      </c>
      <c r="I1665" s="97">
        <f>IF('2mA'!B15&lt;&gt;"",'2mA'!I15,"")</f>
        <v/>
      </c>
      <c r="J1665" s="78">
        <f>IF('2mA'!B15&lt;&gt;"",'2mA'!J15,"")</f>
        <v/>
      </c>
    </row>
    <row r="1666" ht="15.75" customHeight="1" s="52">
      <c r="A1666" s="92">
        <f>IF('2mA'!B16&lt;&gt;"","2mA","")</f>
        <v/>
      </c>
      <c r="B1666" s="82">
        <f>IF('2mA'!B16&lt;&gt;"",'2mA'!B16,"")</f>
        <v/>
      </c>
      <c r="C1666" s="82">
        <f>IF('2mA'!B16&lt;&gt;"",'2mA'!C16,"")</f>
        <v/>
      </c>
      <c r="D1666" s="82">
        <f>IF('2mA'!B16&lt;&gt;"",'2mA'!D16,"")</f>
        <v/>
      </c>
      <c r="E1666" s="82">
        <f>IF('2mA'!B16&lt;&gt;"",'2mA'!E16,"")</f>
        <v/>
      </c>
      <c r="F1666" s="82">
        <f>IF('2mA'!B16&lt;&gt;"",'2mA'!F16,"")</f>
        <v/>
      </c>
      <c r="G1666" s="82">
        <f>IF('2mA'!B16&lt;&gt;"",'2mA'!G16,"")</f>
        <v/>
      </c>
      <c r="H1666" s="92">
        <f>IF('2mA'!B16&lt;&gt;"",'2mA'!H16,"")</f>
        <v/>
      </c>
      <c r="I1666" s="92">
        <f>IF('2mA'!B16&lt;&gt;"",'2mA'!I16,"")</f>
        <v/>
      </c>
      <c r="J1666" s="82">
        <f>IF('2mA'!B16&lt;&gt;"",'2mA'!J16,"")</f>
        <v/>
      </c>
    </row>
    <row r="1667" ht="15.75" customHeight="1" s="52">
      <c r="A1667" s="97">
        <f>IF('2mA'!B17&lt;&gt;"","2mA","")</f>
        <v/>
      </c>
      <c r="B1667" s="78">
        <f>IF('2mA'!B17&lt;&gt;"",'2mA'!B17,"")</f>
        <v/>
      </c>
      <c r="C1667" s="78">
        <f>IF('2mA'!B17&lt;&gt;"",'2mA'!C17,"")</f>
        <v/>
      </c>
      <c r="D1667" s="78">
        <f>IF('2mA'!B17&lt;&gt;"",'2mA'!D17,"")</f>
        <v/>
      </c>
      <c r="E1667" s="78">
        <f>IF('2mA'!B17&lt;&gt;"",'2mA'!E17,"")</f>
        <v/>
      </c>
      <c r="F1667" s="78">
        <f>IF('2mA'!B17&lt;&gt;"",'2mA'!F17,"")</f>
        <v/>
      </c>
      <c r="G1667" s="78">
        <f>IF('2mA'!B17&lt;&gt;"",'2mA'!G17,"")</f>
        <v/>
      </c>
      <c r="H1667" s="97">
        <f>IF('2mA'!B17&lt;&gt;"",'2mA'!H17,"")</f>
        <v/>
      </c>
      <c r="I1667" s="97">
        <f>IF('2mA'!B17&lt;&gt;"",'2mA'!I17,"")</f>
        <v/>
      </c>
      <c r="J1667" s="78">
        <f>IF('2mA'!B17&lt;&gt;"",'2mA'!J17,"")</f>
        <v/>
      </c>
    </row>
    <row r="1668" ht="15.75" customHeight="1" s="52">
      <c r="A1668" s="92">
        <f>IF('2mA'!B18&lt;&gt;"","2mA","")</f>
        <v/>
      </c>
      <c r="B1668" s="82">
        <f>IF('2mA'!B18&lt;&gt;"",'2mA'!B18,"")</f>
        <v/>
      </c>
      <c r="C1668" s="82">
        <f>IF('2mA'!B18&lt;&gt;"",'2mA'!C18,"")</f>
        <v/>
      </c>
      <c r="D1668" s="82">
        <f>IF('2mA'!B18&lt;&gt;"",'2mA'!D18,"")</f>
        <v/>
      </c>
      <c r="E1668" s="82">
        <f>IF('2mA'!B18&lt;&gt;"",'2mA'!E18,"")</f>
        <v/>
      </c>
      <c r="F1668" s="82">
        <f>IF('2mA'!B18&lt;&gt;"",'2mA'!F18,"")</f>
        <v/>
      </c>
      <c r="G1668" s="82">
        <f>IF('2mA'!B18&lt;&gt;"",'2mA'!G18,"")</f>
        <v/>
      </c>
      <c r="H1668" s="92">
        <f>IF('2mA'!B18&lt;&gt;"",'2mA'!H18,"")</f>
        <v/>
      </c>
      <c r="I1668" s="92">
        <f>IF('2mA'!B18&lt;&gt;"",'2mA'!I18,"")</f>
        <v/>
      </c>
      <c r="J1668" s="82">
        <f>IF('2mA'!B18&lt;&gt;"",'2mA'!J18,"")</f>
        <v/>
      </c>
    </row>
    <row r="1669" ht="15.75" customHeight="1" s="52">
      <c r="A1669" s="97">
        <f>IF('2mA'!B19&lt;&gt;"","2mA","")</f>
        <v/>
      </c>
      <c r="B1669" s="78">
        <f>IF('2mA'!B19&lt;&gt;"",'2mA'!B19,"")</f>
        <v/>
      </c>
      <c r="C1669" s="78">
        <f>IF('2mA'!B19&lt;&gt;"",'2mA'!C19,"")</f>
        <v/>
      </c>
      <c r="D1669" s="78">
        <f>IF('2mA'!B19&lt;&gt;"",'2mA'!D19,"")</f>
        <v/>
      </c>
      <c r="E1669" s="78">
        <f>IF('2mA'!B19&lt;&gt;"",'2mA'!E19,"")</f>
        <v/>
      </c>
      <c r="F1669" s="78">
        <f>IF('2mA'!B19&lt;&gt;"",'2mA'!F19,"")</f>
        <v/>
      </c>
      <c r="G1669" s="78">
        <f>IF('2mA'!B19&lt;&gt;"",'2mA'!G19,"")</f>
        <v/>
      </c>
      <c r="H1669" s="97">
        <f>IF('2mA'!B19&lt;&gt;"",'2mA'!H19,"")</f>
        <v/>
      </c>
      <c r="I1669" s="97">
        <f>IF('2mA'!B19&lt;&gt;"",'2mA'!I19,"")</f>
        <v/>
      </c>
      <c r="J1669" s="78">
        <f>IF('2mA'!B19&lt;&gt;"",'2mA'!J19,"")</f>
        <v/>
      </c>
    </row>
    <row r="1670" ht="15.75" customHeight="1" s="52">
      <c r="A1670" s="92">
        <f>IF('2mA'!B20&lt;&gt;"","2mA","")</f>
        <v/>
      </c>
      <c r="B1670" s="82">
        <f>IF('2mA'!B20&lt;&gt;"",'2mA'!B20,"")</f>
        <v/>
      </c>
      <c r="C1670" s="82">
        <f>IF('2mA'!B20&lt;&gt;"",'2mA'!C20,"")</f>
        <v/>
      </c>
      <c r="D1670" s="82">
        <f>IF('2mA'!B20&lt;&gt;"",'2mA'!D20,"")</f>
        <v/>
      </c>
      <c r="E1670" s="82">
        <f>IF('2mA'!B20&lt;&gt;"",'2mA'!E20,"")</f>
        <v/>
      </c>
      <c r="F1670" s="82">
        <f>IF('2mA'!B20&lt;&gt;"",'2mA'!F20,"")</f>
        <v/>
      </c>
      <c r="G1670" s="82">
        <f>IF('2mA'!B20&lt;&gt;"",'2mA'!G20,"")</f>
        <v/>
      </c>
      <c r="H1670" s="92">
        <f>IF('2mA'!B20&lt;&gt;"",'2mA'!H20,"")</f>
        <v/>
      </c>
      <c r="I1670" s="92">
        <f>IF('2mA'!B20&lt;&gt;"",'2mA'!I20,"")</f>
        <v/>
      </c>
      <c r="J1670" s="82">
        <f>IF('2mA'!B20&lt;&gt;"",'2mA'!J20,"")</f>
        <v/>
      </c>
    </row>
    <row r="1671" ht="15.75" customHeight="1" s="52">
      <c r="A1671" s="97">
        <f>IF('2mA'!B21&lt;&gt;"","2mA","")</f>
        <v/>
      </c>
      <c r="B1671" s="78">
        <f>IF('2mA'!B21&lt;&gt;"",'2mA'!B21,"")</f>
        <v/>
      </c>
      <c r="C1671" s="78">
        <f>IF('2mA'!B21&lt;&gt;"",'2mA'!C21,"")</f>
        <v/>
      </c>
      <c r="D1671" s="78">
        <f>IF('2mA'!B21&lt;&gt;"",'2mA'!D21,"")</f>
        <v/>
      </c>
      <c r="E1671" s="78">
        <f>IF('2mA'!B21&lt;&gt;"",'2mA'!E21,"")</f>
        <v/>
      </c>
      <c r="F1671" s="78">
        <f>IF('2mA'!B21&lt;&gt;"",'2mA'!F21,"")</f>
        <v/>
      </c>
      <c r="G1671" s="78">
        <f>IF('2mA'!B21&lt;&gt;"",'2mA'!G21,"")</f>
        <v/>
      </c>
      <c r="H1671" s="97">
        <f>IF('2mA'!B21&lt;&gt;"",'2mA'!H21,"")</f>
        <v/>
      </c>
      <c r="I1671" s="97">
        <f>IF('2mA'!B21&lt;&gt;"",'2mA'!I21,"")</f>
        <v/>
      </c>
      <c r="J1671" s="78">
        <f>IF('2mA'!B21&lt;&gt;"",'2mA'!J21,"")</f>
        <v/>
      </c>
    </row>
    <row r="1672" ht="15.75" customHeight="1" s="52">
      <c r="A1672" s="92">
        <f>IF('2mA'!B22&lt;&gt;"","2mA","")</f>
        <v/>
      </c>
      <c r="B1672" s="82">
        <f>IF('2mA'!B22&lt;&gt;"",'2mA'!B22,"")</f>
        <v/>
      </c>
      <c r="C1672" s="82">
        <f>IF('2mA'!B22&lt;&gt;"",'2mA'!C22,"")</f>
        <v/>
      </c>
      <c r="D1672" s="82">
        <f>IF('2mA'!B22&lt;&gt;"",'2mA'!D22,"")</f>
        <v/>
      </c>
      <c r="E1672" s="82">
        <f>IF('2mA'!B22&lt;&gt;"",'2mA'!E22,"")</f>
        <v/>
      </c>
      <c r="F1672" s="82">
        <f>IF('2mA'!B22&lt;&gt;"",'2mA'!F22,"")</f>
        <v/>
      </c>
      <c r="G1672" s="82">
        <f>IF('2mA'!B22&lt;&gt;"",'2mA'!G22,"")</f>
        <v/>
      </c>
      <c r="H1672" s="92">
        <f>IF('2mA'!B22&lt;&gt;"",'2mA'!H22,"")</f>
        <v/>
      </c>
      <c r="I1672" s="92">
        <f>IF('2mA'!B22&lt;&gt;"",'2mA'!I22,"")</f>
        <v/>
      </c>
      <c r="J1672" s="82">
        <f>IF('2mA'!B22&lt;&gt;"",'2mA'!J22,"")</f>
        <v/>
      </c>
    </row>
    <row r="1673" ht="15.75" customHeight="1" s="52">
      <c r="A1673" s="97">
        <f>IF('2mA'!B23&lt;&gt;"","2mA","")</f>
        <v/>
      </c>
      <c r="B1673" s="78">
        <f>IF('2mA'!B23&lt;&gt;"",'2mA'!B23,"")</f>
        <v/>
      </c>
      <c r="C1673" s="78">
        <f>IF('2mA'!B23&lt;&gt;"",'2mA'!C23,"")</f>
        <v/>
      </c>
      <c r="D1673" s="78">
        <f>IF('2mA'!B23&lt;&gt;"",'2mA'!D23,"")</f>
        <v/>
      </c>
      <c r="E1673" s="78">
        <f>IF('2mA'!B23&lt;&gt;"",'2mA'!E23,"")</f>
        <v/>
      </c>
      <c r="F1673" s="78">
        <f>IF('2mA'!B23&lt;&gt;"",'2mA'!F23,"")</f>
        <v/>
      </c>
      <c r="G1673" s="78">
        <f>IF('2mA'!B23&lt;&gt;"",'2mA'!G23,"")</f>
        <v/>
      </c>
      <c r="H1673" s="97">
        <f>IF('2mA'!B23&lt;&gt;"",'2mA'!H23,"")</f>
        <v/>
      </c>
      <c r="I1673" s="97">
        <f>IF('2mA'!B23&lt;&gt;"",'2mA'!I23,"")</f>
        <v/>
      </c>
      <c r="J1673" s="78">
        <f>IF('2mA'!B23&lt;&gt;"",'2mA'!J23,"")</f>
        <v/>
      </c>
    </row>
    <row r="1674" ht="15.75" customHeight="1" s="52">
      <c r="A1674" s="92">
        <f>IF('2mA'!B24&lt;&gt;"","2mA","")</f>
        <v/>
      </c>
      <c r="B1674" s="82">
        <f>IF('2mA'!B24&lt;&gt;"",'2mA'!B24,"")</f>
        <v/>
      </c>
      <c r="C1674" s="82">
        <f>IF('2mA'!B24&lt;&gt;"",'2mA'!C24,"")</f>
        <v/>
      </c>
      <c r="D1674" s="82">
        <f>IF('2mA'!B24&lt;&gt;"",'2mA'!D24,"")</f>
        <v/>
      </c>
      <c r="E1674" s="82">
        <f>IF('2mA'!B24&lt;&gt;"",'2mA'!E24,"")</f>
        <v/>
      </c>
      <c r="F1674" s="82">
        <f>IF('2mA'!B24&lt;&gt;"",'2mA'!F24,"")</f>
        <v/>
      </c>
      <c r="G1674" s="82">
        <f>IF('2mA'!B24&lt;&gt;"",'2mA'!G24,"")</f>
        <v/>
      </c>
      <c r="H1674" s="92">
        <f>IF('2mA'!B24&lt;&gt;"",'2mA'!H24,"")</f>
        <v/>
      </c>
      <c r="I1674" s="92">
        <f>IF('2mA'!B24&lt;&gt;"",'2mA'!I24,"")</f>
        <v/>
      </c>
      <c r="J1674" s="82">
        <f>IF('2mA'!B24&lt;&gt;"",'2mA'!J24,"")</f>
        <v/>
      </c>
    </row>
    <row r="1675" ht="15.75" customHeight="1" s="52">
      <c r="A1675" s="97">
        <f>IF('2mA'!B25&lt;&gt;"","2mA","")</f>
        <v/>
      </c>
      <c r="B1675" s="78">
        <f>IF('2mA'!B25&lt;&gt;"",'2mA'!B25,"")</f>
        <v/>
      </c>
      <c r="C1675" s="78">
        <f>IF('2mA'!B25&lt;&gt;"",'2mA'!C25,"")</f>
        <v/>
      </c>
      <c r="D1675" s="78">
        <f>IF('2mA'!B25&lt;&gt;"",'2mA'!D25,"")</f>
        <v/>
      </c>
      <c r="E1675" s="78">
        <f>IF('2mA'!B25&lt;&gt;"",'2mA'!E25,"")</f>
        <v/>
      </c>
      <c r="F1675" s="78">
        <f>IF('2mA'!B25&lt;&gt;"",'2mA'!F25,"")</f>
        <v/>
      </c>
      <c r="G1675" s="78">
        <f>IF('2mA'!B25&lt;&gt;"",'2mA'!G25,"")</f>
        <v/>
      </c>
      <c r="H1675" s="97">
        <f>IF('2mA'!B25&lt;&gt;"",'2mA'!H25,"")</f>
        <v/>
      </c>
      <c r="I1675" s="97">
        <f>IF('2mA'!B25&lt;&gt;"",'2mA'!I25,"")</f>
        <v/>
      </c>
      <c r="J1675" s="78">
        <f>IF('2mA'!B25&lt;&gt;"",'2mA'!J25,"")</f>
        <v/>
      </c>
    </row>
    <row r="1676" ht="15.75" customHeight="1" s="52">
      <c r="A1676" s="92">
        <f>IF('2mA'!B26&lt;&gt;"","2mA","")</f>
        <v/>
      </c>
      <c r="B1676" s="82">
        <f>IF('2mA'!B26&lt;&gt;"",'2mA'!B26,"")</f>
        <v/>
      </c>
      <c r="C1676" s="82">
        <f>IF('2mA'!B26&lt;&gt;"",'2mA'!C26,"")</f>
        <v/>
      </c>
      <c r="D1676" s="82">
        <f>IF('2mA'!B26&lt;&gt;"",'2mA'!D26,"")</f>
        <v/>
      </c>
      <c r="E1676" s="82">
        <f>IF('2mA'!B26&lt;&gt;"",'2mA'!E26,"")</f>
        <v/>
      </c>
      <c r="F1676" s="82">
        <f>IF('2mA'!B26&lt;&gt;"",'2mA'!F26,"")</f>
        <v/>
      </c>
      <c r="G1676" s="82">
        <f>IF('2mA'!B26&lt;&gt;"",'2mA'!G26,"")</f>
        <v/>
      </c>
      <c r="H1676" s="92">
        <f>IF('2mA'!B26&lt;&gt;"",'2mA'!H26,"")</f>
        <v/>
      </c>
      <c r="I1676" s="92">
        <f>IF('2mA'!B26&lt;&gt;"",'2mA'!I26,"")</f>
        <v/>
      </c>
      <c r="J1676" s="82">
        <f>IF('2mA'!B26&lt;&gt;"",'2mA'!J26,"")</f>
        <v/>
      </c>
    </row>
    <row r="1677" ht="15.75" customHeight="1" s="52">
      <c r="A1677" s="97">
        <f>IF('2mA'!B27&lt;&gt;"","2mA","")</f>
        <v/>
      </c>
      <c r="B1677" s="78">
        <f>IF('2mA'!B27&lt;&gt;"",'2mA'!B27,"")</f>
        <v/>
      </c>
      <c r="C1677" s="78">
        <f>IF('2mA'!B27&lt;&gt;"",'2mA'!C27,"")</f>
        <v/>
      </c>
      <c r="D1677" s="78">
        <f>IF('2mA'!B27&lt;&gt;"",'2mA'!D27,"")</f>
        <v/>
      </c>
      <c r="E1677" s="78">
        <f>IF('2mA'!B27&lt;&gt;"",'2mA'!E27,"")</f>
        <v/>
      </c>
      <c r="F1677" s="78">
        <f>IF('2mA'!B27&lt;&gt;"",'2mA'!F27,"")</f>
        <v/>
      </c>
      <c r="G1677" s="78">
        <f>IF('2mA'!B27&lt;&gt;"",'2mA'!G27,"")</f>
        <v/>
      </c>
      <c r="H1677" s="97">
        <f>IF('2mA'!B27&lt;&gt;"",'2mA'!H27,"")</f>
        <v/>
      </c>
      <c r="I1677" s="97">
        <f>IF('2mA'!B27&lt;&gt;"",'2mA'!I27,"")</f>
        <v/>
      </c>
      <c r="J1677" s="78">
        <f>IF('2mA'!B27&lt;&gt;"",'2mA'!J27,"")</f>
        <v/>
      </c>
    </row>
    <row r="1678" ht="15.75" customHeight="1" s="52">
      <c r="A1678" s="92">
        <f>IF('2mA'!B28&lt;&gt;"","2mA","")</f>
        <v/>
      </c>
      <c r="B1678" s="82">
        <f>IF('2mA'!B28&lt;&gt;"",'2mA'!B28,"")</f>
        <v/>
      </c>
      <c r="C1678" s="82">
        <f>IF('2mA'!B28&lt;&gt;"",'2mA'!C28,"")</f>
        <v/>
      </c>
      <c r="D1678" s="82">
        <f>IF('2mA'!B28&lt;&gt;"",'2mA'!D28,"")</f>
        <v/>
      </c>
      <c r="E1678" s="82">
        <f>IF('2mA'!B28&lt;&gt;"",'2mA'!E28,"")</f>
        <v/>
      </c>
      <c r="F1678" s="82">
        <f>IF('2mA'!B28&lt;&gt;"",'2mA'!F28,"")</f>
        <v/>
      </c>
      <c r="G1678" s="82">
        <f>IF('2mA'!B28&lt;&gt;"",'2mA'!G28,"")</f>
        <v/>
      </c>
      <c r="H1678" s="92">
        <f>IF('2mA'!B28&lt;&gt;"",'2mA'!H28,"")</f>
        <v/>
      </c>
      <c r="I1678" s="92">
        <f>IF('2mA'!B28&lt;&gt;"",'2mA'!I28,"")</f>
        <v/>
      </c>
      <c r="J1678" s="82">
        <f>IF('2mA'!B28&lt;&gt;"",'2mA'!J28,"")</f>
        <v/>
      </c>
    </row>
    <row r="1679" ht="15.75" customHeight="1" s="52">
      <c r="A1679" s="97">
        <f>IF('2mA'!B29&lt;&gt;"","2mA","")</f>
        <v/>
      </c>
      <c r="B1679" s="78">
        <f>IF('2mA'!B29&lt;&gt;"",'2mA'!B29,"")</f>
        <v/>
      </c>
      <c r="C1679" s="78">
        <f>IF('2mA'!B29&lt;&gt;"",'2mA'!C29,"")</f>
        <v/>
      </c>
      <c r="D1679" s="78">
        <f>IF('2mA'!B29&lt;&gt;"",'2mA'!D29,"")</f>
        <v/>
      </c>
      <c r="E1679" s="78">
        <f>IF('2mA'!B29&lt;&gt;"",'2mA'!E29,"")</f>
        <v/>
      </c>
      <c r="F1679" s="78">
        <f>IF('2mA'!B29&lt;&gt;"",'2mA'!F29,"")</f>
        <v/>
      </c>
      <c r="G1679" s="78">
        <f>IF('2mA'!B29&lt;&gt;"",'2mA'!G29,"")</f>
        <v/>
      </c>
      <c r="H1679" s="97">
        <f>IF('2mA'!B29&lt;&gt;"",'2mA'!H29,"")</f>
        <v/>
      </c>
      <c r="I1679" s="97">
        <f>IF('2mA'!B29&lt;&gt;"",'2mA'!I29,"")</f>
        <v/>
      </c>
      <c r="J1679" s="78">
        <f>IF('2mA'!B29&lt;&gt;"",'2mA'!J29,"")</f>
        <v/>
      </c>
    </row>
    <row r="1680" ht="15.75" customHeight="1" s="52">
      <c r="A1680" s="92">
        <f>IF('2mA'!B30&lt;&gt;"","2mA","")</f>
        <v/>
      </c>
      <c r="B1680" s="82">
        <f>IF('2mA'!B30&lt;&gt;"",'2mA'!B30,"")</f>
        <v/>
      </c>
      <c r="C1680" s="82">
        <f>IF('2mA'!B30&lt;&gt;"",'2mA'!C30,"")</f>
        <v/>
      </c>
      <c r="D1680" s="82">
        <f>IF('2mA'!B30&lt;&gt;"",'2mA'!D30,"")</f>
        <v/>
      </c>
      <c r="E1680" s="82">
        <f>IF('2mA'!B30&lt;&gt;"",'2mA'!E30,"")</f>
        <v/>
      </c>
      <c r="F1680" s="82">
        <f>IF('2mA'!B30&lt;&gt;"",'2mA'!F30,"")</f>
        <v/>
      </c>
      <c r="G1680" s="82">
        <f>IF('2mA'!B30&lt;&gt;"",'2mA'!G30,"")</f>
        <v/>
      </c>
      <c r="H1680" s="92">
        <f>IF('2mA'!B30&lt;&gt;"",'2mA'!H30,"")</f>
        <v/>
      </c>
      <c r="I1680" s="92">
        <f>IF('2mA'!B30&lt;&gt;"",'2mA'!I30,"")</f>
        <v/>
      </c>
      <c r="J1680" s="82">
        <f>IF('2mA'!B30&lt;&gt;"",'2mA'!J30,"")</f>
        <v/>
      </c>
    </row>
    <row r="1681" ht="15.75" customHeight="1" s="52">
      <c r="A1681" s="97">
        <f>IF('2mA'!B31&lt;&gt;"","2mA","")</f>
        <v/>
      </c>
      <c r="B1681" s="78">
        <f>IF('2mA'!B31&lt;&gt;"",'2mA'!B31,"")</f>
        <v/>
      </c>
      <c r="C1681" s="78">
        <f>IF('2mA'!B31&lt;&gt;"",'2mA'!C31,"")</f>
        <v/>
      </c>
      <c r="D1681" s="78">
        <f>IF('2mA'!B31&lt;&gt;"",'2mA'!D31,"")</f>
        <v/>
      </c>
      <c r="E1681" s="78">
        <f>IF('2mA'!B31&lt;&gt;"",'2mA'!E31,"")</f>
        <v/>
      </c>
      <c r="F1681" s="78">
        <f>IF('2mA'!B31&lt;&gt;"",'2mA'!F31,"")</f>
        <v/>
      </c>
      <c r="G1681" s="78">
        <f>IF('2mA'!B31&lt;&gt;"",'2mA'!G31,"")</f>
        <v/>
      </c>
      <c r="H1681" s="97">
        <f>IF('2mA'!B31&lt;&gt;"",'2mA'!H31,"")</f>
        <v/>
      </c>
      <c r="I1681" s="97">
        <f>IF('2mA'!B31&lt;&gt;"",'2mA'!I31,"")</f>
        <v/>
      </c>
      <c r="J1681" s="78">
        <f>IF('2mA'!B31&lt;&gt;"",'2mA'!J31,"")</f>
        <v/>
      </c>
    </row>
    <row r="1682" ht="15.75" customHeight="1" s="52">
      <c r="A1682" s="92">
        <f>IF('2mA'!B32&lt;&gt;"","2mA","")</f>
        <v/>
      </c>
      <c r="B1682" s="82">
        <f>IF('2mA'!B32&lt;&gt;"",'2mA'!B32,"")</f>
        <v/>
      </c>
      <c r="C1682" s="82">
        <f>IF('2mA'!B32&lt;&gt;"",'2mA'!C32,"")</f>
        <v/>
      </c>
      <c r="D1682" s="82">
        <f>IF('2mA'!B32&lt;&gt;"",'2mA'!D32,"")</f>
        <v/>
      </c>
      <c r="E1682" s="82">
        <f>IF('2mA'!B32&lt;&gt;"",'2mA'!E32,"")</f>
        <v/>
      </c>
      <c r="F1682" s="82">
        <f>IF('2mA'!B32&lt;&gt;"",'2mA'!F32,"")</f>
        <v/>
      </c>
      <c r="G1682" s="82">
        <f>IF('2mA'!B32&lt;&gt;"",'2mA'!G32,"")</f>
        <v/>
      </c>
      <c r="H1682" s="92">
        <f>IF('2mA'!B32&lt;&gt;"",'2mA'!H32,"")</f>
        <v/>
      </c>
      <c r="I1682" s="92">
        <f>IF('2mA'!B32&lt;&gt;"",'2mA'!I32,"")</f>
        <v/>
      </c>
      <c r="J1682" s="82">
        <f>IF('2mA'!B32&lt;&gt;"",'2mA'!J32,"")</f>
        <v/>
      </c>
    </row>
    <row r="1683" ht="15.75" customHeight="1" s="52">
      <c r="A1683" s="97">
        <f>IF('2mA'!B33&lt;&gt;"","2mA","")</f>
        <v/>
      </c>
      <c r="B1683" s="78">
        <f>IF('2mA'!B33&lt;&gt;"",'2mA'!B33,"")</f>
        <v/>
      </c>
      <c r="C1683" s="78">
        <f>IF('2mA'!B33&lt;&gt;"",'2mA'!C33,"")</f>
        <v/>
      </c>
      <c r="D1683" s="78">
        <f>IF('2mA'!B33&lt;&gt;"",'2mA'!D33,"")</f>
        <v/>
      </c>
      <c r="E1683" s="78">
        <f>IF('2mA'!B33&lt;&gt;"",'2mA'!E33,"")</f>
        <v/>
      </c>
      <c r="F1683" s="78">
        <f>IF('2mA'!B33&lt;&gt;"",'2mA'!F33,"")</f>
        <v/>
      </c>
      <c r="G1683" s="78">
        <f>IF('2mA'!B33&lt;&gt;"",'2mA'!G33,"")</f>
        <v/>
      </c>
      <c r="H1683" s="97">
        <f>IF('2mA'!B33&lt;&gt;"",'2mA'!H33,"")</f>
        <v/>
      </c>
      <c r="I1683" s="97">
        <f>IF('2mA'!B33&lt;&gt;"",'2mA'!I33,"")</f>
        <v/>
      </c>
      <c r="J1683" s="78">
        <f>IF('2mA'!B33&lt;&gt;"",'2mA'!J33,"")</f>
        <v/>
      </c>
    </row>
    <row r="1684" ht="15.75" customHeight="1" s="52">
      <c r="A1684" s="92">
        <f>IF('2mA'!B34&lt;&gt;"","2mA","")</f>
        <v/>
      </c>
      <c r="B1684" s="82">
        <f>IF('2mA'!B34&lt;&gt;"",'2mA'!B34,"")</f>
        <v/>
      </c>
      <c r="C1684" s="82">
        <f>IF('2mA'!B34&lt;&gt;"",'2mA'!C34,"")</f>
        <v/>
      </c>
      <c r="D1684" s="82">
        <f>IF('2mA'!B34&lt;&gt;"",'2mA'!D34,"")</f>
        <v/>
      </c>
      <c r="E1684" s="82">
        <f>IF('2mA'!B34&lt;&gt;"",'2mA'!E34,"")</f>
        <v/>
      </c>
      <c r="F1684" s="82">
        <f>IF('2mA'!B34&lt;&gt;"",'2mA'!F34,"")</f>
        <v/>
      </c>
      <c r="G1684" s="82">
        <f>IF('2mA'!B34&lt;&gt;"",'2mA'!G34,"")</f>
        <v/>
      </c>
      <c r="H1684" s="92">
        <f>IF('2mA'!B34&lt;&gt;"",'2mA'!H34,"")</f>
        <v/>
      </c>
      <c r="I1684" s="92">
        <f>IF('2mA'!B34&lt;&gt;"",'2mA'!I34,"")</f>
        <v/>
      </c>
      <c r="J1684" s="82">
        <f>IF('2mA'!B34&lt;&gt;"",'2mA'!J34,"")</f>
        <v/>
      </c>
    </row>
    <row r="1685" ht="15.75" customHeight="1" s="52">
      <c r="A1685" s="97">
        <f>IF('2mA'!B35&lt;&gt;"","2mA","")</f>
        <v/>
      </c>
      <c r="B1685" s="78">
        <f>IF('2mA'!B35&lt;&gt;"",'2mA'!B35,"")</f>
        <v/>
      </c>
      <c r="C1685" s="78">
        <f>IF('2mA'!B35&lt;&gt;"",'2mA'!C35,"")</f>
        <v/>
      </c>
      <c r="D1685" s="78">
        <f>IF('2mA'!B35&lt;&gt;"",'2mA'!D35,"")</f>
        <v/>
      </c>
      <c r="E1685" s="78">
        <f>IF('2mA'!B35&lt;&gt;"",'2mA'!E35,"")</f>
        <v/>
      </c>
      <c r="F1685" s="78">
        <f>IF('2mA'!B35&lt;&gt;"",'2mA'!F35,"")</f>
        <v/>
      </c>
      <c r="G1685" s="78">
        <f>IF('2mA'!B35&lt;&gt;"",'2mA'!G35,"")</f>
        <v/>
      </c>
      <c r="H1685" s="97">
        <f>IF('2mA'!B35&lt;&gt;"",'2mA'!H35,"")</f>
        <v/>
      </c>
      <c r="I1685" s="97">
        <f>IF('2mA'!B35&lt;&gt;"",'2mA'!I35,"")</f>
        <v/>
      </c>
      <c r="J1685" s="78">
        <f>IF('2mA'!B35&lt;&gt;"",'2mA'!J35,"")</f>
        <v/>
      </c>
    </row>
    <row r="1686" ht="15.75" customHeight="1" s="52">
      <c r="A1686" s="92">
        <f>IF('2mA'!B36&lt;&gt;"","2mA","")</f>
        <v/>
      </c>
      <c r="B1686" s="82">
        <f>IF('2mA'!B36&lt;&gt;"",'2mA'!B36,"")</f>
        <v/>
      </c>
      <c r="C1686" s="82">
        <f>IF('2mA'!B36&lt;&gt;"",'2mA'!C36,"")</f>
        <v/>
      </c>
      <c r="D1686" s="82">
        <f>IF('2mA'!B36&lt;&gt;"",'2mA'!D36,"")</f>
        <v/>
      </c>
      <c r="E1686" s="82">
        <f>IF('2mA'!B36&lt;&gt;"",'2mA'!E36,"")</f>
        <v/>
      </c>
      <c r="F1686" s="82">
        <f>IF('2mA'!B36&lt;&gt;"",'2mA'!F36,"")</f>
        <v/>
      </c>
      <c r="G1686" s="82">
        <f>IF('2mA'!B36&lt;&gt;"",'2mA'!G36,"")</f>
        <v/>
      </c>
      <c r="H1686" s="92">
        <f>IF('2mA'!B36&lt;&gt;"",'2mA'!H36,"")</f>
        <v/>
      </c>
      <c r="I1686" s="92">
        <f>IF('2mA'!B36&lt;&gt;"",'2mA'!I36,"")</f>
        <v/>
      </c>
      <c r="J1686" s="82">
        <f>IF('2mA'!B36&lt;&gt;"",'2mA'!J36,"")</f>
        <v/>
      </c>
    </row>
    <row r="1687" ht="15.75" customHeight="1" s="52">
      <c r="A1687" s="97">
        <f>IF('2mA'!B37&lt;&gt;"","2mA","")</f>
        <v/>
      </c>
      <c r="B1687" s="78">
        <f>IF('2mA'!B37&lt;&gt;"",'2mA'!B37,"")</f>
        <v/>
      </c>
      <c r="C1687" s="78">
        <f>IF('2mA'!B37&lt;&gt;"",'2mA'!C37,"")</f>
        <v/>
      </c>
      <c r="D1687" s="78">
        <f>IF('2mA'!B37&lt;&gt;"",'2mA'!D37,"")</f>
        <v/>
      </c>
      <c r="E1687" s="78">
        <f>IF('2mA'!B37&lt;&gt;"",'2mA'!E37,"")</f>
        <v/>
      </c>
      <c r="F1687" s="78">
        <f>IF('2mA'!B37&lt;&gt;"",'2mA'!F37,"")</f>
        <v/>
      </c>
      <c r="G1687" s="78">
        <f>IF('2mA'!B37&lt;&gt;"",'2mA'!G37,"")</f>
        <v/>
      </c>
      <c r="H1687" s="97">
        <f>IF('2mA'!B37&lt;&gt;"",'2mA'!H37,"")</f>
        <v/>
      </c>
      <c r="I1687" s="97">
        <f>IF('2mA'!B37&lt;&gt;"",'2mA'!I37,"")</f>
        <v/>
      </c>
      <c r="J1687" s="78">
        <f>IF('2mA'!B37&lt;&gt;"",'2mA'!J37,"")</f>
        <v/>
      </c>
    </row>
    <row r="1688" ht="15.75" customHeight="1" s="52">
      <c r="A1688" s="92">
        <f>IF('2mA'!B38&lt;&gt;"","2mA","")</f>
        <v/>
      </c>
      <c r="B1688" s="82">
        <f>IF('2mA'!B38&lt;&gt;"",'2mA'!B38,"")</f>
        <v/>
      </c>
      <c r="C1688" s="82">
        <f>IF('2mA'!B38&lt;&gt;"",'2mA'!C38,"")</f>
        <v/>
      </c>
      <c r="D1688" s="82">
        <f>IF('2mA'!B38&lt;&gt;"",'2mA'!D38,"")</f>
        <v/>
      </c>
      <c r="E1688" s="82">
        <f>IF('2mA'!B38&lt;&gt;"",'2mA'!E38,"")</f>
        <v/>
      </c>
      <c r="F1688" s="82">
        <f>IF('2mA'!B38&lt;&gt;"",'2mA'!F38,"")</f>
        <v/>
      </c>
      <c r="G1688" s="82">
        <f>IF('2mA'!B38&lt;&gt;"",'2mA'!G38,"")</f>
        <v/>
      </c>
      <c r="H1688" s="92">
        <f>IF('2mA'!B38&lt;&gt;"",'2mA'!H38,"")</f>
        <v/>
      </c>
      <c r="I1688" s="92">
        <f>IF('2mA'!B38&lt;&gt;"",'2mA'!I38,"")</f>
        <v/>
      </c>
      <c r="J1688" s="82">
        <f>IF('2mA'!B38&lt;&gt;"",'2mA'!J38,"")</f>
        <v/>
      </c>
    </row>
    <row r="1689" ht="15.75" customHeight="1" s="52">
      <c r="A1689" s="97">
        <f>IF('2mA'!B39&lt;&gt;"","2mA","")</f>
        <v/>
      </c>
      <c r="B1689" s="78">
        <f>IF('2mA'!B39&lt;&gt;"",'2mA'!B39,"")</f>
        <v/>
      </c>
      <c r="C1689" s="78">
        <f>IF('2mA'!B39&lt;&gt;"",'2mA'!C39,"")</f>
        <v/>
      </c>
      <c r="D1689" s="78">
        <f>IF('2mA'!B39&lt;&gt;"",'2mA'!D39,"")</f>
        <v/>
      </c>
      <c r="E1689" s="78">
        <f>IF('2mA'!B39&lt;&gt;"",'2mA'!E39,"")</f>
        <v/>
      </c>
      <c r="F1689" s="78">
        <f>IF('2mA'!B39&lt;&gt;"",'2mA'!F39,"")</f>
        <v/>
      </c>
      <c r="G1689" s="78">
        <f>IF('2mA'!B39&lt;&gt;"",'2mA'!G39,"")</f>
        <v/>
      </c>
      <c r="H1689" s="97">
        <f>IF('2mA'!B39&lt;&gt;"",'2mA'!H39,"")</f>
        <v/>
      </c>
      <c r="I1689" s="97">
        <f>IF('2mA'!B39&lt;&gt;"",'2mA'!I39,"")</f>
        <v/>
      </c>
      <c r="J1689" s="78">
        <f>IF('2mA'!B39&lt;&gt;"",'2mA'!J39,"")</f>
        <v/>
      </c>
    </row>
    <row r="1690" ht="15.75" customHeight="1" s="52">
      <c r="A1690" s="92">
        <f>IF('2mA'!B40&lt;&gt;"","2mA","")</f>
        <v/>
      </c>
      <c r="B1690" s="82">
        <f>IF('2mA'!B40&lt;&gt;"",'2mA'!B40,"")</f>
        <v/>
      </c>
      <c r="C1690" s="82">
        <f>IF('2mA'!B40&lt;&gt;"",'2mA'!C40,"")</f>
        <v/>
      </c>
      <c r="D1690" s="82">
        <f>IF('2mA'!B40&lt;&gt;"",'2mA'!D40,"")</f>
        <v/>
      </c>
      <c r="E1690" s="82">
        <f>IF('2mA'!B40&lt;&gt;"",'2mA'!E40,"")</f>
        <v/>
      </c>
      <c r="F1690" s="82">
        <f>IF('2mA'!B40&lt;&gt;"",'2mA'!F40,"")</f>
        <v/>
      </c>
      <c r="G1690" s="82">
        <f>IF('2mA'!B40&lt;&gt;"",'2mA'!G40,"")</f>
        <v/>
      </c>
      <c r="H1690" s="92">
        <f>IF('2mA'!B40&lt;&gt;"",'2mA'!H40,"")</f>
        <v/>
      </c>
      <c r="I1690" s="92">
        <f>IF('2mA'!B40&lt;&gt;"",'2mA'!I40,"")</f>
        <v/>
      </c>
      <c r="J1690" s="82">
        <f>IF('2mA'!B40&lt;&gt;"",'2mA'!J40,"")</f>
        <v/>
      </c>
    </row>
    <row r="1691" ht="15.75" customHeight="1" s="52">
      <c r="A1691" s="97">
        <f>IF('2mA'!B41&lt;&gt;"","2mA","")</f>
        <v/>
      </c>
      <c r="B1691" s="78">
        <f>IF('2mA'!B41&lt;&gt;"",'2mA'!B41,"")</f>
        <v/>
      </c>
      <c r="C1691" s="78">
        <f>IF('2mA'!B41&lt;&gt;"",'2mA'!C41,"")</f>
        <v/>
      </c>
      <c r="D1691" s="78">
        <f>IF('2mA'!B41&lt;&gt;"",'2mA'!D41,"")</f>
        <v/>
      </c>
      <c r="E1691" s="78">
        <f>IF('2mA'!B41&lt;&gt;"",'2mA'!E41,"")</f>
        <v/>
      </c>
      <c r="F1691" s="78">
        <f>IF('2mA'!B41&lt;&gt;"",'2mA'!F41,"")</f>
        <v/>
      </c>
      <c r="G1691" s="78">
        <f>IF('2mA'!B41&lt;&gt;"",'2mA'!G41,"")</f>
        <v/>
      </c>
      <c r="H1691" s="97">
        <f>IF('2mA'!B41&lt;&gt;"",'2mA'!H41,"")</f>
        <v/>
      </c>
      <c r="I1691" s="97">
        <f>IF('2mA'!B41&lt;&gt;"",'2mA'!I41,"")</f>
        <v/>
      </c>
      <c r="J1691" s="78">
        <f>IF('2mA'!B41&lt;&gt;"",'2mA'!J41,"")</f>
        <v/>
      </c>
    </row>
    <row r="1692" ht="15.75" customHeight="1" s="52">
      <c r="A1692" s="92">
        <f>IF('2mA'!B42&lt;&gt;"","2mA","")</f>
        <v/>
      </c>
      <c r="B1692" s="82">
        <f>IF('2mA'!B42&lt;&gt;"",'2mA'!B42,"")</f>
        <v/>
      </c>
      <c r="C1692" s="82">
        <f>IF('2mA'!B42&lt;&gt;"",'2mA'!C42,"")</f>
        <v/>
      </c>
      <c r="D1692" s="82">
        <f>IF('2mA'!B42&lt;&gt;"",'2mA'!D42,"")</f>
        <v/>
      </c>
      <c r="E1692" s="82">
        <f>IF('2mA'!B42&lt;&gt;"",'2mA'!E42,"")</f>
        <v/>
      </c>
      <c r="F1692" s="82">
        <f>IF('2mA'!B42&lt;&gt;"",'2mA'!F42,"")</f>
        <v/>
      </c>
      <c r="G1692" s="82">
        <f>IF('2mA'!B42&lt;&gt;"",'2mA'!G42,"")</f>
        <v/>
      </c>
      <c r="H1692" s="92">
        <f>IF('2mA'!B42&lt;&gt;"",'2mA'!H42,"")</f>
        <v/>
      </c>
      <c r="I1692" s="92">
        <f>IF('2mA'!B42&lt;&gt;"",'2mA'!I42,"")</f>
        <v/>
      </c>
      <c r="J1692" s="82">
        <f>IF('2mA'!B42&lt;&gt;"",'2mA'!J42,"")</f>
        <v/>
      </c>
    </row>
    <row r="1693" ht="15.75" customHeight="1" s="52">
      <c r="A1693" s="97">
        <f>IF('2mA'!B43&lt;&gt;"","2mA","")</f>
        <v/>
      </c>
      <c r="B1693" s="78">
        <f>IF('2mA'!B43&lt;&gt;"",'2mA'!B43,"")</f>
        <v/>
      </c>
      <c r="C1693" s="78">
        <f>IF('2mA'!B43&lt;&gt;"",'2mA'!C43,"")</f>
        <v/>
      </c>
      <c r="D1693" s="78">
        <f>IF('2mA'!B43&lt;&gt;"",'2mA'!D43,"")</f>
        <v/>
      </c>
      <c r="E1693" s="78">
        <f>IF('2mA'!B43&lt;&gt;"",'2mA'!E43,"")</f>
        <v/>
      </c>
      <c r="F1693" s="78">
        <f>IF('2mA'!B43&lt;&gt;"",'2mA'!F43,"")</f>
        <v/>
      </c>
      <c r="G1693" s="78">
        <f>IF('2mA'!B43&lt;&gt;"",'2mA'!G43,"")</f>
        <v/>
      </c>
      <c r="H1693" s="97">
        <f>IF('2mA'!B43&lt;&gt;"",'2mA'!H43,"")</f>
        <v/>
      </c>
      <c r="I1693" s="97">
        <f>IF('2mA'!B43&lt;&gt;"",'2mA'!I43,"")</f>
        <v/>
      </c>
      <c r="J1693" s="78">
        <f>IF('2mA'!B43&lt;&gt;"",'2mA'!J43,"")</f>
        <v/>
      </c>
    </row>
    <row r="1694" ht="15.75" customHeight="1" s="52">
      <c r="A1694" s="92">
        <f>IF('2mA'!B44&lt;&gt;"","2mA","")</f>
        <v/>
      </c>
      <c r="B1694" s="82">
        <f>IF('2mA'!B44&lt;&gt;"",'2mA'!B44,"")</f>
        <v/>
      </c>
      <c r="C1694" s="82">
        <f>IF('2mA'!B44&lt;&gt;"",'2mA'!C44,"")</f>
        <v/>
      </c>
      <c r="D1694" s="82">
        <f>IF('2mA'!B44&lt;&gt;"",'2mA'!D44,"")</f>
        <v/>
      </c>
      <c r="E1694" s="82">
        <f>IF('2mA'!B44&lt;&gt;"",'2mA'!E44,"")</f>
        <v/>
      </c>
      <c r="F1694" s="82">
        <f>IF('2mA'!B44&lt;&gt;"",'2mA'!F44,"")</f>
        <v/>
      </c>
      <c r="G1694" s="82">
        <f>IF('2mA'!B44&lt;&gt;"",'2mA'!G44,"")</f>
        <v/>
      </c>
      <c r="H1694" s="92">
        <f>IF('2mA'!B44&lt;&gt;"",'2mA'!H44,"")</f>
        <v/>
      </c>
      <c r="I1694" s="92">
        <f>IF('2mA'!B44&lt;&gt;"",'2mA'!I44,"")</f>
        <v/>
      </c>
      <c r="J1694" s="82">
        <f>IF('2mA'!B44&lt;&gt;"",'2mA'!J44,"")</f>
        <v/>
      </c>
    </row>
    <row r="1695" ht="15.75" customHeight="1" s="52">
      <c r="A1695" s="97">
        <f>IF('2mA'!B45&lt;&gt;"","2mA","")</f>
        <v/>
      </c>
      <c r="B1695" s="78">
        <f>IF('2mA'!B45&lt;&gt;"",'2mA'!B45,"")</f>
        <v/>
      </c>
      <c r="C1695" s="78">
        <f>IF('2mA'!B45&lt;&gt;"",'2mA'!C45,"")</f>
        <v/>
      </c>
      <c r="D1695" s="78">
        <f>IF('2mA'!B45&lt;&gt;"",'2mA'!D45,"")</f>
        <v/>
      </c>
      <c r="E1695" s="78">
        <f>IF('2mA'!B45&lt;&gt;"",'2mA'!E45,"")</f>
        <v/>
      </c>
      <c r="F1695" s="78">
        <f>IF('2mA'!B45&lt;&gt;"",'2mA'!F45,"")</f>
        <v/>
      </c>
      <c r="G1695" s="78">
        <f>IF('2mA'!B45&lt;&gt;"",'2mA'!G45,"")</f>
        <v/>
      </c>
      <c r="H1695" s="97">
        <f>IF('2mA'!B45&lt;&gt;"",'2mA'!H45,"")</f>
        <v/>
      </c>
      <c r="I1695" s="97">
        <f>IF('2mA'!B45&lt;&gt;"",'2mA'!I45,"")</f>
        <v/>
      </c>
      <c r="J1695" s="78">
        <f>IF('2mA'!B45&lt;&gt;"",'2mA'!J45,"")</f>
        <v/>
      </c>
    </row>
    <row r="1696" ht="15.75" customHeight="1" s="52">
      <c r="A1696" s="92">
        <f>IF('2mA'!B46&lt;&gt;"","2mA","")</f>
        <v/>
      </c>
      <c r="B1696" s="82">
        <f>IF('2mA'!B46&lt;&gt;"",'2mA'!B46,"")</f>
        <v/>
      </c>
      <c r="C1696" s="82">
        <f>IF('2mA'!B46&lt;&gt;"",'2mA'!C46,"")</f>
        <v/>
      </c>
      <c r="D1696" s="82">
        <f>IF('2mA'!B46&lt;&gt;"",'2mA'!D46,"")</f>
        <v/>
      </c>
      <c r="E1696" s="82">
        <f>IF('2mA'!B46&lt;&gt;"",'2mA'!E46,"")</f>
        <v/>
      </c>
      <c r="F1696" s="82">
        <f>IF('2mA'!B46&lt;&gt;"",'2mA'!F46,"")</f>
        <v/>
      </c>
      <c r="G1696" s="82">
        <f>IF('2mA'!B46&lt;&gt;"",'2mA'!G46,"")</f>
        <v/>
      </c>
      <c r="H1696" s="92">
        <f>IF('2mA'!B46&lt;&gt;"",'2mA'!H46,"")</f>
        <v/>
      </c>
      <c r="I1696" s="92">
        <f>IF('2mA'!B46&lt;&gt;"",'2mA'!I46,"")</f>
        <v/>
      </c>
      <c r="J1696" s="82">
        <f>IF('2mA'!B46&lt;&gt;"",'2mA'!J46,"")</f>
        <v/>
      </c>
    </row>
    <row r="1697" ht="15.75" customHeight="1" s="52">
      <c r="A1697" s="97">
        <f>IF('2mA'!B47&lt;&gt;"","2mA","")</f>
        <v/>
      </c>
      <c r="B1697" s="78">
        <f>IF('2mA'!B47&lt;&gt;"",'2mA'!B47,"")</f>
        <v/>
      </c>
      <c r="C1697" s="78">
        <f>IF('2mA'!B47&lt;&gt;"",'2mA'!C47,"")</f>
        <v/>
      </c>
      <c r="D1697" s="78">
        <f>IF('2mA'!B47&lt;&gt;"",'2mA'!D47,"")</f>
        <v/>
      </c>
      <c r="E1697" s="78">
        <f>IF('2mA'!B47&lt;&gt;"",'2mA'!E47,"")</f>
        <v/>
      </c>
      <c r="F1697" s="78">
        <f>IF('2mA'!B47&lt;&gt;"",'2mA'!F47,"")</f>
        <v/>
      </c>
      <c r="G1697" s="78">
        <f>IF('2mA'!B47&lt;&gt;"",'2mA'!G47,"")</f>
        <v/>
      </c>
      <c r="H1697" s="97">
        <f>IF('2mA'!B47&lt;&gt;"",'2mA'!H47,"")</f>
        <v/>
      </c>
      <c r="I1697" s="97">
        <f>IF('2mA'!B47&lt;&gt;"",'2mA'!I47,"")</f>
        <v/>
      </c>
      <c r="J1697" s="78">
        <f>IF('2mA'!B47&lt;&gt;"",'2mA'!J47,"")</f>
        <v/>
      </c>
    </row>
    <row r="1698" ht="15.75" customHeight="1" s="52">
      <c r="A1698" s="92">
        <f>IF('2mA'!B48&lt;&gt;"","2mA","")</f>
        <v/>
      </c>
      <c r="B1698" s="82">
        <f>IF('2mA'!B48&lt;&gt;"",'2mA'!B48,"")</f>
        <v/>
      </c>
      <c r="C1698" s="82">
        <f>IF('2mA'!B48&lt;&gt;"",'2mA'!C48,"")</f>
        <v/>
      </c>
      <c r="D1698" s="82">
        <f>IF('2mA'!B48&lt;&gt;"",'2mA'!D48,"")</f>
        <v/>
      </c>
      <c r="E1698" s="82">
        <f>IF('2mA'!B48&lt;&gt;"",'2mA'!E48,"")</f>
        <v/>
      </c>
      <c r="F1698" s="82">
        <f>IF('2mA'!B48&lt;&gt;"",'2mA'!F48,"")</f>
        <v/>
      </c>
      <c r="G1698" s="82">
        <f>IF('2mA'!B48&lt;&gt;"",'2mA'!G48,"")</f>
        <v/>
      </c>
      <c r="H1698" s="92">
        <f>IF('2mA'!B48&lt;&gt;"",'2mA'!H48,"")</f>
        <v/>
      </c>
      <c r="I1698" s="92">
        <f>IF('2mA'!B48&lt;&gt;"",'2mA'!I48,"")</f>
        <v/>
      </c>
      <c r="J1698" s="82">
        <f>IF('2mA'!B48&lt;&gt;"",'2mA'!J48,"")</f>
        <v/>
      </c>
    </row>
    <row r="1699" ht="15.75" customHeight="1" s="52">
      <c r="A1699" s="97">
        <f>IF('2mA'!B49&lt;&gt;"","2mA","")</f>
        <v/>
      </c>
      <c r="B1699" s="78">
        <f>IF('2mA'!B49&lt;&gt;"",'2mA'!B49,"")</f>
        <v/>
      </c>
      <c r="C1699" s="78">
        <f>IF('2mA'!B49&lt;&gt;"",'2mA'!C49,"")</f>
        <v/>
      </c>
      <c r="D1699" s="78">
        <f>IF('2mA'!B49&lt;&gt;"",'2mA'!D49,"")</f>
        <v/>
      </c>
      <c r="E1699" s="78">
        <f>IF('2mA'!B49&lt;&gt;"",'2mA'!E49,"")</f>
        <v/>
      </c>
      <c r="F1699" s="78">
        <f>IF('2mA'!B49&lt;&gt;"",'2mA'!F49,"")</f>
        <v/>
      </c>
      <c r="G1699" s="78">
        <f>IF('2mA'!B49&lt;&gt;"",'2mA'!G49,"")</f>
        <v/>
      </c>
      <c r="H1699" s="97">
        <f>IF('2mA'!B49&lt;&gt;"",'2mA'!H49,"")</f>
        <v/>
      </c>
      <c r="I1699" s="97">
        <f>IF('2mA'!B49&lt;&gt;"",'2mA'!I49,"")</f>
        <v/>
      </c>
      <c r="J1699" s="78">
        <f>IF('2mA'!B49&lt;&gt;"",'2mA'!J49,"")</f>
        <v/>
      </c>
    </row>
    <row r="1700" ht="15.75" customHeight="1" s="52">
      <c r="A1700" s="92">
        <f>IF('2mA'!B50&lt;&gt;"","2mA","")</f>
        <v/>
      </c>
      <c r="B1700" s="82">
        <f>IF('2mA'!B50&lt;&gt;"",'2mA'!B50,"")</f>
        <v/>
      </c>
      <c r="C1700" s="82">
        <f>IF('2mA'!B50&lt;&gt;"",'2mA'!C50,"")</f>
        <v/>
      </c>
      <c r="D1700" s="82">
        <f>IF('2mA'!B50&lt;&gt;"",'2mA'!D50,"")</f>
        <v/>
      </c>
      <c r="E1700" s="82">
        <f>IF('2mA'!B50&lt;&gt;"",'2mA'!E50,"")</f>
        <v/>
      </c>
      <c r="F1700" s="82">
        <f>IF('2mA'!B50&lt;&gt;"",'2mA'!F50,"")</f>
        <v/>
      </c>
      <c r="G1700" s="82">
        <f>IF('2mA'!B50&lt;&gt;"",'2mA'!G50,"")</f>
        <v/>
      </c>
      <c r="H1700" s="92">
        <f>IF('2mA'!B50&lt;&gt;"",'2mA'!H50,"")</f>
        <v/>
      </c>
      <c r="I1700" s="92">
        <f>IF('2mA'!B50&lt;&gt;"",'2mA'!I50,"")</f>
        <v/>
      </c>
      <c r="J1700" s="82">
        <f>IF('2mA'!B50&lt;&gt;"",'2mA'!J50,"")</f>
        <v/>
      </c>
    </row>
    <row r="1701" ht="15.75" customHeight="1" s="52">
      <c r="A1701" s="97">
        <f>IF('2mA'!B51&lt;&gt;"","2mA","")</f>
        <v/>
      </c>
      <c r="B1701" s="78">
        <f>IF('2mA'!B51&lt;&gt;"",'2mA'!B51,"")</f>
        <v/>
      </c>
      <c r="C1701" s="78">
        <f>IF('2mA'!B51&lt;&gt;"",'2mA'!C51,"")</f>
        <v/>
      </c>
      <c r="D1701" s="78">
        <f>IF('2mA'!B51&lt;&gt;"",'2mA'!D51,"")</f>
        <v/>
      </c>
      <c r="E1701" s="78">
        <f>IF('2mA'!B51&lt;&gt;"",'2mA'!E51,"")</f>
        <v/>
      </c>
      <c r="F1701" s="78">
        <f>IF('2mA'!B51&lt;&gt;"",'2mA'!F51,"")</f>
        <v/>
      </c>
      <c r="G1701" s="78">
        <f>IF('2mA'!B51&lt;&gt;"",'2mA'!G51,"")</f>
        <v/>
      </c>
      <c r="H1701" s="97">
        <f>IF('2mA'!B51&lt;&gt;"",'2mA'!H51,"")</f>
        <v/>
      </c>
      <c r="I1701" s="97">
        <f>IF('2mA'!B51&lt;&gt;"",'2mA'!I51,"")</f>
        <v/>
      </c>
      <c r="J1701" s="78">
        <f>IF('2mA'!B51&lt;&gt;"",'2mA'!J51,"")</f>
        <v/>
      </c>
    </row>
    <row r="1702" ht="15.75" customHeight="1" s="52">
      <c r="A1702" s="92">
        <f>IF('2mA'!B52&lt;&gt;"","2mA","")</f>
        <v/>
      </c>
      <c r="B1702" s="82">
        <f>IF('2mA'!B52&lt;&gt;"",'2mA'!B52,"")</f>
        <v/>
      </c>
      <c r="C1702" s="82">
        <f>IF('2mA'!B52&lt;&gt;"",'2mA'!C52,"")</f>
        <v/>
      </c>
      <c r="D1702" s="82">
        <f>IF('2mA'!B52&lt;&gt;"",'2mA'!D52,"")</f>
        <v/>
      </c>
      <c r="E1702" s="82">
        <f>IF('2mA'!B52&lt;&gt;"",'2mA'!E52,"")</f>
        <v/>
      </c>
      <c r="F1702" s="82">
        <f>IF('2mA'!B52&lt;&gt;"",'2mA'!F52,"")</f>
        <v/>
      </c>
      <c r="G1702" s="82">
        <f>IF('2mA'!B52&lt;&gt;"",'2mA'!G52,"")</f>
        <v/>
      </c>
      <c r="H1702" s="92">
        <f>IF('2mA'!B52&lt;&gt;"",'2mA'!H52,"")</f>
        <v/>
      </c>
      <c r="I1702" s="92">
        <f>IF('2mA'!B52&lt;&gt;"",'2mA'!I52,"")</f>
        <v/>
      </c>
      <c r="J1702" s="82">
        <f>IF('2mA'!B52&lt;&gt;"",'2mA'!J52,"")</f>
        <v/>
      </c>
    </row>
    <row r="1703" ht="15.75" customHeight="1" s="52">
      <c r="A1703" s="97">
        <f>IF('2mA'!B53&lt;&gt;"","2mA","")</f>
        <v/>
      </c>
      <c r="B1703" s="78">
        <f>IF('2mA'!B53&lt;&gt;"",'2mA'!B53,"")</f>
        <v/>
      </c>
      <c r="C1703" s="78">
        <f>IF('2mA'!B53&lt;&gt;"",'2mA'!C53,"")</f>
        <v/>
      </c>
      <c r="D1703" s="78">
        <f>IF('2mA'!B53&lt;&gt;"",'2mA'!D53,"")</f>
        <v/>
      </c>
      <c r="E1703" s="78">
        <f>IF('2mA'!B53&lt;&gt;"",'2mA'!E53,"")</f>
        <v/>
      </c>
      <c r="F1703" s="78">
        <f>IF('2mA'!B53&lt;&gt;"",'2mA'!F53,"")</f>
        <v/>
      </c>
      <c r="G1703" s="78">
        <f>IF('2mA'!B53&lt;&gt;"",'2mA'!G53,"")</f>
        <v/>
      </c>
      <c r="H1703" s="97">
        <f>IF('2mA'!B53&lt;&gt;"",'2mA'!H53,"")</f>
        <v/>
      </c>
      <c r="I1703" s="97">
        <f>IF('2mA'!B53&lt;&gt;"",'2mA'!I53,"")</f>
        <v/>
      </c>
      <c r="J1703" s="78">
        <f>IF('2mA'!B53&lt;&gt;"",'2mA'!J53,"")</f>
        <v/>
      </c>
    </row>
    <row r="1704" ht="15.75" customHeight="1" s="52">
      <c r="A1704" s="92">
        <f>IF('2mA'!B54&lt;&gt;"","2mA","")</f>
        <v/>
      </c>
      <c r="B1704" s="82">
        <f>IF('2mA'!B54&lt;&gt;"",'2mA'!B54,"")</f>
        <v/>
      </c>
      <c r="C1704" s="82">
        <f>IF('2mA'!B54&lt;&gt;"",'2mA'!C54,"")</f>
        <v/>
      </c>
      <c r="D1704" s="82">
        <f>IF('2mA'!B54&lt;&gt;"",'2mA'!D54,"")</f>
        <v/>
      </c>
      <c r="E1704" s="82">
        <f>IF('2mA'!B54&lt;&gt;"",'2mA'!E54,"")</f>
        <v/>
      </c>
      <c r="F1704" s="82">
        <f>IF('2mA'!B54&lt;&gt;"",'2mA'!F54,"")</f>
        <v/>
      </c>
      <c r="G1704" s="82">
        <f>IF('2mA'!B54&lt;&gt;"",'2mA'!G54,"")</f>
        <v/>
      </c>
      <c r="H1704" s="92">
        <f>IF('2mA'!B54&lt;&gt;"",'2mA'!H54,"")</f>
        <v/>
      </c>
      <c r="I1704" s="92">
        <f>IF('2mA'!B54&lt;&gt;"",'2mA'!I54,"")</f>
        <v/>
      </c>
      <c r="J1704" s="82">
        <f>IF('2mA'!B54&lt;&gt;"",'2mA'!J54,"")</f>
        <v/>
      </c>
    </row>
    <row r="1705" ht="15.75" customHeight="1" s="52">
      <c r="A1705" s="97">
        <f>IF('2mB'!B5&lt;&gt;"","2mB","")</f>
        <v/>
      </c>
      <c r="B1705" s="78">
        <f>IF('2mB'!B5&lt;&gt;"",'2mB'!B5,"")</f>
        <v/>
      </c>
      <c r="C1705" s="78">
        <f>IF('2mB'!B5&lt;&gt;"",'2mB'!C5,"")</f>
        <v/>
      </c>
      <c r="D1705" s="78">
        <f>IF('2mB'!B5&lt;&gt;"",'2mB'!D5,"")</f>
        <v/>
      </c>
      <c r="E1705" s="78">
        <f>IF('2mB'!B5&lt;&gt;"",'2mB'!E5,"")</f>
        <v/>
      </c>
      <c r="F1705" s="78">
        <f>IF('2mB'!B5&lt;&gt;"",'2mB'!F5,"")</f>
        <v/>
      </c>
      <c r="G1705" s="78">
        <f>IF('2mB'!B5&lt;&gt;"",'2mB'!G5,"")</f>
        <v/>
      </c>
      <c r="H1705" s="97">
        <f>IF('2mB'!B5&lt;&gt;"",'2mB'!H5,"")</f>
        <v/>
      </c>
      <c r="I1705" s="97">
        <f>IF('2mB'!B5&lt;&gt;"",'2mB'!I5,"")</f>
        <v/>
      </c>
      <c r="J1705" s="78">
        <f>IF('2mB'!B5&lt;&gt;"",'2mB'!J5,"")</f>
        <v/>
      </c>
    </row>
    <row r="1706" ht="15.75" customHeight="1" s="52">
      <c r="A1706" s="92">
        <f>IF('2mB'!B6&lt;&gt;"","2mB","")</f>
        <v/>
      </c>
      <c r="B1706" s="82">
        <f>IF('2mB'!B6&lt;&gt;"",'2mB'!B6,"")</f>
        <v/>
      </c>
      <c r="C1706" s="82">
        <f>IF('2mB'!B6&lt;&gt;"",'2mB'!C6,"")</f>
        <v/>
      </c>
      <c r="D1706" s="82">
        <f>IF('2mB'!B6&lt;&gt;"",'2mB'!D6,"")</f>
        <v/>
      </c>
      <c r="E1706" s="82">
        <f>IF('2mB'!B6&lt;&gt;"",'2mB'!E6,"")</f>
        <v/>
      </c>
      <c r="F1706" s="82">
        <f>IF('2mB'!B6&lt;&gt;"",'2mB'!F6,"")</f>
        <v/>
      </c>
      <c r="G1706" s="82">
        <f>IF('2mB'!B6&lt;&gt;"",'2mB'!G6,"")</f>
        <v/>
      </c>
      <c r="H1706" s="92">
        <f>IF('2mB'!B6&lt;&gt;"",'2mB'!H6,"")</f>
        <v/>
      </c>
      <c r="I1706" s="92">
        <f>IF('2mB'!B6&lt;&gt;"",'2mB'!I6,"")</f>
        <v/>
      </c>
      <c r="J1706" s="82">
        <f>IF('2mB'!B6&lt;&gt;"",'2mB'!J6,"")</f>
        <v/>
      </c>
    </row>
    <row r="1707" ht="15.75" customHeight="1" s="52">
      <c r="A1707" s="97">
        <f>IF('2mB'!B7&lt;&gt;"","2mB","")</f>
        <v/>
      </c>
      <c r="B1707" s="78">
        <f>IF('2mB'!B7&lt;&gt;"",'2mB'!B7,"")</f>
        <v/>
      </c>
      <c r="C1707" s="78">
        <f>IF('2mB'!B7&lt;&gt;"",'2mB'!C7,"")</f>
        <v/>
      </c>
      <c r="D1707" s="78">
        <f>IF('2mB'!B7&lt;&gt;"",'2mB'!D7,"")</f>
        <v/>
      </c>
      <c r="E1707" s="78">
        <f>IF('2mB'!B7&lt;&gt;"",'2mB'!E7,"")</f>
        <v/>
      </c>
      <c r="F1707" s="78">
        <f>IF('2mB'!B7&lt;&gt;"",'2mB'!F7,"")</f>
        <v/>
      </c>
      <c r="G1707" s="78">
        <f>IF('2mB'!B7&lt;&gt;"",'2mB'!G7,"")</f>
        <v/>
      </c>
      <c r="H1707" s="97">
        <f>IF('2mB'!B7&lt;&gt;"",'2mB'!H7,"")</f>
        <v/>
      </c>
      <c r="I1707" s="97">
        <f>IF('2mB'!B7&lt;&gt;"",'2mB'!I7,"")</f>
        <v/>
      </c>
      <c r="J1707" s="78">
        <f>IF('2mB'!B7&lt;&gt;"",'2mB'!J7,"")</f>
        <v/>
      </c>
    </row>
    <row r="1708" ht="15.75" customHeight="1" s="52">
      <c r="A1708" s="92">
        <f>IF('2mB'!B8&lt;&gt;"","2mB","")</f>
        <v/>
      </c>
      <c r="B1708" s="82">
        <f>IF('2mB'!B8&lt;&gt;"",'2mB'!B8,"")</f>
        <v/>
      </c>
      <c r="C1708" s="82">
        <f>IF('2mB'!B8&lt;&gt;"",'2mB'!C8,"")</f>
        <v/>
      </c>
      <c r="D1708" s="82">
        <f>IF('2mB'!B8&lt;&gt;"",'2mB'!D8,"")</f>
        <v/>
      </c>
      <c r="E1708" s="82">
        <f>IF('2mB'!B8&lt;&gt;"",'2mB'!E8,"")</f>
        <v/>
      </c>
      <c r="F1708" s="82">
        <f>IF('2mB'!B8&lt;&gt;"",'2mB'!F8,"")</f>
        <v/>
      </c>
      <c r="G1708" s="82">
        <f>IF('2mB'!B8&lt;&gt;"",'2mB'!G8,"")</f>
        <v/>
      </c>
      <c r="H1708" s="92">
        <f>IF('2mB'!B8&lt;&gt;"",'2mB'!H8,"")</f>
        <v/>
      </c>
      <c r="I1708" s="92">
        <f>IF('2mB'!B8&lt;&gt;"",'2mB'!I8,"")</f>
        <v/>
      </c>
      <c r="J1708" s="82">
        <f>IF('2mB'!B8&lt;&gt;"",'2mB'!J8,"")</f>
        <v/>
      </c>
    </row>
    <row r="1709" ht="15.75" customHeight="1" s="52">
      <c r="A1709" s="97">
        <f>IF('2mB'!B9&lt;&gt;"","2mB","")</f>
        <v/>
      </c>
      <c r="B1709" s="78">
        <f>IF('2mB'!B9&lt;&gt;"",'2mB'!B9,"")</f>
        <v/>
      </c>
      <c r="C1709" s="78">
        <f>IF('2mB'!B9&lt;&gt;"",'2mB'!C9,"")</f>
        <v/>
      </c>
      <c r="D1709" s="78">
        <f>IF('2mB'!B9&lt;&gt;"",'2mB'!D9,"")</f>
        <v/>
      </c>
      <c r="E1709" s="78">
        <f>IF('2mB'!B9&lt;&gt;"",'2mB'!E9,"")</f>
        <v/>
      </c>
      <c r="F1709" s="78">
        <f>IF('2mB'!B9&lt;&gt;"",'2mB'!F9,"")</f>
        <v/>
      </c>
      <c r="G1709" s="78">
        <f>IF('2mB'!B9&lt;&gt;"",'2mB'!G9,"")</f>
        <v/>
      </c>
      <c r="H1709" s="97">
        <f>IF('2mB'!B9&lt;&gt;"",'2mB'!H9,"")</f>
        <v/>
      </c>
      <c r="I1709" s="97">
        <f>IF('2mB'!B9&lt;&gt;"",'2mB'!I9,"")</f>
        <v/>
      </c>
      <c r="J1709" s="78">
        <f>IF('2mB'!B9&lt;&gt;"",'2mB'!J9,"")</f>
        <v/>
      </c>
    </row>
    <row r="1710" ht="15.75" customHeight="1" s="52">
      <c r="A1710" s="92">
        <f>IF('2mB'!B10&lt;&gt;"","2mB","")</f>
        <v/>
      </c>
      <c r="B1710" s="82">
        <f>IF('2mB'!B10&lt;&gt;"",'2mB'!B10,"")</f>
        <v/>
      </c>
      <c r="C1710" s="82">
        <f>IF('2mB'!B10&lt;&gt;"",'2mB'!C10,"")</f>
        <v/>
      </c>
      <c r="D1710" s="82">
        <f>IF('2mB'!B10&lt;&gt;"",'2mB'!D10,"")</f>
        <v/>
      </c>
      <c r="E1710" s="82">
        <f>IF('2mB'!B10&lt;&gt;"",'2mB'!E10,"")</f>
        <v/>
      </c>
      <c r="F1710" s="82">
        <f>IF('2mB'!B10&lt;&gt;"",'2mB'!F10,"")</f>
        <v/>
      </c>
      <c r="G1710" s="82">
        <f>IF('2mB'!B10&lt;&gt;"",'2mB'!G10,"")</f>
        <v/>
      </c>
      <c r="H1710" s="92">
        <f>IF('2mB'!B10&lt;&gt;"",'2mB'!H10,"")</f>
        <v/>
      </c>
      <c r="I1710" s="92">
        <f>IF('2mB'!B10&lt;&gt;"",'2mB'!I10,"")</f>
        <v/>
      </c>
      <c r="J1710" s="82">
        <f>IF('2mB'!B10&lt;&gt;"",'2mB'!J10,"")</f>
        <v/>
      </c>
    </row>
    <row r="1711" ht="15.75" customHeight="1" s="52">
      <c r="A1711" s="97">
        <f>IF('2mB'!B11&lt;&gt;"","2mB","")</f>
        <v/>
      </c>
      <c r="B1711" s="78">
        <f>IF('2mB'!B11&lt;&gt;"",'2mB'!B11,"")</f>
        <v/>
      </c>
      <c r="C1711" s="78">
        <f>IF('2mB'!B11&lt;&gt;"",'2mB'!C11,"")</f>
        <v/>
      </c>
      <c r="D1711" s="78">
        <f>IF('2mB'!B11&lt;&gt;"",'2mB'!D11,"")</f>
        <v/>
      </c>
      <c r="E1711" s="78">
        <f>IF('2mB'!B11&lt;&gt;"",'2mB'!E11,"")</f>
        <v/>
      </c>
      <c r="F1711" s="78">
        <f>IF('2mB'!B11&lt;&gt;"",'2mB'!F11,"")</f>
        <v/>
      </c>
      <c r="G1711" s="78">
        <f>IF('2mB'!B11&lt;&gt;"",'2mB'!G11,"")</f>
        <v/>
      </c>
      <c r="H1711" s="97">
        <f>IF('2mB'!B11&lt;&gt;"",'2mB'!H11,"")</f>
        <v/>
      </c>
      <c r="I1711" s="97">
        <f>IF('2mB'!B11&lt;&gt;"",'2mB'!I11,"")</f>
        <v/>
      </c>
      <c r="J1711" s="78">
        <f>IF('2mB'!B11&lt;&gt;"",'2mB'!J11,"")</f>
        <v/>
      </c>
    </row>
    <row r="1712" ht="15.75" customHeight="1" s="52">
      <c r="A1712" s="92">
        <f>IF('2mB'!B12&lt;&gt;"","2mB","")</f>
        <v/>
      </c>
      <c r="B1712" s="82">
        <f>IF('2mB'!B12&lt;&gt;"",'2mB'!B12,"")</f>
        <v/>
      </c>
      <c r="C1712" s="82">
        <f>IF('2mB'!B12&lt;&gt;"",'2mB'!C12,"")</f>
        <v/>
      </c>
      <c r="D1712" s="82">
        <f>IF('2mB'!B12&lt;&gt;"",'2mB'!D12,"")</f>
        <v/>
      </c>
      <c r="E1712" s="82">
        <f>IF('2mB'!B12&lt;&gt;"",'2mB'!E12,"")</f>
        <v/>
      </c>
      <c r="F1712" s="82">
        <f>IF('2mB'!B12&lt;&gt;"",'2mB'!F12,"")</f>
        <v/>
      </c>
      <c r="G1712" s="82">
        <f>IF('2mB'!B12&lt;&gt;"",'2mB'!G12,"")</f>
        <v/>
      </c>
      <c r="H1712" s="92">
        <f>IF('2mB'!B12&lt;&gt;"",'2mB'!H12,"")</f>
        <v/>
      </c>
      <c r="I1712" s="92">
        <f>IF('2mB'!B12&lt;&gt;"",'2mB'!I12,"")</f>
        <v/>
      </c>
      <c r="J1712" s="82">
        <f>IF('2mB'!B12&lt;&gt;"",'2mB'!J12,"")</f>
        <v/>
      </c>
    </row>
    <row r="1713" ht="15.75" customHeight="1" s="52">
      <c r="A1713" s="97">
        <f>IF('2mB'!B13&lt;&gt;"","2mB","")</f>
        <v/>
      </c>
      <c r="B1713" s="78">
        <f>IF('2mB'!B13&lt;&gt;"",'2mB'!B13,"")</f>
        <v/>
      </c>
      <c r="C1713" s="78">
        <f>IF('2mB'!B13&lt;&gt;"",'2mB'!C13,"")</f>
        <v/>
      </c>
      <c r="D1713" s="78">
        <f>IF('2mB'!B13&lt;&gt;"",'2mB'!D13,"")</f>
        <v/>
      </c>
      <c r="E1713" s="78">
        <f>IF('2mB'!B13&lt;&gt;"",'2mB'!E13,"")</f>
        <v/>
      </c>
      <c r="F1713" s="78">
        <f>IF('2mB'!B13&lt;&gt;"",'2mB'!F13,"")</f>
        <v/>
      </c>
      <c r="G1713" s="78">
        <f>IF('2mB'!B13&lt;&gt;"",'2mB'!G13,"")</f>
        <v/>
      </c>
      <c r="H1713" s="97">
        <f>IF('2mB'!B13&lt;&gt;"",'2mB'!H13,"")</f>
        <v/>
      </c>
      <c r="I1713" s="97">
        <f>IF('2mB'!B13&lt;&gt;"",'2mB'!I13,"")</f>
        <v/>
      </c>
      <c r="J1713" s="78">
        <f>IF('2mB'!B13&lt;&gt;"",'2mB'!J13,"")</f>
        <v/>
      </c>
    </row>
    <row r="1714" ht="15.75" customHeight="1" s="52">
      <c r="A1714" s="92">
        <f>IF('2mB'!B14&lt;&gt;"","2mB","")</f>
        <v/>
      </c>
      <c r="B1714" s="82">
        <f>IF('2mB'!B14&lt;&gt;"",'2mB'!B14,"")</f>
        <v/>
      </c>
      <c r="C1714" s="82">
        <f>IF('2mB'!B14&lt;&gt;"",'2mB'!C14,"")</f>
        <v/>
      </c>
      <c r="D1714" s="82">
        <f>IF('2mB'!B14&lt;&gt;"",'2mB'!D14,"")</f>
        <v/>
      </c>
      <c r="E1714" s="82">
        <f>IF('2mB'!B14&lt;&gt;"",'2mB'!E14,"")</f>
        <v/>
      </c>
      <c r="F1714" s="82">
        <f>IF('2mB'!B14&lt;&gt;"",'2mB'!F14,"")</f>
        <v/>
      </c>
      <c r="G1714" s="82">
        <f>IF('2mB'!B14&lt;&gt;"",'2mB'!G14,"")</f>
        <v/>
      </c>
      <c r="H1714" s="92">
        <f>IF('2mB'!B14&lt;&gt;"",'2mB'!H14,"")</f>
        <v/>
      </c>
      <c r="I1714" s="92">
        <f>IF('2mB'!B14&lt;&gt;"",'2mB'!I14,"")</f>
        <v/>
      </c>
      <c r="J1714" s="82">
        <f>IF('2mB'!B14&lt;&gt;"",'2mB'!J14,"")</f>
        <v/>
      </c>
    </row>
    <row r="1715" ht="15.75" customHeight="1" s="52">
      <c r="A1715" s="97">
        <f>IF('2mB'!B15&lt;&gt;"","2mB","")</f>
        <v/>
      </c>
      <c r="B1715" s="78">
        <f>IF('2mB'!B15&lt;&gt;"",'2mB'!B15,"")</f>
        <v/>
      </c>
      <c r="C1715" s="78">
        <f>IF('2mB'!B15&lt;&gt;"",'2mB'!C15,"")</f>
        <v/>
      </c>
      <c r="D1715" s="78">
        <f>IF('2mB'!B15&lt;&gt;"",'2mB'!D15,"")</f>
        <v/>
      </c>
      <c r="E1715" s="78">
        <f>IF('2mB'!B15&lt;&gt;"",'2mB'!E15,"")</f>
        <v/>
      </c>
      <c r="F1715" s="78">
        <f>IF('2mB'!B15&lt;&gt;"",'2mB'!F15,"")</f>
        <v/>
      </c>
      <c r="G1715" s="78">
        <f>IF('2mB'!B15&lt;&gt;"",'2mB'!G15,"")</f>
        <v/>
      </c>
      <c r="H1715" s="97">
        <f>IF('2mB'!B15&lt;&gt;"",'2mB'!H15,"")</f>
        <v/>
      </c>
      <c r="I1715" s="97">
        <f>IF('2mB'!B15&lt;&gt;"",'2mB'!I15,"")</f>
        <v/>
      </c>
      <c r="J1715" s="78">
        <f>IF('2mB'!B15&lt;&gt;"",'2mB'!J15,"")</f>
        <v/>
      </c>
    </row>
    <row r="1716" ht="15.75" customHeight="1" s="52">
      <c r="A1716" s="92">
        <f>IF('2mB'!B16&lt;&gt;"","2mB","")</f>
        <v/>
      </c>
      <c r="B1716" s="82">
        <f>IF('2mB'!B16&lt;&gt;"",'2mB'!B16,"")</f>
        <v/>
      </c>
      <c r="C1716" s="82">
        <f>IF('2mB'!B16&lt;&gt;"",'2mB'!C16,"")</f>
        <v/>
      </c>
      <c r="D1716" s="82">
        <f>IF('2mB'!B16&lt;&gt;"",'2mB'!D16,"")</f>
        <v/>
      </c>
      <c r="E1716" s="82">
        <f>IF('2mB'!B16&lt;&gt;"",'2mB'!E16,"")</f>
        <v/>
      </c>
      <c r="F1716" s="82">
        <f>IF('2mB'!B16&lt;&gt;"",'2mB'!F16,"")</f>
        <v/>
      </c>
      <c r="G1716" s="82">
        <f>IF('2mB'!B16&lt;&gt;"",'2mB'!G16,"")</f>
        <v/>
      </c>
      <c r="H1716" s="92">
        <f>IF('2mB'!B16&lt;&gt;"",'2mB'!H16,"")</f>
        <v/>
      </c>
      <c r="I1716" s="92">
        <f>IF('2mB'!B16&lt;&gt;"",'2mB'!I16,"")</f>
        <v/>
      </c>
      <c r="J1716" s="82">
        <f>IF('2mB'!B16&lt;&gt;"",'2mB'!J16,"")</f>
        <v/>
      </c>
    </row>
    <row r="1717" ht="15.75" customHeight="1" s="52">
      <c r="A1717" s="97">
        <f>IF('2mB'!B17&lt;&gt;"","2mB","")</f>
        <v/>
      </c>
      <c r="B1717" s="78">
        <f>IF('2mB'!B17&lt;&gt;"",'2mB'!B17,"")</f>
        <v/>
      </c>
      <c r="C1717" s="78">
        <f>IF('2mB'!B17&lt;&gt;"",'2mB'!C17,"")</f>
        <v/>
      </c>
      <c r="D1717" s="78">
        <f>IF('2mB'!B17&lt;&gt;"",'2mB'!D17,"")</f>
        <v/>
      </c>
      <c r="E1717" s="78">
        <f>IF('2mB'!B17&lt;&gt;"",'2mB'!E17,"")</f>
        <v/>
      </c>
      <c r="F1717" s="78">
        <f>IF('2mB'!B17&lt;&gt;"",'2mB'!F17,"")</f>
        <v/>
      </c>
      <c r="G1717" s="78">
        <f>IF('2mB'!B17&lt;&gt;"",'2mB'!G17,"")</f>
        <v/>
      </c>
      <c r="H1717" s="97">
        <f>IF('2mB'!B17&lt;&gt;"",'2mB'!H17,"")</f>
        <v/>
      </c>
      <c r="I1717" s="97">
        <f>IF('2mB'!B17&lt;&gt;"",'2mB'!I17,"")</f>
        <v/>
      </c>
      <c r="J1717" s="78">
        <f>IF('2mB'!B17&lt;&gt;"",'2mB'!J17,"")</f>
        <v/>
      </c>
    </row>
    <row r="1718" ht="15.75" customHeight="1" s="52">
      <c r="A1718" s="92">
        <f>IF('2mB'!B18&lt;&gt;"","2mB","")</f>
        <v/>
      </c>
      <c r="B1718" s="82">
        <f>IF('2mB'!B18&lt;&gt;"",'2mB'!B18,"")</f>
        <v/>
      </c>
      <c r="C1718" s="82">
        <f>IF('2mB'!B18&lt;&gt;"",'2mB'!C18,"")</f>
        <v/>
      </c>
      <c r="D1718" s="82">
        <f>IF('2mB'!B18&lt;&gt;"",'2mB'!D18,"")</f>
        <v/>
      </c>
      <c r="E1718" s="82">
        <f>IF('2mB'!B18&lt;&gt;"",'2mB'!E18,"")</f>
        <v/>
      </c>
      <c r="F1718" s="82">
        <f>IF('2mB'!B18&lt;&gt;"",'2mB'!F18,"")</f>
        <v/>
      </c>
      <c r="G1718" s="82">
        <f>IF('2mB'!B18&lt;&gt;"",'2mB'!G18,"")</f>
        <v/>
      </c>
      <c r="H1718" s="92">
        <f>IF('2mB'!B18&lt;&gt;"",'2mB'!H18,"")</f>
        <v/>
      </c>
      <c r="I1718" s="92">
        <f>IF('2mB'!B18&lt;&gt;"",'2mB'!I18,"")</f>
        <v/>
      </c>
      <c r="J1718" s="82">
        <f>IF('2mB'!B18&lt;&gt;"",'2mB'!J18,"")</f>
        <v/>
      </c>
    </row>
    <row r="1719" ht="15.75" customHeight="1" s="52">
      <c r="A1719" s="97">
        <f>IF('2mB'!B19&lt;&gt;"","2mB","")</f>
        <v/>
      </c>
      <c r="B1719" s="78">
        <f>IF('2mB'!B19&lt;&gt;"",'2mB'!B19,"")</f>
        <v/>
      </c>
      <c r="C1719" s="78">
        <f>IF('2mB'!B19&lt;&gt;"",'2mB'!C19,"")</f>
        <v/>
      </c>
      <c r="D1719" s="78">
        <f>IF('2mB'!B19&lt;&gt;"",'2mB'!D19,"")</f>
        <v/>
      </c>
      <c r="E1719" s="78">
        <f>IF('2mB'!B19&lt;&gt;"",'2mB'!E19,"")</f>
        <v/>
      </c>
      <c r="F1719" s="78">
        <f>IF('2mB'!B19&lt;&gt;"",'2mB'!F19,"")</f>
        <v/>
      </c>
      <c r="G1719" s="78">
        <f>IF('2mB'!B19&lt;&gt;"",'2mB'!G19,"")</f>
        <v/>
      </c>
      <c r="H1719" s="97">
        <f>IF('2mB'!B19&lt;&gt;"",'2mB'!H19,"")</f>
        <v/>
      </c>
      <c r="I1719" s="97">
        <f>IF('2mB'!B19&lt;&gt;"",'2mB'!I19,"")</f>
        <v/>
      </c>
      <c r="J1719" s="78">
        <f>IF('2mB'!B19&lt;&gt;"",'2mB'!J19,"")</f>
        <v/>
      </c>
    </row>
    <row r="1720" ht="15.75" customHeight="1" s="52">
      <c r="A1720" s="92">
        <f>IF('2mB'!B20&lt;&gt;"","2mB","")</f>
        <v/>
      </c>
      <c r="B1720" s="82">
        <f>IF('2mB'!B20&lt;&gt;"",'2mB'!B20,"")</f>
        <v/>
      </c>
      <c r="C1720" s="82">
        <f>IF('2mB'!B20&lt;&gt;"",'2mB'!C20,"")</f>
        <v/>
      </c>
      <c r="D1720" s="82">
        <f>IF('2mB'!B20&lt;&gt;"",'2mB'!D20,"")</f>
        <v/>
      </c>
      <c r="E1720" s="82">
        <f>IF('2mB'!B20&lt;&gt;"",'2mB'!E20,"")</f>
        <v/>
      </c>
      <c r="F1720" s="82">
        <f>IF('2mB'!B20&lt;&gt;"",'2mB'!F20,"")</f>
        <v/>
      </c>
      <c r="G1720" s="82">
        <f>IF('2mB'!B20&lt;&gt;"",'2mB'!G20,"")</f>
        <v/>
      </c>
      <c r="H1720" s="92">
        <f>IF('2mB'!B20&lt;&gt;"",'2mB'!H20,"")</f>
        <v/>
      </c>
      <c r="I1720" s="92">
        <f>IF('2mB'!B20&lt;&gt;"",'2mB'!I20,"")</f>
        <v/>
      </c>
      <c r="J1720" s="82">
        <f>IF('2mB'!B20&lt;&gt;"",'2mB'!J20,"")</f>
        <v/>
      </c>
    </row>
    <row r="1721" ht="15.75" customHeight="1" s="52">
      <c r="A1721" s="97">
        <f>IF('2mB'!B21&lt;&gt;"","2mB","")</f>
        <v/>
      </c>
      <c r="B1721" s="78">
        <f>IF('2mB'!B21&lt;&gt;"",'2mB'!B21,"")</f>
        <v/>
      </c>
      <c r="C1721" s="78">
        <f>IF('2mB'!B21&lt;&gt;"",'2mB'!C21,"")</f>
        <v/>
      </c>
      <c r="D1721" s="78">
        <f>IF('2mB'!B21&lt;&gt;"",'2mB'!D21,"")</f>
        <v/>
      </c>
      <c r="E1721" s="78">
        <f>IF('2mB'!B21&lt;&gt;"",'2mB'!E21,"")</f>
        <v/>
      </c>
      <c r="F1721" s="78">
        <f>IF('2mB'!B21&lt;&gt;"",'2mB'!F21,"")</f>
        <v/>
      </c>
      <c r="G1721" s="78">
        <f>IF('2mB'!B21&lt;&gt;"",'2mB'!G21,"")</f>
        <v/>
      </c>
      <c r="H1721" s="97">
        <f>IF('2mB'!B21&lt;&gt;"",'2mB'!H21,"")</f>
        <v/>
      </c>
      <c r="I1721" s="97">
        <f>IF('2mB'!B21&lt;&gt;"",'2mB'!I21,"")</f>
        <v/>
      </c>
      <c r="J1721" s="78">
        <f>IF('2mB'!B21&lt;&gt;"",'2mB'!J21,"")</f>
        <v/>
      </c>
    </row>
    <row r="1722" ht="15.75" customHeight="1" s="52">
      <c r="A1722" s="92">
        <f>IF('2mB'!B22&lt;&gt;"","2mB","")</f>
        <v/>
      </c>
      <c r="B1722" s="82">
        <f>IF('2mB'!B22&lt;&gt;"",'2mB'!B22,"")</f>
        <v/>
      </c>
      <c r="C1722" s="82">
        <f>IF('2mB'!B22&lt;&gt;"",'2mB'!C22,"")</f>
        <v/>
      </c>
      <c r="D1722" s="82">
        <f>IF('2mB'!B22&lt;&gt;"",'2mB'!D22,"")</f>
        <v/>
      </c>
      <c r="E1722" s="82">
        <f>IF('2mB'!B22&lt;&gt;"",'2mB'!E22,"")</f>
        <v/>
      </c>
      <c r="F1722" s="82">
        <f>IF('2mB'!B22&lt;&gt;"",'2mB'!F22,"")</f>
        <v/>
      </c>
      <c r="G1722" s="82">
        <f>IF('2mB'!B22&lt;&gt;"",'2mB'!G22,"")</f>
        <v/>
      </c>
      <c r="H1722" s="92">
        <f>IF('2mB'!B22&lt;&gt;"",'2mB'!H22,"")</f>
        <v/>
      </c>
      <c r="I1722" s="92">
        <f>IF('2mB'!B22&lt;&gt;"",'2mB'!I22,"")</f>
        <v/>
      </c>
      <c r="J1722" s="82">
        <f>IF('2mB'!B22&lt;&gt;"",'2mB'!J22,"")</f>
        <v/>
      </c>
    </row>
    <row r="1723" ht="15.75" customHeight="1" s="52">
      <c r="A1723" s="97">
        <f>IF('2mB'!B23&lt;&gt;"","2mB","")</f>
        <v/>
      </c>
      <c r="B1723" s="78">
        <f>IF('2mB'!B23&lt;&gt;"",'2mB'!B23,"")</f>
        <v/>
      </c>
      <c r="C1723" s="78">
        <f>IF('2mB'!B23&lt;&gt;"",'2mB'!C23,"")</f>
        <v/>
      </c>
      <c r="D1723" s="78">
        <f>IF('2mB'!B23&lt;&gt;"",'2mB'!D23,"")</f>
        <v/>
      </c>
      <c r="E1723" s="78">
        <f>IF('2mB'!B23&lt;&gt;"",'2mB'!E23,"")</f>
        <v/>
      </c>
      <c r="F1723" s="78">
        <f>IF('2mB'!B23&lt;&gt;"",'2mB'!F23,"")</f>
        <v/>
      </c>
      <c r="G1723" s="78">
        <f>IF('2mB'!B23&lt;&gt;"",'2mB'!G23,"")</f>
        <v/>
      </c>
      <c r="H1723" s="97">
        <f>IF('2mB'!B23&lt;&gt;"",'2mB'!H23,"")</f>
        <v/>
      </c>
      <c r="I1723" s="97">
        <f>IF('2mB'!B23&lt;&gt;"",'2mB'!I23,"")</f>
        <v/>
      </c>
      <c r="J1723" s="78">
        <f>IF('2mB'!B23&lt;&gt;"",'2mB'!J23,"")</f>
        <v/>
      </c>
    </row>
    <row r="1724" ht="15.75" customHeight="1" s="52">
      <c r="A1724" s="92">
        <f>IF('2mB'!B24&lt;&gt;"","2mB","")</f>
        <v/>
      </c>
      <c r="B1724" s="82">
        <f>IF('2mB'!B24&lt;&gt;"",'2mB'!B24,"")</f>
        <v/>
      </c>
      <c r="C1724" s="82">
        <f>IF('2mB'!B24&lt;&gt;"",'2mB'!C24,"")</f>
        <v/>
      </c>
      <c r="D1724" s="82">
        <f>IF('2mB'!B24&lt;&gt;"",'2mB'!D24,"")</f>
        <v/>
      </c>
      <c r="E1724" s="82">
        <f>IF('2mB'!B24&lt;&gt;"",'2mB'!E24,"")</f>
        <v/>
      </c>
      <c r="F1724" s="82">
        <f>IF('2mB'!B24&lt;&gt;"",'2mB'!F24,"")</f>
        <v/>
      </c>
      <c r="G1724" s="82">
        <f>IF('2mB'!B24&lt;&gt;"",'2mB'!G24,"")</f>
        <v/>
      </c>
      <c r="H1724" s="92">
        <f>IF('2mB'!B24&lt;&gt;"",'2mB'!H24,"")</f>
        <v/>
      </c>
      <c r="I1724" s="92">
        <f>IF('2mB'!B24&lt;&gt;"",'2mB'!I24,"")</f>
        <v/>
      </c>
      <c r="J1724" s="82">
        <f>IF('2mB'!B24&lt;&gt;"",'2mB'!J24,"")</f>
        <v/>
      </c>
    </row>
    <row r="1725" ht="15.75" customHeight="1" s="52">
      <c r="A1725" s="97">
        <f>IF('2mB'!B25&lt;&gt;"","2mB","")</f>
        <v/>
      </c>
      <c r="B1725" s="78">
        <f>IF('2mB'!B25&lt;&gt;"",'2mB'!B25,"")</f>
        <v/>
      </c>
      <c r="C1725" s="78">
        <f>IF('2mB'!B25&lt;&gt;"",'2mB'!C25,"")</f>
        <v/>
      </c>
      <c r="D1725" s="78">
        <f>IF('2mB'!B25&lt;&gt;"",'2mB'!D25,"")</f>
        <v/>
      </c>
      <c r="E1725" s="78">
        <f>IF('2mB'!B25&lt;&gt;"",'2mB'!E25,"")</f>
        <v/>
      </c>
      <c r="F1725" s="78">
        <f>IF('2mB'!B25&lt;&gt;"",'2mB'!F25,"")</f>
        <v/>
      </c>
      <c r="G1725" s="78">
        <f>IF('2mB'!B25&lt;&gt;"",'2mB'!G25,"")</f>
        <v/>
      </c>
      <c r="H1725" s="97">
        <f>IF('2mB'!B25&lt;&gt;"",'2mB'!H25,"")</f>
        <v/>
      </c>
      <c r="I1725" s="97">
        <f>IF('2mB'!B25&lt;&gt;"",'2mB'!I25,"")</f>
        <v/>
      </c>
      <c r="J1725" s="78">
        <f>IF('2mB'!B25&lt;&gt;"",'2mB'!J25,"")</f>
        <v/>
      </c>
    </row>
    <row r="1726" ht="15.75" customHeight="1" s="52">
      <c r="A1726" s="92">
        <f>IF('2mB'!B26&lt;&gt;"","2mB","")</f>
        <v/>
      </c>
      <c r="B1726" s="82">
        <f>IF('2mB'!B26&lt;&gt;"",'2mB'!B26,"")</f>
        <v/>
      </c>
      <c r="C1726" s="82">
        <f>IF('2mB'!B26&lt;&gt;"",'2mB'!C26,"")</f>
        <v/>
      </c>
      <c r="D1726" s="82">
        <f>IF('2mB'!B26&lt;&gt;"",'2mB'!D26,"")</f>
        <v/>
      </c>
      <c r="E1726" s="82">
        <f>IF('2mB'!B26&lt;&gt;"",'2mB'!E26,"")</f>
        <v/>
      </c>
      <c r="F1726" s="82">
        <f>IF('2mB'!B26&lt;&gt;"",'2mB'!F26,"")</f>
        <v/>
      </c>
      <c r="G1726" s="82">
        <f>IF('2mB'!B26&lt;&gt;"",'2mB'!G26,"")</f>
        <v/>
      </c>
      <c r="H1726" s="92">
        <f>IF('2mB'!B26&lt;&gt;"",'2mB'!H26,"")</f>
        <v/>
      </c>
      <c r="I1726" s="92">
        <f>IF('2mB'!B26&lt;&gt;"",'2mB'!I26,"")</f>
        <v/>
      </c>
      <c r="J1726" s="82">
        <f>IF('2mB'!B26&lt;&gt;"",'2mB'!J26,"")</f>
        <v/>
      </c>
    </row>
    <row r="1727" ht="15.75" customHeight="1" s="52">
      <c r="A1727" s="97">
        <f>IF('2mB'!B27&lt;&gt;"","2mB","")</f>
        <v/>
      </c>
      <c r="B1727" s="78">
        <f>IF('2mB'!B27&lt;&gt;"",'2mB'!B27,"")</f>
        <v/>
      </c>
      <c r="C1727" s="78">
        <f>IF('2mB'!B27&lt;&gt;"",'2mB'!C27,"")</f>
        <v/>
      </c>
      <c r="D1727" s="78">
        <f>IF('2mB'!B27&lt;&gt;"",'2mB'!D27,"")</f>
        <v/>
      </c>
      <c r="E1727" s="78">
        <f>IF('2mB'!B27&lt;&gt;"",'2mB'!E27,"")</f>
        <v/>
      </c>
      <c r="F1727" s="78">
        <f>IF('2mB'!B27&lt;&gt;"",'2mB'!F27,"")</f>
        <v/>
      </c>
      <c r="G1727" s="78">
        <f>IF('2mB'!B27&lt;&gt;"",'2mB'!G27,"")</f>
        <v/>
      </c>
      <c r="H1727" s="97">
        <f>IF('2mB'!B27&lt;&gt;"",'2mB'!H27,"")</f>
        <v/>
      </c>
      <c r="I1727" s="97">
        <f>IF('2mB'!B27&lt;&gt;"",'2mB'!I27,"")</f>
        <v/>
      </c>
      <c r="J1727" s="78">
        <f>IF('2mB'!B27&lt;&gt;"",'2mB'!J27,"")</f>
        <v/>
      </c>
    </row>
    <row r="1728" ht="15.75" customHeight="1" s="52">
      <c r="A1728" s="92">
        <f>IF('2mB'!B28&lt;&gt;"","2mB","")</f>
        <v/>
      </c>
      <c r="B1728" s="82">
        <f>IF('2mB'!B28&lt;&gt;"",'2mB'!B28,"")</f>
        <v/>
      </c>
      <c r="C1728" s="82">
        <f>IF('2mB'!B28&lt;&gt;"",'2mB'!C28,"")</f>
        <v/>
      </c>
      <c r="D1728" s="82">
        <f>IF('2mB'!B28&lt;&gt;"",'2mB'!D28,"")</f>
        <v/>
      </c>
      <c r="E1728" s="82">
        <f>IF('2mB'!B28&lt;&gt;"",'2mB'!E28,"")</f>
        <v/>
      </c>
      <c r="F1728" s="82">
        <f>IF('2mB'!B28&lt;&gt;"",'2mB'!F28,"")</f>
        <v/>
      </c>
      <c r="G1728" s="82">
        <f>IF('2mB'!B28&lt;&gt;"",'2mB'!G28,"")</f>
        <v/>
      </c>
      <c r="H1728" s="92">
        <f>IF('2mB'!B28&lt;&gt;"",'2mB'!H28,"")</f>
        <v/>
      </c>
      <c r="I1728" s="92">
        <f>IF('2mB'!B28&lt;&gt;"",'2mB'!I28,"")</f>
        <v/>
      </c>
      <c r="J1728" s="82">
        <f>IF('2mB'!B28&lt;&gt;"",'2mB'!J28,"")</f>
        <v/>
      </c>
    </row>
    <row r="1729" ht="15.75" customHeight="1" s="52">
      <c r="A1729" s="97">
        <f>IF('2mB'!B29&lt;&gt;"","2mB","")</f>
        <v/>
      </c>
      <c r="B1729" s="78">
        <f>IF('2mB'!B29&lt;&gt;"",'2mB'!B29,"")</f>
        <v/>
      </c>
      <c r="C1729" s="78">
        <f>IF('2mB'!B29&lt;&gt;"",'2mB'!C29,"")</f>
        <v/>
      </c>
      <c r="D1729" s="78">
        <f>IF('2mB'!B29&lt;&gt;"",'2mB'!D29,"")</f>
        <v/>
      </c>
      <c r="E1729" s="78">
        <f>IF('2mB'!B29&lt;&gt;"",'2mB'!E29,"")</f>
        <v/>
      </c>
      <c r="F1729" s="78">
        <f>IF('2mB'!B29&lt;&gt;"",'2mB'!F29,"")</f>
        <v/>
      </c>
      <c r="G1729" s="78">
        <f>IF('2mB'!B29&lt;&gt;"",'2mB'!G29,"")</f>
        <v/>
      </c>
      <c r="H1729" s="97">
        <f>IF('2mB'!B29&lt;&gt;"",'2mB'!H29,"")</f>
        <v/>
      </c>
      <c r="I1729" s="97">
        <f>IF('2mB'!B29&lt;&gt;"",'2mB'!I29,"")</f>
        <v/>
      </c>
      <c r="J1729" s="78">
        <f>IF('2mB'!B29&lt;&gt;"",'2mB'!J29,"")</f>
        <v/>
      </c>
    </row>
    <row r="1730" ht="15.75" customHeight="1" s="52">
      <c r="A1730" s="92">
        <f>IF('2mB'!B30&lt;&gt;"","2mB","")</f>
        <v/>
      </c>
      <c r="B1730" s="82">
        <f>IF('2mB'!B30&lt;&gt;"",'2mB'!B30,"")</f>
        <v/>
      </c>
      <c r="C1730" s="82">
        <f>IF('2mB'!B30&lt;&gt;"",'2mB'!C30,"")</f>
        <v/>
      </c>
      <c r="D1730" s="82">
        <f>IF('2mB'!B30&lt;&gt;"",'2mB'!D30,"")</f>
        <v/>
      </c>
      <c r="E1730" s="82">
        <f>IF('2mB'!B30&lt;&gt;"",'2mB'!E30,"")</f>
        <v/>
      </c>
      <c r="F1730" s="82">
        <f>IF('2mB'!B30&lt;&gt;"",'2mB'!F30,"")</f>
        <v/>
      </c>
      <c r="G1730" s="82">
        <f>IF('2mB'!B30&lt;&gt;"",'2mB'!G30,"")</f>
        <v/>
      </c>
      <c r="H1730" s="92">
        <f>IF('2mB'!B30&lt;&gt;"",'2mB'!H30,"")</f>
        <v/>
      </c>
      <c r="I1730" s="92">
        <f>IF('2mB'!B30&lt;&gt;"",'2mB'!I30,"")</f>
        <v/>
      </c>
      <c r="J1730" s="82">
        <f>IF('2mB'!B30&lt;&gt;"",'2mB'!J30,"")</f>
        <v/>
      </c>
    </row>
    <row r="1731" ht="15.75" customHeight="1" s="52">
      <c r="A1731" s="97">
        <f>IF('2mB'!B31&lt;&gt;"","2mB","")</f>
        <v/>
      </c>
      <c r="B1731" s="78">
        <f>IF('2mB'!B31&lt;&gt;"",'2mB'!B31,"")</f>
        <v/>
      </c>
      <c r="C1731" s="78">
        <f>IF('2mB'!B31&lt;&gt;"",'2mB'!C31,"")</f>
        <v/>
      </c>
      <c r="D1731" s="78">
        <f>IF('2mB'!B31&lt;&gt;"",'2mB'!D31,"")</f>
        <v/>
      </c>
      <c r="E1731" s="78">
        <f>IF('2mB'!B31&lt;&gt;"",'2mB'!E31,"")</f>
        <v/>
      </c>
      <c r="F1731" s="78">
        <f>IF('2mB'!B31&lt;&gt;"",'2mB'!F31,"")</f>
        <v/>
      </c>
      <c r="G1731" s="78">
        <f>IF('2mB'!B31&lt;&gt;"",'2mB'!G31,"")</f>
        <v/>
      </c>
      <c r="H1731" s="97">
        <f>IF('2mB'!B31&lt;&gt;"",'2mB'!H31,"")</f>
        <v/>
      </c>
      <c r="I1731" s="97">
        <f>IF('2mB'!B31&lt;&gt;"",'2mB'!I31,"")</f>
        <v/>
      </c>
      <c r="J1731" s="78">
        <f>IF('2mB'!B31&lt;&gt;"",'2mB'!J31,"")</f>
        <v/>
      </c>
    </row>
    <row r="1732" ht="15.75" customHeight="1" s="52">
      <c r="A1732" s="92">
        <f>IF('2mB'!B32&lt;&gt;"","2mB","")</f>
        <v/>
      </c>
      <c r="B1732" s="82">
        <f>IF('2mB'!B32&lt;&gt;"",'2mB'!B32,"")</f>
        <v/>
      </c>
      <c r="C1732" s="82">
        <f>IF('2mB'!B32&lt;&gt;"",'2mB'!C32,"")</f>
        <v/>
      </c>
      <c r="D1732" s="82">
        <f>IF('2mB'!B32&lt;&gt;"",'2mB'!D32,"")</f>
        <v/>
      </c>
      <c r="E1732" s="82">
        <f>IF('2mB'!B32&lt;&gt;"",'2mB'!E32,"")</f>
        <v/>
      </c>
      <c r="F1732" s="82">
        <f>IF('2mB'!B32&lt;&gt;"",'2mB'!F32,"")</f>
        <v/>
      </c>
      <c r="G1732" s="82">
        <f>IF('2mB'!B32&lt;&gt;"",'2mB'!G32,"")</f>
        <v/>
      </c>
      <c r="H1732" s="92">
        <f>IF('2mB'!B32&lt;&gt;"",'2mB'!H32,"")</f>
        <v/>
      </c>
      <c r="I1732" s="92">
        <f>IF('2mB'!B32&lt;&gt;"",'2mB'!I32,"")</f>
        <v/>
      </c>
      <c r="J1732" s="82">
        <f>IF('2mB'!B32&lt;&gt;"",'2mB'!J32,"")</f>
        <v/>
      </c>
    </row>
    <row r="1733" ht="15.75" customHeight="1" s="52">
      <c r="A1733" s="97">
        <f>IF('2mB'!B33&lt;&gt;"","2mB","")</f>
        <v/>
      </c>
      <c r="B1733" s="78">
        <f>IF('2mB'!B33&lt;&gt;"",'2mB'!B33,"")</f>
        <v/>
      </c>
      <c r="C1733" s="78">
        <f>IF('2mB'!B33&lt;&gt;"",'2mB'!C33,"")</f>
        <v/>
      </c>
      <c r="D1733" s="78">
        <f>IF('2mB'!B33&lt;&gt;"",'2mB'!D33,"")</f>
        <v/>
      </c>
      <c r="E1733" s="78">
        <f>IF('2mB'!B33&lt;&gt;"",'2mB'!E33,"")</f>
        <v/>
      </c>
      <c r="F1733" s="78">
        <f>IF('2mB'!B33&lt;&gt;"",'2mB'!F33,"")</f>
        <v/>
      </c>
      <c r="G1733" s="78">
        <f>IF('2mB'!B33&lt;&gt;"",'2mB'!G33,"")</f>
        <v/>
      </c>
      <c r="H1733" s="97">
        <f>IF('2mB'!B33&lt;&gt;"",'2mB'!H33,"")</f>
        <v/>
      </c>
      <c r="I1733" s="97">
        <f>IF('2mB'!B33&lt;&gt;"",'2mB'!I33,"")</f>
        <v/>
      </c>
      <c r="J1733" s="78">
        <f>IF('2mB'!B33&lt;&gt;"",'2mB'!J33,"")</f>
        <v/>
      </c>
    </row>
    <row r="1734" ht="15.75" customHeight="1" s="52">
      <c r="A1734" s="92">
        <f>IF('2mB'!B34&lt;&gt;"","2mB","")</f>
        <v/>
      </c>
      <c r="B1734" s="82">
        <f>IF('2mB'!B34&lt;&gt;"",'2mB'!B34,"")</f>
        <v/>
      </c>
      <c r="C1734" s="82">
        <f>IF('2mB'!B34&lt;&gt;"",'2mB'!C34,"")</f>
        <v/>
      </c>
      <c r="D1734" s="82">
        <f>IF('2mB'!B34&lt;&gt;"",'2mB'!D34,"")</f>
        <v/>
      </c>
      <c r="E1734" s="82">
        <f>IF('2mB'!B34&lt;&gt;"",'2mB'!E34,"")</f>
        <v/>
      </c>
      <c r="F1734" s="82">
        <f>IF('2mB'!B34&lt;&gt;"",'2mB'!F34,"")</f>
        <v/>
      </c>
      <c r="G1734" s="82">
        <f>IF('2mB'!B34&lt;&gt;"",'2mB'!G34,"")</f>
        <v/>
      </c>
      <c r="H1734" s="92">
        <f>IF('2mB'!B34&lt;&gt;"",'2mB'!H34,"")</f>
        <v/>
      </c>
      <c r="I1734" s="92">
        <f>IF('2mB'!B34&lt;&gt;"",'2mB'!I34,"")</f>
        <v/>
      </c>
      <c r="J1734" s="82">
        <f>IF('2mB'!B34&lt;&gt;"",'2mB'!J34,"")</f>
        <v/>
      </c>
    </row>
    <row r="1735" ht="15.75" customHeight="1" s="52">
      <c r="A1735" s="97">
        <f>IF('2mB'!B35&lt;&gt;"","2mB","")</f>
        <v/>
      </c>
      <c r="B1735" s="78">
        <f>IF('2mB'!B35&lt;&gt;"",'2mB'!B35,"")</f>
        <v/>
      </c>
      <c r="C1735" s="78">
        <f>IF('2mB'!B35&lt;&gt;"",'2mB'!C35,"")</f>
        <v/>
      </c>
      <c r="D1735" s="78">
        <f>IF('2mB'!B35&lt;&gt;"",'2mB'!D35,"")</f>
        <v/>
      </c>
      <c r="E1735" s="78">
        <f>IF('2mB'!B35&lt;&gt;"",'2mB'!E35,"")</f>
        <v/>
      </c>
      <c r="F1735" s="78">
        <f>IF('2mB'!B35&lt;&gt;"",'2mB'!F35,"")</f>
        <v/>
      </c>
      <c r="G1735" s="78">
        <f>IF('2mB'!B35&lt;&gt;"",'2mB'!G35,"")</f>
        <v/>
      </c>
      <c r="H1735" s="97">
        <f>IF('2mB'!B35&lt;&gt;"",'2mB'!H35,"")</f>
        <v/>
      </c>
      <c r="I1735" s="97">
        <f>IF('2mB'!B35&lt;&gt;"",'2mB'!I35,"")</f>
        <v/>
      </c>
      <c r="J1735" s="78">
        <f>IF('2mB'!B35&lt;&gt;"",'2mB'!J35,"")</f>
        <v/>
      </c>
    </row>
    <row r="1736" ht="15.75" customHeight="1" s="52">
      <c r="A1736" s="92">
        <f>IF('2mB'!B36&lt;&gt;"","2mB","")</f>
        <v/>
      </c>
      <c r="B1736" s="82">
        <f>IF('2mB'!B36&lt;&gt;"",'2mB'!B36,"")</f>
        <v/>
      </c>
      <c r="C1736" s="82">
        <f>IF('2mB'!B36&lt;&gt;"",'2mB'!C36,"")</f>
        <v/>
      </c>
      <c r="D1736" s="82">
        <f>IF('2mB'!B36&lt;&gt;"",'2mB'!D36,"")</f>
        <v/>
      </c>
      <c r="E1736" s="82">
        <f>IF('2mB'!B36&lt;&gt;"",'2mB'!E36,"")</f>
        <v/>
      </c>
      <c r="F1736" s="82">
        <f>IF('2mB'!B36&lt;&gt;"",'2mB'!F36,"")</f>
        <v/>
      </c>
      <c r="G1736" s="82">
        <f>IF('2mB'!B36&lt;&gt;"",'2mB'!G36,"")</f>
        <v/>
      </c>
      <c r="H1736" s="92">
        <f>IF('2mB'!B36&lt;&gt;"",'2mB'!H36,"")</f>
        <v/>
      </c>
      <c r="I1736" s="92">
        <f>IF('2mB'!B36&lt;&gt;"",'2mB'!I36,"")</f>
        <v/>
      </c>
      <c r="J1736" s="82">
        <f>IF('2mB'!B36&lt;&gt;"",'2mB'!J36,"")</f>
        <v/>
      </c>
    </row>
    <row r="1737" ht="15.75" customHeight="1" s="52">
      <c r="A1737" s="97">
        <f>IF('2mB'!B37&lt;&gt;"","2mB","")</f>
        <v/>
      </c>
      <c r="B1737" s="78">
        <f>IF('2mB'!B37&lt;&gt;"",'2mB'!B37,"")</f>
        <v/>
      </c>
      <c r="C1737" s="78">
        <f>IF('2mB'!B37&lt;&gt;"",'2mB'!C37,"")</f>
        <v/>
      </c>
      <c r="D1737" s="78">
        <f>IF('2mB'!B37&lt;&gt;"",'2mB'!D37,"")</f>
        <v/>
      </c>
      <c r="E1737" s="78">
        <f>IF('2mB'!B37&lt;&gt;"",'2mB'!E37,"")</f>
        <v/>
      </c>
      <c r="F1737" s="78">
        <f>IF('2mB'!B37&lt;&gt;"",'2mB'!F37,"")</f>
        <v/>
      </c>
      <c r="G1737" s="78">
        <f>IF('2mB'!B37&lt;&gt;"",'2mB'!G37,"")</f>
        <v/>
      </c>
      <c r="H1737" s="97">
        <f>IF('2mB'!B37&lt;&gt;"",'2mB'!H37,"")</f>
        <v/>
      </c>
      <c r="I1737" s="97">
        <f>IF('2mB'!B37&lt;&gt;"",'2mB'!I37,"")</f>
        <v/>
      </c>
      <c r="J1737" s="78">
        <f>IF('2mB'!B37&lt;&gt;"",'2mB'!J37,"")</f>
        <v/>
      </c>
    </row>
    <row r="1738" ht="15.75" customHeight="1" s="52">
      <c r="A1738" s="92">
        <f>IF('2mB'!B38&lt;&gt;"","2mB","")</f>
        <v/>
      </c>
      <c r="B1738" s="82">
        <f>IF('2mB'!B38&lt;&gt;"",'2mB'!B38,"")</f>
        <v/>
      </c>
      <c r="C1738" s="82">
        <f>IF('2mB'!B38&lt;&gt;"",'2mB'!C38,"")</f>
        <v/>
      </c>
      <c r="D1738" s="82">
        <f>IF('2mB'!B38&lt;&gt;"",'2mB'!D38,"")</f>
        <v/>
      </c>
      <c r="E1738" s="82">
        <f>IF('2mB'!B38&lt;&gt;"",'2mB'!E38,"")</f>
        <v/>
      </c>
      <c r="F1738" s="82">
        <f>IF('2mB'!B38&lt;&gt;"",'2mB'!F38,"")</f>
        <v/>
      </c>
      <c r="G1738" s="82">
        <f>IF('2mB'!B38&lt;&gt;"",'2mB'!G38,"")</f>
        <v/>
      </c>
      <c r="H1738" s="92">
        <f>IF('2mB'!B38&lt;&gt;"",'2mB'!H38,"")</f>
        <v/>
      </c>
      <c r="I1738" s="92">
        <f>IF('2mB'!B38&lt;&gt;"",'2mB'!I38,"")</f>
        <v/>
      </c>
      <c r="J1738" s="82">
        <f>IF('2mB'!B38&lt;&gt;"",'2mB'!J38,"")</f>
        <v/>
      </c>
    </row>
    <row r="1739" ht="15.75" customHeight="1" s="52">
      <c r="A1739" s="97">
        <f>IF('2mB'!B39&lt;&gt;"","2mB","")</f>
        <v/>
      </c>
      <c r="B1739" s="78">
        <f>IF('2mB'!B39&lt;&gt;"",'2mB'!B39,"")</f>
        <v/>
      </c>
      <c r="C1739" s="78">
        <f>IF('2mB'!B39&lt;&gt;"",'2mB'!C39,"")</f>
        <v/>
      </c>
      <c r="D1739" s="78">
        <f>IF('2mB'!B39&lt;&gt;"",'2mB'!D39,"")</f>
        <v/>
      </c>
      <c r="E1739" s="78">
        <f>IF('2mB'!B39&lt;&gt;"",'2mB'!E39,"")</f>
        <v/>
      </c>
      <c r="F1739" s="78">
        <f>IF('2mB'!B39&lt;&gt;"",'2mB'!F39,"")</f>
        <v/>
      </c>
      <c r="G1739" s="78">
        <f>IF('2mB'!B39&lt;&gt;"",'2mB'!G39,"")</f>
        <v/>
      </c>
      <c r="H1739" s="97">
        <f>IF('2mB'!B39&lt;&gt;"",'2mB'!H39,"")</f>
        <v/>
      </c>
      <c r="I1739" s="97">
        <f>IF('2mB'!B39&lt;&gt;"",'2mB'!I39,"")</f>
        <v/>
      </c>
      <c r="J1739" s="78">
        <f>IF('2mB'!B39&lt;&gt;"",'2mB'!J39,"")</f>
        <v/>
      </c>
    </row>
    <row r="1740" ht="15.75" customHeight="1" s="52">
      <c r="A1740" s="92">
        <f>IF('2mB'!B40&lt;&gt;"","2mB","")</f>
        <v/>
      </c>
      <c r="B1740" s="82">
        <f>IF('2mB'!B40&lt;&gt;"",'2mB'!B40,"")</f>
        <v/>
      </c>
      <c r="C1740" s="82">
        <f>IF('2mB'!B40&lt;&gt;"",'2mB'!C40,"")</f>
        <v/>
      </c>
      <c r="D1740" s="82">
        <f>IF('2mB'!B40&lt;&gt;"",'2mB'!D40,"")</f>
        <v/>
      </c>
      <c r="E1740" s="82">
        <f>IF('2mB'!B40&lt;&gt;"",'2mB'!E40,"")</f>
        <v/>
      </c>
      <c r="F1740" s="82">
        <f>IF('2mB'!B40&lt;&gt;"",'2mB'!F40,"")</f>
        <v/>
      </c>
      <c r="G1740" s="82">
        <f>IF('2mB'!B40&lt;&gt;"",'2mB'!G40,"")</f>
        <v/>
      </c>
      <c r="H1740" s="92">
        <f>IF('2mB'!B40&lt;&gt;"",'2mB'!H40,"")</f>
        <v/>
      </c>
      <c r="I1740" s="92">
        <f>IF('2mB'!B40&lt;&gt;"",'2mB'!I40,"")</f>
        <v/>
      </c>
      <c r="J1740" s="82">
        <f>IF('2mB'!B40&lt;&gt;"",'2mB'!J40,"")</f>
        <v/>
      </c>
    </row>
    <row r="1741" ht="15.75" customHeight="1" s="52">
      <c r="A1741" s="97">
        <f>IF('2mB'!B41&lt;&gt;"","2mB","")</f>
        <v/>
      </c>
      <c r="B1741" s="78">
        <f>IF('2mB'!B41&lt;&gt;"",'2mB'!B41,"")</f>
        <v/>
      </c>
      <c r="C1741" s="78">
        <f>IF('2mB'!B41&lt;&gt;"",'2mB'!C41,"")</f>
        <v/>
      </c>
      <c r="D1741" s="78">
        <f>IF('2mB'!B41&lt;&gt;"",'2mB'!D41,"")</f>
        <v/>
      </c>
      <c r="E1741" s="78">
        <f>IF('2mB'!B41&lt;&gt;"",'2mB'!E41,"")</f>
        <v/>
      </c>
      <c r="F1741" s="78">
        <f>IF('2mB'!B41&lt;&gt;"",'2mB'!F41,"")</f>
        <v/>
      </c>
      <c r="G1741" s="78">
        <f>IF('2mB'!B41&lt;&gt;"",'2mB'!G41,"")</f>
        <v/>
      </c>
      <c r="H1741" s="97">
        <f>IF('2mB'!B41&lt;&gt;"",'2mB'!H41,"")</f>
        <v/>
      </c>
      <c r="I1741" s="97">
        <f>IF('2mB'!B41&lt;&gt;"",'2mB'!I41,"")</f>
        <v/>
      </c>
      <c r="J1741" s="78">
        <f>IF('2mB'!B41&lt;&gt;"",'2mB'!J41,"")</f>
        <v/>
      </c>
    </row>
    <row r="1742" ht="15.75" customHeight="1" s="52">
      <c r="A1742" s="92">
        <f>IF('2mB'!B42&lt;&gt;"","2mB","")</f>
        <v/>
      </c>
      <c r="B1742" s="82">
        <f>IF('2mB'!B42&lt;&gt;"",'2mB'!B42,"")</f>
        <v/>
      </c>
      <c r="C1742" s="82">
        <f>IF('2mB'!B42&lt;&gt;"",'2mB'!C42,"")</f>
        <v/>
      </c>
      <c r="D1742" s="82">
        <f>IF('2mB'!B42&lt;&gt;"",'2mB'!D42,"")</f>
        <v/>
      </c>
      <c r="E1742" s="82">
        <f>IF('2mB'!B42&lt;&gt;"",'2mB'!E42,"")</f>
        <v/>
      </c>
      <c r="F1742" s="82">
        <f>IF('2mB'!B42&lt;&gt;"",'2mB'!F42,"")</f>
        <v/>
      </c>
      <c r="G1742" s="82">
        <f>IF('2mB'!B42&lt;&gt;"",'2mB'!G42,"")</f>
        <v/>
      </c>
      <c r="H1742" s="92">
        <f>IF('2mB'!B42&lt;&gt;"",'2mB'!H42,"")</f>
        <v/>
      </c>
      <c r="I1742" s="92">
        <f>IF('2mB'!B42&lt;&gt;"",'2mB'!I42,"")</f>
        <v/>
      </c>
      <c r="J1742" s="82">
        <f>IF('2mB'!B42&lt;&gt;"",'2mB'!J42,"")</f>
        <v/>
      </c>
    </row>
    <row r="1743" ht="15.75" customHeight="1" s="52">
      <c r="A1743" s="97">
        <f>IF('2mB'!B43&lt;&gt;"","2mB","")</f>
        <v/>
      </c>
      <c r="B1743" s="78">
        <f>IF('2mB'!B43&lt;&gt;"",'2mB'!B43,"")</f>
        <v/>
      </c>
      <c r="C1743" s="78">
        <f>IF('2mB'!B43&lt;&gt;"",'2mB'!C43,"")</f>
        <v/>
      </c>
      <c r="D1743" s="78">
        <f>IF('2mB'!B43&lt;&gt;"",'2mB'!D43,"")</f>
        <v/>
      </c>
      <c r="E1743" s="78">
        <f>IF('2mB'!B43&lt;&gt;"",'2mB'!E43,"")</f>
        <v/>
      </c>
      <c r="F1743" s="78">
        <f>IF('2mB'!B43&lt;&gt;"",'2mB'!F43,"")</f>
        <v/>
      </c>
      <c r="G1743" s="78">
        <f>IF('2mB'!B43&lt;&gt;"",'2mB'!G43,"")</f>
        <v/>
      </c>
      <c r="H1743" s="97">
        <f>IF('2mB'!B43&lt;&gt;"",'2mB'!H43,"")</f>
        <v/>
      </c>
      <c r="I1743" s="97">
        <f>IF('2mB'!B43&lt;&gt;"",'2mB'!I43,"")</f>
        <v/>
      </c>
      <c r="J1743" s="78">
        <f>IF('2mB'!B43&lt;&gt;"",'2mB'!J43,"")</f>
        <v/>
      </c>
    </row>
    <row r="1744" ht="15.75" customHeight="1" s="52">
      <c r="A1744" s="92">
        <f>IF('2mB'!B44&lt;&gt;"","2mB","")</f>
        <v/>
      </c>
      <c r="B1744" s="82">
        <f>IF('2mB'!B44&lt;&gt;"",'2mB'!B44,"")</f>
        <v/>
      </c>
      <c r="C1744" s="82">
        <f>IF('2mB'!B44&lt;&gt;"",'2mB'!C44,"")</f>
        <v/>
      </c>
      <c r="D1744" s="82">
        <f>IF('2mB'!B44&lt;&gt;"",'2mB'!D44,"")</f>
        <v/>
      </c>
      <c r="E1744" s="82">
        <f>IF('2mB'!B44&lt;&gt;"",'2mB'!E44,"")</f>
        <v/>
      </c>
      <c r="F1744" s="82">
        <f>IF('2mB'!B44&lt;&gt;"",'2mB'!F44,"")</f>
        <v/>
      </c>
      <c r="G1744" s="82">
        <f>IF('2mB'!B44&lt;&gt;"",'2mB'!G44,"")</f>
        <v/>
      </c>
      <c r="H1744" s="92">
        <f>IF('2mB'!B44&lt;&gt;"",'2mB'!H44,"")</f>
        <v/>
      </c>
      <c r="I1744" s="92">
        <f>IF('2mB'!B44&lt;&gt;"",'2mB'!I44,"")</f>
        <v/>
      </c>
      <c r="J1744" s="82">
        <f>IF('2mB'!B44&lt;&gt;"",'2mB'!J44,"")</f>
        <v/>
      </c>
    </row>
    <row r="1745" ht="15.75" customHeight="1" s="52">
      <c r="A1745" s="97">
        <f>IF('2mB'!B45&lt;&gt;"","2mB","")</f>
        <v/>
      </c>
      <c r="B1745" s="78">
        <f>IF('2mB'!B45&lt;&gt;"",'2mB'!B45,"")</f>
        <v/>
      </c>
      <c r="C1745" s="78">
        <f>IF('2mB'!B45&lt;&gt;"",'2mB'!C45,"")</f>
        <v/>
      </c>
      <c r="D1745" s="78">
        <f>IF('2mB'!B45&lt;&gt;"",'2mB'!D45,"")</f>
        <v/>
      </c>
      <c r="E1745" s="78">
        <f>IF('2mB'!B45&lt;&gt;"",'2mB'!E45,"")</f>
        <v/>
      </c>
      <c r="F1745" s="78">
        <f>IF('2mB'!B45&lt;&gt;"",'2mB'!F45,"")</f>
        <v/>
      </c>
      <c r="G1745" s="78">
        <f>IF('2mB'!B45&lt;&gt;"",'2mB'!G45,"")</f>
        <v/>
      </c>
      <c r="H1745" s="97">
        <f>IF('2mB'!B45&lt;&gt;"",'2mB'!H45,"")</f>
        <v/>
      </c>
      <c r="I1745" s="97">
        <f>IF('2mB'!B45&lt;&gt;"",'2mB'!I45,"")</f>
        <v/>
      </c>
      <c r="J1745" s="78">
        <f>IF('2mB'!B45&lt;&gt;"",'2mB'!J45,"")</f>
        <v/>
      </c>
    </row>
    <row r="1746" ht="15.75" customHeight="1" s="52">
      <c r="A1746" s="92">
        <f>IF('2mB'!B46&lt;&gt;"","2mB","")</f>
        <v/>
      </c>
      <c r="B1746" s="82">
        <f>IF('2mB'!B46&lt;&gt;"",'2mB'!B46,"")</f>
        <v/>
      </c>
      <c r="C1746" s="82">
        <f>IF('2mB'!B46&lt;&gt;"",'2mB'!C46,"")</f>
        <v/>
      </c>
      <c r="D1746" s="82">
        <f>IF('2mB'!B46&lt;&gt;"",'2mB'!D46,"")</f>
        <v/>
      </c>
      <c r="E1746" s="82">
        <f>IF('2mB'!B46&lt;&gt;"",'2mB'!E46,"")</f>
        <v/>
      </c>
      <c r="F1746" s="82">
        <f>IF('2mB'!B46&lt;&gt;"",'2mB'!F46,"")</f>
        <v/>
      </c>
      <c r="G1746" s="82">
        <f>IF('2mB'!B46&lt;&gt;"",'2mB'!G46,"")</f>
        <v/>
      </c>
      <c r="H1746" s="92">
        <f>IF('2mB'!B46&lt;&gt;"",'2mB'!H46,"")</f>
        <v/>
      </c>
      <c r="I1746" s="92">
        <f>IF('2mB'!B46&lt;&gt;"",'2mB'!I46,"")</f>
        <v/>
      </c>
      <c r="J1746" s="82">
        <f>IF('2mB'!B46&lt;&gt;"",'2mB'!J46,"")</f>
        <v/>
      </c>
    </row>
    <row r="1747" ht="15.75" customHeight="1" s="52">
      <c r="A1747" s="97">
        <f>IF('2mB'!B47&lt;&gt;"","2mB","")</f>
        <v/>
      </c>
      <c r="B1747" s="78">
        <f>IF('2mB'!B47&lt;&gt;"",'2mB'!B47,"")</f>
        <v/>
      </c>
      <c r="C1747" s="78">
        <f>IF('2mB'!B47&lt;&gt;"",'2mB'!C47,"")</f>
        <v/>
      </c>
      <c r="D1747" s="78">
        <f>IF('2mB'!B47&lt;&gt;"",'2mB'!D47,"")</f>
        <v/>
      </c>
      <c r="E1747" s="78">
        <f>IF('2mB'!B47&lt;&gt;"",'2mB'!E47,"")</f>
        <v/>
      </c>
      <c r="F1747" s="78">
        <f>IF('2mB'!B47&lt;&gt;"",'2mB'!F47,"")</f>
        <v/>
      </c>
      <c r="G1747" s="78">
        <f>IF('2mB'!B47&lt;&gt;"",'2mB'!G47,"")</f>
        <v/>
      </c>
      <c r="H1747" s="97">
        <f>IF('2mB'!B47&lt;&gt;"",'2mB'!H47,"")</f>
        <v/>
      </c>
      <c r="I1747" s="97">
        <f>IF('2mB'!B47&lt;&gt;"",'2mB'!I47,"")</f>
        <v/>
      </c>
      <c r="J1747" s="78">
        <f>IF('2mB'!B47&lt;&gt;"",'2mB'!J47,"")</f>
        <v/>
      </c>
    </row>
    <row r="1748" ht="15.75" customHeight="1" s="52">
      <c r="A1748" s="92">
        <f>IF('2mB'!B48&lt;&gt;"","2mB","")</f>
        <v/>
      </c>
      <c r="B1748" s="82">
        <f>IF('2mB'!B48&lt;&gt;"",'2mB'!B48,"")</f>
        <v/>
      </c>
      <c r="C1748" s="82">
        <f>IF('2mB'!B48&lt;&gt;"",'2mB'!C48,"")</f>
        <v/>
      </c>
      <c r="D1748" s="82">
        <f>IF('2mB'!B48&lt;&gt;"",'2mB'!D48,"")</f>
        <v/>
      </c>
      <c r="E1748" s="82">
        <f>IF('2mB'!B48&lt;&gt;"",'2mB'!E48,"")</f>
        <v/>
      </c>
      <c r="F1748" s="82">
        <f>IF('2mB'!B48&lt;&gt;"",'2mB'!F48,"")</f>
        <v/>
      </c>
      <c r="G1748" s="82">
        <f>IF('2mB'!B48&lt;&gt;"",'2mB'!G48,"")</f>
        <v/>
      </c>
      <c r="H1748" s="92">
        <f>IF('2mB'!B48&lt;&gt;"",'2mB'!H48,"")</f>
        <v/>
      </c>
      <c r="I1748" s="92">
        <f>IF('2mB'!B48&lt;&gt;"",'2mB'!I48,"")</f>
        <v/>
      </c>
      <c r="J1748" s="82">
        <f>IF('2mB'!B48&lt;&gt;"",'2mB'!J48,"")</f>
        <v/>
      </c>
    </row>
    <row r="1749" ht="15.75" customHeight="1" s="52">
      <c r="A1749" s="97">
        <f>IF('2mB'!B49&lt;&gt;"","2mB","")</f>
        <v/>
      </c>
      <c r="B1749" s="78">
        <f>IF('2mB'!B49&lt;&gt;"",'2mB'!B49,"")</f>
        <v/>
      </c>
      <c r="C1749" s="78">
        <f>IF('2mB'!B49&lt;&gt;"",'2mB'!C49,"")</f>
        <v/>
      </c>
      <c r="D1749" s="78">
        <f>IF('2mB'!B49&lt;&gt;"",'2mB'!D49,"")</f>
        <v/>
      </c>
      <c r="E1749" s="78">
        <f>IF('2mB'!B49&lt;&gt;"",'2mB'!E49,"")</f>
        <v/>
      </c>
      <c r="F1749" s="78">
        <f>IF('2mB'!B49&lt;&gt;"",'2mB'!F49,"")</f>
        <v/>
      </c>
      <c r="G1749" s="78">
        <f>IF('2mB'!B49&lt;&gt;"",'2mB'!G49,"")</f>
        <v/>
      </c>
      <c r="H1749" s="97">
        <f>IF('2mB'!B49&lt;&gt;"",'2mB'!H49,"")</f>
        <v/>
      </c>
      <c r="I1749" s="97">
        <f>IF('2mB'!B49&lt;&gt;"",'2mB'!I49,"")</f>
        <v/>
      </c>
      <c r="J1749" s="78">
        <f>IF('2mB'!B49&lt;&gt;"",'2mB'!J49,"")</f>
        <v/>
      </c>
    </row>
    <row r="1750" ht="15.75" customHeight="1" s="52">
      <c r="A1750" s="92">
        <f>IF('2mB'!B50&lt;&gt;"","2mB","")</f>
        <v/>
      </c>
      <c r="B1750" s="82">
        <f>IF('2mB'!B50&lt;&gt;"",'2mB'!B50,"")</f>
        <v/>
      </c>
      <c r="C1750" s="82">
        <f>IF('2mB'!B50&lt;&gt;"",'2mB'!C50,"")</f>
        <v/>
      </c>
      <c r="D1750" s="82">
        <f>IF('2mB'!B50&lt;&gt;"",'2mB'!D50,"")</f>
        <v/>
      </c>
      <c r="E1750" s="82">
        <f>IF('2mB'!B50&lt;&gt;"",'2mB'!E50,"")</f>
        <v/>
      </c>
      <c r="F1750" s="82">
        <f>IF('2mB'!B50&lt;&gt;"",'2mB'!F50,"")</f>
        <v/>
      </c>
      <c r="G1750" s="82">
        <f>IF('2mB'!B50&lt;&gt;"",'2mB'!G50,"")</f>
        <v/>
      </c>
      <c r="H1750" s="92">
        <f>IF('2mB'!B50&lt;&gt;"",'2mB'!H50,"")</f>
        <v/>
      </c>
      <c r="I1750" s="92">
        <f>IF('2mB'!B50&lt;&gt;"",'2mB'!I50,"")</f>
        <v/>
      </c>
      <c r="J1750" s="82">
        <f>IF('2mB'!B50&lt;&gt;"",'2mB'!J50,"")</f>
        <v/>
      </c>
    </row>
    <row r="1751" ht="15.75" customHeight="1" s="52">
      <c r="A1751" s="97">
        <f>IF('2mB'!B51&lt;&gt;"","2mB","")</f>
        <v/>
      </c>
      <c r="B1751" s="78">
        <f>IF('2mB'!B51&lt;&gt;"",'2mB'!B51,"")</f>
        <v/>
      </c>
      <c r="C1751" s="78">
        <f>IF('2mB'!B51&lt;&gt;"",'2mB'!C51,"")</f>
        <v/>
      </c>
      <c r="D1751" s="78">
        <f>IF('2mB'!B51&lt;&gt;"",'2mB'!D51,"")</f>
        <v/>
      </c>
      <c r="E1751" s="78">
        <f>IF('2mB'!B51&lt;&gt;"",'2mB'!E51,"")</f>
        <v/>
      </c>
      <c r="F1751" s="78">
        <f>IF('2mB'!B51&lt;&gt;"",'2mB'!F51,"")</f>
        <v/>
      </c>
      <c r="G1751" s="78">
        <f>IF('2mB'!B51&lt;&gt;"",'2mB'!G51,"")</f>
        <v/>
      </c>
      <c r="H1751" s="97">
        <f>IF('2mB'!B51&lt;&gt;"",'2mB'!H51,"")</f>
        <v/>
      </c>
      <c r="I1751" s="97">
        <f>IF('2mB'!B51&lt;&gt;"",'2mB'!I51,"")</f>
        <v/>
      </c>
      <c r="J1751" s="78">
        <f>IF('2mB'!B51&lt;&gt;"",'2mB'!J51,"")</f>
        <v/>
      </c>
    </row>
    <row r="1752" ht="15.75" customHeight="1" s="52">
      <c r="A1752" s="92">
        <f>IF('2mB'!B52&lt;&gt;"","2mB","")</f>
        <v/>
      </c>
      <c r="B1752" s="82">
        <f>IF('2mB'!B52&lt;&gt;"",'2mB'!B52,"")</f>
        <v/>
      </c>
      <c r="C1752" s="82">
        <f>IF('2mB'!B52&lt;&gt;"",'2mB'!C52,"")</f>
        <v/>
      </c>
      <c r="D1752" s="82">
        <f>IF('2mB'!B52&lt;&gt;"",'2mB'!D52,"")</f>
        <v/>
      </c>
      <c r="E1752" s="82">
        <f>IF('2mB'!B52&lt;&gt;"",'2mB'!E52,"")</f>
        <v/>
      </c>
      <c r="F1752" s="82">
        <f>IF('2mB'!B52&lt;&gt;"",'2mB'!F52,"")</f>
        <v/>
      </c>
      <c r="G1752" s="82">
        <f>IF('2mB'!B52&lt;&gt;"",'2mB'!G52,"")</f>
        <v/>
      </c>
      <c r="H1752" s="92">
        <f>IF('2mB'!B52&lt;&gt;"",'2mB'!H52,"")</f>
        <v/>
      </c>
      <c r="I1752" s="92">
        <f>IF('2mB'!B52&lt;&gt;"",'2mB'!I52,"")</f>
        <v/>
      </c>
      <c r="J1752" s="82">
        <f>IF('2mB'!B52&lt;&gt;"",'2mB'!J52,"")</f>
        <v/>
      </c>
    </row>
    <row r="1753" ht="15.75" customHeight="1" s="52">
      <c r="A1753" s="97">
        <f>IF('2mB'!B53&lt;&gt;"","2mB","")</f>
        <v/>
      </c>
      <c r="B1753" s="78">
        <f>IF('2mB'!B53&lt;&gt;"",'2mB'!B53,"")</f>
        <v/>
      </c>
      <c r="C1753" s="78">
        <f>IF('2mB'!B53&lt;&gt;"",'2mB'!C53,"")</f>
        <v/>
      </c>
      <c r="D1753" s="78">
        <f>IF('2mB'!B53&lt;&gt;"",'2mB'!D53,"")</f>
        <v/>
      </c>
      <c r="E1753" s="78">
        <f>IF('2mB'!B53&lt;&gt;"",'2mB'!E53,"")</f>
        <v/>
      </c>
      <c r="F1753" s="78">
        <f>IF('2mB'!B53&lt;&gt;"",'2mB'!F53,"")</f>
        <v/>
      </c>
      <c r="G1753" s="78">
        <f>IF('2mB'!B53&lt;&gt;"",'2mB'!G53,"")</f>
        <v/>
      </c>
      <c r="H1753" s="97">
        <f>IF('2mB'!B53&lt;&gt;"",'2mB'!H53,"")</f>
        <v/>
      </c>
      <c r="I1753" s="97">
        <f>IF('2mB'!B53&lt;&gt;"",'2mB'!I53,"")</f>
        <v/>
      </c>
      <c r="J1753" s="78">
        <f>IF('2mB'!B53&lt;&gt;"",'2mB'!J53,"")</f>
        <v/>
      </c>
    </row>
    <row r="1754" ht="15.75" customHeight="1" s="52">
      <c r="A1754" s="92">
        <f>IF('2mB'!B54&lt;&gt;"","2mB","")</f>
        <v/>
      </c>
      <c r="B1754" s="82">
        <f>IF('2mB'!B54&lt;&gt;"",'2mB'!B54,"")</f>
        <v/>
      </c>
      <c r="C1754" s="82">
        <f>IF('2mB'!B54&lt;&gt;"",'2mB'!C54,"")</f>
        <v/>
      </c>
      <c r="D1754" s="82">
        <f>IF('2mB'!B54&lt;&gt;"",'2mB'!D54,"")</f>
        <v/>
      </c>
      <c r="E1754" s="82">
        <f>IF('2mB'!B54&lt;&gt;"",'2mB'!E54,"")</f>
        <v/>
      </c>
      <c r="F1754" s="82">
        <f>IF('2mB'!B54&lt;&gt;"",'2mB'!F54,"")</f>
        <v/>
      </c>
      <c r="G1754" s="82">
        <f>IF('2mB'!B54&lt;&gt;"",'2mB'!G54,"")</f>
        <v/>
      </c>
      <c r="H1754" s="92">
        <f>IF('2mB'!B54&lt;&gt;"",'2mB'!H54,"")</f>
        <v/>
      </c>
      <c r="I1754" s="92">
        <f>IF('2mB'!B54&lt;&gt;"",'2mB'!I54,"")</f>
        <v/>
      </c>
      <c r="J1754" s="82">
        <f>IF('2mB'!B54&lt;&gt;"",'2mB'!J54,"")</f>
        <v/>
      </c>
    </row>
    <row r="1755" ht="15.75" customHeight="1" s="52">
      <c r="A1755" s="97">
        <f>IF('2mC'!B5&lt;&gt;"","2mC","")</f>
        <v/>
      </c>
      <c r="B1755" s="78">
        <f>IF('2mC'!B5&lt;&gt;"",'2mC'!B5,"")</f>
        <v/>
      </c>
      <c r="C1755" s="78">
        <f>IF('2mC'!B5&lt;&gt;"",'2mC'!C5,"")</f>
        <v/>
      </c>
      <c r="D1755" s="78">
        <f>IF('2mC'!B5&lt;&gt;"",'2mC'!D5,"")</f>
        <v/>
      </c>
      <c r="E1755" s="78">
        <f>IF('2mC'!B5&lt;&gt;"",'2mC'!E5,"")</f>
        <v/>
      </c>
      <c r="F1755" s="78">
        <f>IF('2mC'!B5&lt;&gt;"",'2mC'!F5,"")</f>
        <v/>
      </c>
      <c r="G1755" s="78">
        <f>IF('2mC'!B5&lt;&gt;"",'2mC'!G5,"")</f>
        <v/>
      </c>
      <c r="H1755" s="97">
        <f>IF('2mC'!B5&lt;&gt;"",'2mC'!H5,"")</f>
        <v/>
      </c>
      <c r="I1755" s="97">
        <f>IF('2mC'!B5&lt;&gt;"",'2mC'!I5,"")</f>
        <v/>
      </c>
      <c r="J1755" s="78">
        <f>IF('2mC'!B5&lt;&gt;"",'2mC'!J5,"")</f>
        <v/>
      </c>
    </row>
    <row r="1756" ht="15.75" customHeight="1" s="52">
      <c r="A1756" s="92">
        <f>IF('2mC'!B6&lt;&gt;"","2mC","")</f>
        <v/>
      </c>
      <c r="B1756" s="82">
        <f>IF('2mC'!B6&lt;&gt;"",'2mC'!B6,"")</f>
        <v/>
      </c>
      <c r="C1756" s="82">
        <f>IF('2mC'!B6&lt;&gt;"",'2mC'!C6,"")</f>
        <v/>
      </c>
      <c r="D1756" s="82">
        <f>IF('2mC'!B6&lt;&gt;"",'2mC'!D6,"")</f>
        <v/>
      </c>
      <c r="E1756" s="82">
        <f>IF('2mC'!B6&lt;&gt;"",'2mC'!E6,"")</f>
        <v/>
      </c>
      <c r="F1756" s="82">
        <f>IF('2mC'!B6&lt;&gt;"",'2mC'!F6,"")</f>
        <v/>
      </c>
      <c r="G1756" s="82">
        <f>IF('2mC'!B6&lt;&gt;"",'2mC'!G6,"")</f>
        <v/>
      </c>
      <c r="H1756" s="92">
        <f>IF('2mC'!B6&lt;&gt;"",'2mC'!H6,"")</f>
        <v/>
      </c>
      <c r="I1756" s="92">
        <f>IF('2mC'!B6&lt;&gt;"",'2mC'!I6,"")</f>
        <v/>
      </c>
      <c r="J1756" s="82">
        <f>IF('2mC'!B6&lt;&gt;"",'2mC'!J6,"")</f>
        <v/>
      </c>
    </row>
    <row r="1757" ht="15.75" customHeight="1" s="52">
      <c r="A1757" s="97">
        <f>IF('2mC'!B7&lt;&gt;"","2mC","")</f>
        <v/>
      </c>
      <c r="B1757" s="78">
        <f>IF('2mC'!B7&lt;&gt;"",'2mC'!B7,"")</f>
        <v/>
      </c>
      <c r="C1757" s="78">
        <f>IF('2mC'!B7&lt;&gt;"",'2mC'!C7,"")</f>
        <v/>
      </c>
      <c r="D1757" s="78">
        <f>IF('2mC'!B7&lt;&gt;"",'2mC'!D7,"")</f>
        <v/>
      </c>
      <c r="E1757" s="78">
        <f>IF('2mC'!B7&lt;&gt;"",'2mC'!E7,"")</f>
        <v/>
      </c>
      <c r="F1757" s="78">
        <f>IF('2mC'!B7&lt;&gt;"",'2mC'!F7,"")</f>
        <v/>
      </c>
      <c r="G1757" s="78">
        <f>IF('2mC'!B7&lt;&gt;"",'2mC'!G7,"")</f>
        <v/>
      </c>
      <c r="H1757" s="97">
        <f>IF('2mC'!B7&lt;&gt;"",'2mC'!H7,"")</f>
        <v/>
      </c>
      <c r="I1757" s="97">
        <f>IF('2mC'!B7&lt;&gt;"",'2mC'!I7,"")</f>
        <v/>
      </c>
      <c r="J1757" s="78">
        <f>IF('2mC'!B7&lt;&gt;"",'2mC'!J7,"")</f>
        <v/>
      </c>
    </row>
    <row r="1758" ht="15.75" customHeight="1" s="52">
      <c r="A1758" s="92">
        <f>IF('2mC'!B8&lt;&gt;"","2mC","")</f>
        <v/>
      </c>
      <c r="B1758" s="82">
        <f>IF('2mC'!B8&lt;&gt;"",'2mC'!B8,"")</f>
        <v/>
      </c>
      <c r="C1758" s="82">
        <f>IF('2mC'!B8&lt;&gt;"",'2mC'!C8,"")</f>
        <v/>
      </c>
      <c r="D1758" s="82">
        <f>IF('2mC'!B8&lt;&gt;"",'2mC'!D8,"")</f>
        <v/>
      </c>
      <c r="E1758" s="82">
        <f>IF('2mC'!B8&lt;&gt;"",'2mC'!E8,"")</f>
        <v/>
      </c>
      <c r="F1758" s="82">
        <f>IF('2mC'!B8&lt;&gt;"",'2mC'!F8,"")</f>
        <v/>
      </c>
      <c r="G1758" s="82">
        <f>IF('2mC'!B8&lt;&gt;"",'2mC'!G8,"")</f>
        <v/>
      </c>
      <c r="H1758" s="92">
        <f>IF('2mC'!B8&lt;&gt;"",'2mC'!H8,"")</f>
        <v/>
      </c>
      <c r="I1758" s="92">
        <f>IF('2mC'!B8&lt;&gt;"",'2mC'!I8,"")</f>
        <v/>
      </c>
      <c r="J1758" s="82">
        <f>IF('2mC'!B8&lt;&gt;"",'2mC'!J8,"")</f>
        <v/>
      </c>
    </row>
    <row r="1759" ht="15.75" customHeight="1" s="52">
      <c r="A1759" s="97">
        <f>IF('2mC'!B9&lt;&gt;"","2mC","")</f>
        <v/>
      </c>
      <c r="B1759" s="78">
        <f>IF('2mC'!B9&lt;&gt;"",'2mC'!B9,"")</f>
        <v/>
      </c>
      <c r="C1759" s="78">
        <f>IF('2mC'!B9&lt;&gt;"",'2mC'!C9,"")</f>
        <v/>
      </c>
      <c r="D1759" s="78">
        <f>IF('2mC'!B9&lt;&gt;"",'2mC'!D9,"")</f>
        <v/>
      </c>
      <c r="E1759" s="78">
        <f>IF('2mC'!B9&lt;&gt;"",'2mC'!E9,"")</f>
        <v/>
      </c>
      <c r="F1759" s="78">
        <f>IF('2mC'!B9&lt;&gt;"",'2mC'!F9,"")</f>
        <v/>
      </c>
      <c r="G1759" s="78">
        <f>IF('2mC'!B9&lt;&gt;"",'2mC'!G9,"")</f>
        <v/>
      </c>
      <c r="H1759" s="97">
        <f>IF('2mC'!B9&lt;&gt;"",'2mC'!H9,"")</f>
        <v/>
      </c>
      <c r="I1759" s="97">
        <f>IF('2mC'!B9&lt;&gt;"",'2mC'!I9,"")</f>
        <v/>
      </c>
      <c r="J1759" s="78">
        <f>IF('2mC'!B9&lt;&gt;"",'2mC'!J9,"")</f>
        <v/>
      </c>
    </row>
    <row r="1760" ht="15.75" customHeight="1" s="52">
      <c r="A1760" s="92">
        <f>IF('2mC'!B10&lt;&gt;"","2mC","")</f>
        <v/>
      </c>
      <c r="B1760" s="82">
        <f>IF('2mC'!B10&lt;&gt;"",'2mC'!B10,"")</f>
        <v/>
      </c>
      <c r="C1760" s="82">
        <f>IF('2mC'!B10&lt;&gt;"",'2mC'!C10,"")</f>
        <v/>
      </c>
      <c r="D1760" s="82">
        <f>IF('2mC'!B10&lt;&gt;"",'2mC'!D10,"")</f>
        <v/>
      </c>
      <c r="E1760" s="82">
        <f>IF('2mC'!B10&lt;&gt;"",'2mC'!E10,"")</f>
        <v/>
      </c>
      <c r="F1760" s="82">
        <f>IF('2mC'!B10&lt;&gt;"",'2mC'!F10,"")</f>
        <v/>
      </c>
      <c r="G1760" s="82">
        <f>IF('2mC'!B10&lt;&gt;"",'2mC'!G10,"")</f>
        <v/>
      </c>
      <c r="H1760" s="92">
        <f>IF('2mC'!B10&lt;&gt;"",'2mC'!H10,"")</f>
        <v/>
      </c>
      <c r="I1760" s="92">
        <f>IF('2mC'!B10&lt;&gt;"",'2mC'!I10,"")</f>
        <v/>
      </c>
      <c r="J1760" s="82">
        <f>IF('2mC'!B10&lt;&gt;"",'2mC'!J10,"")</f>
        <v/>
      </c>
    </row>
    <row r="1761" ht="15.75" customHeight="1" s="52">
      <c r="A1761" s="97">
        <f>IF('2mC'!B11&lt;&gt;"","2mC","")</f>
        <v/>
      </c>
      <c r="B1761" s="78">
        <f>IF('2mC'!B11&lt;&gt;"",'2mC'!B11,"")</f>
        <v/>
      </c>
      <c r="C1761" s="78">
        <f>IF('2mC'!B11&lt;&gt;"",'2mC'!C11,"")</f>
        <v/>
      </c>
      <c r="D1761" s="78">
        <f>IF('2mC'!B11&lt;&gt;"",'2mC'!D11,"")</f>
        <v/>
      </c>
      <c r="E1761" s="78">
        <f>IF('2mC'!B11&lt;&gt;"",'2mC'!E11,"")</f>
        <v/>
      </c>
      <c r="F1761" s="78">
        <f>IF('2mC'!B11&lt;&gt;"",'2mC'!F11,"")</f>
        <v/>
      </c>
      <c r="G1761" s="78">
        <f>IF('2mC'!B11&lt;&gt;"",'2mC'!G11,"")</f>
        <v/>
      </c>
      <c r="H1761" s="97">
        <f>IF('2mC'!B11&lt;&gt;"",'2mC'!H11,"")</f>
        <v/>
      </c>
      <c r="I1761" s="97">
        <f>IF('2mC'!B11&lt;&gt;"",'2mC'!I11,"")</f>
        <v/>
      </c>
      <c r="J1761" s="78">
        <f>IF('2mC'!B11&lt;&gt;"",'2mC'!J11,"")</f>
        <v/>
      </c>
    </row>
    <row r="1762" ht="15.75" customHeight="1" s="52">
      <c r="A1762" s="92">
        <f>IF('2mC'!B12&lt;&gt;"","2mC","")</f>
        <v/>
      </c>
      <c r="B1762" s="82">
        <f>IF('2mC'!B12&lt;&gt;"",'2mC'!B12,"")</f>
        <v/>
      </c>
      <c r="C1762" s="82">
        <f>IF('2mC'!B12&lt;&gt;"",'2mC'!C12,"")</f>
        <v/>
      </c>
      <c r="D1762" s="82">
        <f>IF('2mC'!B12&lt;&gt;"",'2mC'!D12,"")</f>
        <v/>
      </c>
      <c r="E1762" s="82">
        <f>IF('2mC'!B12&lt;&gt;"",'2mC'!E12,"")</f>
        <v/>
      </c>
      <c r="F1762" s="82">
        <f>IF('2mC'!B12&lt;&gt;"",'2mC'!F12,"")</f>
        <v/>
      </c>
      <c r="G1762" s="82">
        <f>IF('2mC'!B12&lt;&gt;"",'2mC'!G12,"")</f>
        <v/>
      </c>
      <c r="H1762" s="92">
        <f>IF('2mC'!B12&lt;&gt;"",'2mC'!H12,"")</f>
        <v/>
      </c>
      <c r="I1762" s="92">
        <f>IF('2mC'!B12&lt;&gt;"",'2mC'!I12,"")</f>
        <v/>
      </c>
      <c r="J1762" s="82">
        <f>IF('2mC'!B12&lt;&gt;"",'2mC'!J12,"")</f>
        <v/>
      </c>
    </row>
    <row r="1763" ht="15.75" customHeight="1" s="52">
      <c r="A1763" s="97">
        <f>IF('2mC'!B13&lt;&gt;"","2mC","")</f>
        <v/>
      </c>
      <c r="B1763" s="78">
        <f>IF('2mC'!B13&lt;&gt;"",'2mC'!B13,"")</f>
        <v/>
      </c>
      <c r="C1763" s="78">
        <f>IF('2mC'!B13&lt;&gt;"",'2mC'!C13,"")</f>
        <v/>
      </c>
      <c r="D1763" s="78">
        <f>IF('2mC'!B13&lt;&gt;"",'2mC'!D13,"")</f>
        <v/>
      </c>
      <c r="E1763" s="78">
        <f>IF('2mC'!B13&lt;&gt;"",'2mC'!E13,"")</f>
        <v/>
      </c>
      <c r="F1763" s="78">
        <f>IF('2mC'!B13&lt;&gt;"",'2mC'!F13,"")</f>
        <v/>
      </c>
      <c r="G1763" s="78">
        <f>IF('2mC'!B13&lt;&gt;"",'2mC'!G13,"")</f>
        <v/>
      </c>
      <c r="H1763" s="97">
        <f>IF('2mC'!B13&lt;&gt;"",'2mC'!H13,"")</f>
        <v/>
      </c>
      <c r="I1763" s="97">
        <f>IF('2mC'!B13&lt;&gt;"",'2mC'!I13,"")</f>
        <v/>
      </c>
      <c r="J1763" s="78">
        <f>IF('2mC'!B13&lt;&gt;"",'2mC'!J13,"")</f>
        <v/>
      </c>
    </row>
    <row r="1764" ht="15.75" customHeight="1" s="52">
      <c r="A1764" s="92">
        <f>IF('2mC'!B14&lt;&gt;"","2mC","")</f>
        <v/>
      </c>
      <c r="B1764" s="82">
        <f>IF('2mC'!B14&lt;&gt;"",'2mC'!B14,"")</f>
        <v/>
      </c>
      <c r="C1764" s="82">
        <f>IF('2mC'!B14&lt;&gt;"",'2mC'!C14,"")</f>
        <v/>
      </c>
      <c r="D1764" s="82">
        <f>IF('2mC'!B14&lt;&gt;"",'2mC'!D14,"")</f>
        <v/>
      </c>
      <c r="E1764" s="82">
        <f>IF('2mC'!B14&lt;&gt;"",'2mC'!E14,"")</f>
        <v/>
      </c>
      <c r="F1764" s="82">
        <f>IF('2mC'!B14&lt;&gt;"",'2mC'!F14,"")</f>
        <v/>
      </c>
      <c r="G1764" s="82">
        <f>IF('2mC'!B14&lt;&gt;"",'2mC'!G14,"")</f>
        <v/>
      </c>
      <c r="H1764" s="92">
        <f>IF('2mC'!B14&lt;&gt;"",'2mC'!H14,"")</f>
        <v/>
      </c>
      <c r="I1764" s="92">
        <f>IF('2mC'!B14&lt;&gt;"",'2mC'!I14,"")</f>
        <v/>
      </c>
      <c r="J1764" s="82">
        <f>IF('2mC'!B14&lt;&gt;"",'2mC'!J14,"")</f>
        <v/>
      </c>
    </row>
    <row r="1765" ht="15.75" customHeight="1" s="52">
      <c r="A1765" s="97">
        <f>IF('2mC'!B15&lt;&gt;"","2mC","")</f>
        <v/>
      </c>
      <c r="B1765" s="78">
        <f>IF('2mC'!B15&lt;&gt;"",'2mC'!B15,"")</f>
        <v/>
      </c>
      <c r="C1765" s="78">
        <f>IF('2mC'!B15&lt;&gt;"",'2mC'!C15,"")</f>
        <v/>
      </c>
      <c r="D1765" s="78">
        <f>IF('2mC'!B15&lt;&gt;"",'2mC'!D15,"")</f>
        <v/>
      </c>
      <c r="E1765" s="78">
        <f>IF('2mC'!B15&lt;&gt;"",'2mC'!E15,"")</f>
        <v/>
      </c>
      <c r="F1765" s="78">
        <f>IF('2mC'!B15&lt;&gt;"",'2mC'!F15,"")</f>
        <v/>
      </c>
      <c r="G1765" s="78">
        <f>IF('2mC'!B15&lt;&gt;"",'2mC'!G15,"")</f>
        <v/>
      </c>
      <c r="H1765" s="97">
        <f>IF('2mC'!B15&lt;&gt;"",'2mC'!H15,"")</f>
        <v/>
      </c>
      <c r="I1765" s="97">
        <f>IF('2mC'!B15&lt;&gt;"",'2mC'!I15,"")</f>
        <v/>
      </c>
      <c r="J1765" s="78">
        <f>IF('2mC'!B15&lt;&gt;"",'2mC'!J15,"")</f>
        <v/>
      </c>
    </row>
    <row r="1766" ht="15.75" customHeight="1" s="52">
      <c r="A1766" s="92">
        <f>IF('2mC'!B16&lt;&gt;"","2mC","")</f>
        <v/>
      </c>
      <c r="B1766" s="82">
        <f>IF('2mC'!B16&lt;&gt;"",'2mC'!B16,"")</f>
        <v/>
      </c>
      <c r="C1766" s="82">
        <f>IF('2mC'!B16&lt;&gt;"",'2mC'!C16,"")</f>
        <v/>
      </c>
      <c r="D1766" s="82">
        <f>IF('2mC'!B16&lt;&gt;"",'2mC'!D16,"")</f>
        <v/>
      </c>
      <c r="E1766" s="82">
        <f>IF('2mC'!B16&lt;&gt;"",'2mC'!E16,"")</f>
        <v/>
      </c>
      <c r="F1766" s="82">
        <f>IF('2mC'!B16&lt;&gt;"",'2mC'!F16,"")</f>
        <v/>
      </c>
      <c r="G1766" s="82">
        <f>IF('2mC'!B16&lt;&gt;"",'2mC'!G16,"")</f>
        <v/>
      </c>
      <c r="H1766" s="92">
        <f>IF('2mC'!B16&lt;&gt;"",'2mC'!H16,"")</f>
        <v/>
      </c>
      <c r="I1766" s="92">
        <f>IF('2mC'!B16&lt;&gt;"",'2mC'!I16,"")</f>
        <v/>
      </c>
      <c r="J1766" s="82">
        <f>IF('2mC'!B16&lt;&gt;"",'2mC'!J16,"")</f>
        <v/>
      </c>
    </row>
    <row r="1767" ht="15.75" customHeight="1" s="52">
      <c r="A1767" s="97">
        <f>IF('2mC'!B17&lt;&gt;"","2mC","")</f>
        <v/>
      </c>
      <c r="B1767" s="78">
        <f>IF('2mC'!B17&lt;&gt;"",'2mC'!B17,"")</f>
        <v/>
      </c>
      <c r="C1767" s="78">
        <f>IF('2mC'!B17&lt;&gt;"",'2mC'!C17,"")</f>
        <v/>
      </c>
      <c r="D1767" s="78">
        <f>IF('2mC'!B17&lt;&gt;"",'2mC'!D17,"")</f>
        <v/>
      </c>
      <c r="E1767" s="78">
        <f>IF('2mC'!B17&lt;&gt;"",'2mC'!E17,"")</f>
        <v/>
      </c>
      <c r="F1767" s="78">
        <f>IF('2mC'!B17&lt;&gt;"",'2mC'!F17,"")</f>
        <v/>
      </c>
      <c r="G1767" s="78">
        <f>IF('2mC'!B17&lt;&gt;"",'2mC'!G17,"")</f>
        <v/>
      </c>
      <c r="H1767" s="97">
        <f>IF('2mC'!B17&lt;&gt;"",'2mC'!H17,"")</f>
        <v/>
      </c>
      <c r="I1767" s="97">
        <f>IF('2mC'!B17&lt;&gt;"",'2mC'!I17,"")</f>
        <v/>
      </c>
      <c r="J1767" s="78">
        <f>IF('2mC'!B17&lt;&gt;"",'2mC'!J17,"")</f>
        <v/>
      </c>
    </row>
    <row r="1768" ht="15.75" customHeight="1" s="52">
      <c r="A1768" s="92">
        <f>IF('2mC'!B18&lt;&gt;"","2mC","")</f>
        <v/>
      </c>
      <c r="B1768" s="82">
        <f>IF('2mC'!B18&lt;&gt;"",'2mC'!B18,"")</f>
        <v/>
      </c>
      <c r="C1768" s="82">
        <f>IF('2mC'!B18&lt;&gt;"",'2mC'!C18,"")</f>
        <v/>
      </c>
      <c r="D1768" s="82">
        <f>IF('2mC'!B18&lt;&gt;"",'2mC'!D18,"")</f>
        <v/>
      </c>
      <c r="E1768" s="82">
        <f>IF('2mC'!B18&lt;&gt;"",'2mC'!E18,"")</f>
        <v/>
      </c>
      <c r="F1768" s="82">
        <f>IF('2mC'!B18&lt;&gt;"",'2mC'!F18,"")</f>
        <v/>
      </c>
      <c r="G1768" s="82">
        <f>IF('2mC'!B18&lt;&gt;"",'2mC'!G18,"")</f>
        <v/>
      </c>
      <c r="H1768" s="92">
        <f>IF('2mC'!B18&lt;&gt;"",'2mC'!H18,"")</f>
        <v/>
      </c>
      <c r="I1768" s="92">
        <f>IF('2mC'!B18&lt;&gt;"",'2mC'!I18,"")</f>
        <v/>
      </c>
      <c r="J1768" s="82">
        <f>IF('2mC'!B18&lt;&gt;"",'2mC'!J18,"")</f>
        <v/>
      </c>
    </row>
    <row r="1769" ht="15.75" customHeight="1" s="52">
      <c r="A1769" s="97">
        <f>IF('2mC'!B19&lt;&gt;"","2mC","")</f>
        <v/>
      </c>
      <c r="B1769" s="78">
        <f>IF('2mC'!B19&lt;&gt;"",'2mC'!B19,"")</f>
        <v/>
      </c>
      <c r="C1769" s="78">
        <f>IF('2mC'!B19&lt;&gt;"",'2mC'!C19,"")</f>
        <v/>
      </c>
      <c r="D1769" s="78">
        <f>IF('2mC'!B19&lt;&gt;"",'2mC'!D19,"")</f>
        <v/>
      </c>
      <c r="E1769" s="78">
        <f>IF('2mC'!B19&lt;&gt;"",'2mC'!E19,"")</f>
        <v/>
      </c>
      <c r="F1769" s="78">
        <f>IF('2mC'!B19&lt;&gt;"",'2mC'!F19,"")</f>
        <v/>
      </c>
      <c r="G1769" s="78">
        <f>IF('2mC'!B19&lt;&gt;"",'2mC'!G19,"")</f>
        <v/>
      </c>
      <c r="H1769" s="97">
        <f>IF('2mC'!B19&lt;&gt;"",'2mC'!H19,"")</f>
        <v/>
      </c>
      <c r="I1769" s="97">
        <f>IF('2mC'!B19&lt;&gt;"",'2mC'!I19,"")</f>
        <v/>
      </c>
      <c r="J1769" s="78">
        <f>IF('2mC'!B19&lt;&gt;"",'2mC'!J19,"")</f>
        <v/>
      </c>
    </row>
    <row r="1770" ht="15.75" customHeight="1" s="52">
      <c r="A1770" s="92">
        <f>IF('2mC'!B20&lt;&gt;"","2mC","")</f>
        <v/>
      </c>
      <c r="B1770" s="82">
        <f>IF('2mC'!B20&lt;&gt;"",'2mC'!B20,"")</f>
        <v/>
      </c>
      <c r="C1770" s="82">
        <f>IF('2mC'!B20&lt;&gt;"",'2mC'!C20,"")</f>
        <v/>
      </c>
      <c r="D1770" s="82">
        <f>IF('2mC'!B20&lt;&gt;"",'2mC'!D20,"")</f>
        <v/>
      </c>
      <c r="E1770" s="82">
        <f>IF('2mC'!B20&lt;&gt;"",'2mC'!E20,"")</f>
        <v/>
      </c>
      <c r="F1770" s="82">
        <f>IF('2mC'!B20&lt;&gt;"",'2mC'!F20,"")</f>
        <v/>
      </c>
      <c r="G1770" s="82">
        <f>IF('2mC'!B20&lt;&gt;"",'2mC'!G20,"")</f>
        <v/>
      </c>
      <c r="H1770" s="92">
        <f>IF('2mC'!B20&lt;&gt;"",'2mC'!H20,"")</f>
        <v/>
      </c>
      <c r="I1770" s="92">
        <f>IF('2mC'!B20&lt;&gt;"",'2mC'!I20,"")</f>
        <v/>
      </c>
      <c r="J1770" s="82">
        <f>IF('2mC'!B20&lt;&gt;"",'2mC'!J20,"")</f>
        <v/>
      </c>
    </row>
    <row r="1771" ht="15.75" customHeight="1" s="52">
      <c r="A1771" s="97">
        <f>IF('2mC'!B21&lt;&gt;"","2mC","")</f>
        <v/>
      </c>
      <c r="B1771" s="78">
        <f>IF('2mC'!B21&lt;&gt;"",'2mC'!B21,"")</f>
        <v/>
      </c>
      <c r="C1771" s="78">
        <f>IF('2mC'!B21&lt;&gt;"",'2mC'!C21,"")</f>
        <v/>
      </c>
      <c r="D1771" s="78">
        <f>IF('2mC'!B21&lt;&gt;"",'2mC'!D21,"")</f>
        <v/>
      </c>
      <c r="E1771" s="78">
        <f>IF('2mC'!B21&lt;&gt;"",'2mC'!E21,"")</f>
        <v/>
      </c>
      <c r="F1771" s="78">
        <f>IF('2mC'!B21&lt;&gt;"",'2mC'!F21,"")</f>
        <v/>
      </c>
      <c r="G1771" s="78">
        <f>IF('2mC'!B21&lt;&gt;"",'2mC'!G21,"")</f>
        <v/>
      </c>
      <c r="H1771" s="97">
        <f>IF('2mC'!B21&lt;&gt;"",'2mC'!H21,"")</f>
        <v/>
      </c>
      <c r="I1771" s="97">
        <f>IF('2mC'!B21&lt;&gt;"",'2mC'!I21,"")</f>
        <v/>
      </c>
      <c r="J1771" s="78">
        <f>IF('2mC'!B21&lt;&gt;"",'2mC'!J21,"")</f>
        <v/>
      </c>
    </row>
    <row r="1772" ht="15.75" customHeight="1" s="52">
      <c r="A1772" s="92">
        <f>IF('2mC'!B22&lt;&gt;"","2mC","")</f>
        <v/>
      </c>
      <c r="B1772" s="82">
        <f>IF('2mC'!B22&lt;&gt;"",'2mC'!B22,"")</f>
        <v/>
      </c>
      <c r="C1772" s="82">
        <f>IF('2mC'!B22&lt;&gt;"",'2mC'!C22,"")</f>
        <v/>
      </c>
      <c r="D1772" s="82">
        <f>IF('2mC'!B22&lt;&gt;"",'2mC'!D22,"")</f>
        <v/>
      </c>
      <c r="E1772" s="82">
        <f>IF('2mC'!B22&lt;&gt;"",'2mC'!E22,"")</f>
        <v/>
      </c>
      <c r="F1772" s="82">
        <f>IF('2mC'!B22&lt;&gt;"",'2mC'!F22,"")</f>
        <v/>
      </c>
      <c r="G1772" s="82">
        <f>IF('2mC'!B22&lt;&gt;"",'2mC'!G22,"")</f>
        <v/>
      </c>
      <c r="H1772" s="92">
        <f>IF('2mC'!B22&lt;&gt;"",'2mC'!H22,"")</f>
        <v/>
      </c>
      <c r="I1772" s="92">
        <f>IF('2mC'!B22&lt;&gt;"",'2mC'!I22,"")</f>
        <v/>
      </c>
      <c r="J1772" s="82">
        <f>IF('2mC'!B22&lt;&gt;"",'2mC'!J22,"")</f>
        <v/>
      </c>
    </row>
    <row r="1773" ht="15.75" customHeight="1" s="52">
      <c r="A1773" s="97">
        <f>IF('2mC'!B23&lt;&gt;"","2mC","")</f>
        <v/>
      </c>
      <c r="B1773" s="78">
        <f>IF('2mC'!B23&lt;&gt;"",'2mC'!B23,"")</f>
        <v/>
      </c>
      <c r="C1773" s="78">
        <f>IF('2mC'!B23&lt;&gt;"",'2mC'!C23,"")</f>
        <v/>
      </c>
      <c r="D1773" s="78">
        <f>IF('2mC'!B23&lt;&gt;"",'2mC'!D23,"")</f>
        <v/>
      </c>
      <c r="E1773" s="78">
        <f>IF('2mC'!B23&lt;&gt;"",'2mC'!E23,"")</f>
        <v/>
      </c>
      <c r="F1773" s="78">
        <f>IF('2mC'!B23&lt;&gt;"",'2mC'!F23,"")</f>
        <v/>
      </c>
      <c r="G1773" s="78">
        <f>IF('2mC'!B23&lt;&gt;"",'2mC'!G23,"")</f>
        <v/>
      </c>
      <c r="H1773" s="97">
        <f>IF('2mC'!B23&lt;&gt;"",'2mC'!H23,"")</f>
        <v/>
      </c>
      <c r="I1773" s="97">
        <f>IF('2mC'!B23&lt;&gt;"",'2mC'!I23,"")</f>
        <v/>
      </c>
      <c r="J1773" s="78">
        <f>IF('2mC'!B23&lt;&gt;"",'2mC'!J23,"")</f>
        <v/>
      </c>
    </row>
    <row r="1774" ht="15.75" customHeight="1" s="52">
      <c r="A1774" s="92">
        <f>IF('2mC'!B24&lt;&gt;"","2mC","")</f>
        <v/>
      </c>
      <c r="B1774" s="82">
        <f>IF('2mC'!B24&lt;&gt;"",'2mC'!B24,"")</f>
        <v/>
      </c>
      <c r="C1774" s="82">
        <f>IF('2mC'!B24&lt;&gt;"",'2mC'!C24,"")</f>
        <v/>
      </c>
      <c r="D1774" s="82">
        <f>IF('2mC'!B24&lt;&gt;"",'2mC'!D24,"")</f>
        <v/>
      </c>
      <c r="E1774" s="82">
        <f>IF('2mC'!B24&lt;&gt;"",'2mC'!E24,"")</f>
        <v/>
      </c>
      <c r="F1774" s="82">
        <f>IF('2mC'!B24&lt;&gt;"",'2mC'!F24,"")</f>
        <v/>
      </c>
      <c r="G1774" s="82">
        <f>IF('2mC'!B24&lt;&gt;"",'2mC'!G24,"")</f>
        <v/>
      </c>
      <c r="H1774" s="92">
        <f>IF('2mC'!B24&lt;&gt;"",'2mC'!H24,"")</f>
        <v/>
      </c>
      <c r="I1774" s="92">
        <f>IF('2mC'!B24&lt;&gt;"",'2mC'!I24,"")</f>
        <v/>
      </c>
      <c r="J1774" s="82">
        <f>IF('2mC'!B24&lt;&gt;"",'2mC'!J24,"")</f>
        <v/>
      </c>
    </row>
    <row r="1775" ht="15.75" customHeight="1" s="52">
      <c r="A1775" s="97">
        <f>IF('2mC'!B25&lt;&gt;"","2mC","")</f>
        <v/>
      </c>
      <c r="B1775" s="78">
        <f>IF('2mC'!B25&lt;&gt;"",'2mC'!B25,"")</f>
        <v/>
      </c>
      <c r="C1775" s="78">
        <f>IF('2mC'!B25&lt;&gt;"",'2mC'!C25,"")</f>
        <v/>
      </c>
      <c r="D1775" s="78">
        <f>IF('2mC'!B25&lt;&gt;"",'2mC'!D25,"")</f>
        <v/>
      </c>
      <c r="E1775" s="78">
        <f>IF('2mC'!B25&lt;&gt;"",'2mC'!E25,"")</f>
        <v/>
      </c>
      <c r="F1775" s="78">
        <f>IF('2mC'!B25&lt;&gt;"",'2mC'!F25,"")</f>
        <v/>
      </c>
      <c r="G1775" s="78">
        <f>IF('2mC'!B25&lt;&gt;"",'2mC'!G25,"")</f>
        <v/>
      </c>
      <c r="H1775" s="97">
        <f>IF('2mC'!B25&lt;&gt;"",'2mC'!H25,"")</f>
        <v/>
      </c>
      <c r="I1775" s="97">
        <f>IF('2mC'!B25&lt;&gt;"",'2mC'!I25,"")</f>
        <v/>
      </c>
      <c r="J1775" s="78">
        <f>IF('2mC'!B25&lt;&gt;"",'2mC'!J25,"")</f>
        <v/>
      </c>
    </row>
    <row r="1776" ht="15.75" customHeight="1" s="52">
      <c r="A1776" s="92">
        <f>IF('2mC'!B26&lt;&gt;"","2mC","")</f>
        <v/>
      </c>
      <c r="B1776" s="82">
        <f>IF('2mC'!B26&lt;&gt;"",'2mC'!B26,"")</f>
        <v/>
      </c>
      <c r="C1776" s="82">
        <f>IF('2mC'!B26&lt;&gt;"",'2mC'!C26,"")</f>
        <v/>
      </c>
      <c r="D1776" s="82">
        <f>IF('2mC'!B26&lt;&gt;"",'2mC'!D26,"")</f>
        <v/>
      </c>
      <c r="E1776" s="82">
        <f>IF('2mC'!B26&lt;&gt;"",'2mC'!E26,"")</f>
        <v/>
      </c>
      <c r="F1776" s="82">
        <f>IF('2mC'!B26&lt;&gt;"",'2mC'!F26,"")</f>
        <v/>
      </c>
      <c r="G1776" s="82">
        <f>IF('2mC'!B26&lt;&gt;"",'2mC'!G26,"")</f>
        <v/>
      </c>
      <c r="H1776" s="92">
        <f>IF('2mC'!B26&lt;&gt;"",'2mC'!H26,"")</f>
        <v/>
      </c>
      <c r="I1776" s="92">
        <f>IF('2mC'!B26&lt;&gt;"",'2mC'!I26,"")</f>
        <v/>
      </c>
      <c r="J1776" s="82">
        <f>IF('2mC'!B26&lt;&gt;"",'2mC'!J26,"")</f>
        <v/>
      </c>
    </row>
    <row r="1777" ht="15.75" customHeight="1" s="52">
      <c r="A1777" s="97">
        <f>IF('2mC'!B27&lt;&gt;"","2mC","")</f>
        <v/>
      </c>
      <c r="B1777" s="78">
        <f>IF('2mC'!B27&lt;&gt;"",'2mC'!B27,"")</f>
        <v/>
      </c>
      <c r="C1777" s="78">
        <f>IF('2mC'!B27&lt;&gt;"",'2mC'!C27,"")</f>
        <v/>
      </c>
      <c r="D1777" s="78">
        <f>IF('2mC'!B27&lt;&gt;"",'2mC'!D27,"")</f>
        <v/>
      </c>
      <c r="E1777" s="78">
        <f>IF('2mC'!B27&lt;&gt;"",'2mC'!E27,"")</f>
        <v/>
      </c>
      <c r="F1777" s="78">
        <f>IF('2mC'!B27&lt;&gt;"",'2mC'!F27,"")</f>
        <v/>
      </c>
      <c r="G1777" s="78">
        <f>IF('2mC'!B27&lt;&gt;"",'2mC'!G27,"")</f>
        <v/>
      </c>
      <c r="H1777" s="97">
        <f>IF('2mC'!B27&lt;&gt;"",'2mC'!H27,"")</f>
        <v/>
      </c>
      <c r="I1777" s="97">
        <f>IF('2mC'!B27&lt;&gt;"",'2mC'!I27,"")</f>
        <v/>
      </c>
      <c r="J1777" s="78">
        <f>IF('2mC'!B27&lt;&gt;"",'2mC'!J27,"")</f>
        <v/>
      </c>
    </row>
    <row r="1778" ht="15.75" customHeight="1" s="52">
      <c r="A1778" s="92">
        <f>IF('2mC'!B28&lt;&gt;"","2mC","")</f>
        <v/>
      </c>
      <c r="B1778" s="82">
        <f>IF('2mC'!B28&lt;&gt;"",'2mC'!B28,"")</f>
        <v/>
      </c>
      <c r="C1778" s="82">
        <f>IF('2mC'!B28&lt;&gt;"",'2mC'!C28,"")</f>
        <v/>
      </c>
      <c r="D1778" s="82">
        <f>IF('2mC'!B28&lt;&gt;"",'2mC'!D28,"")</f>
        <v/>
      </c>
      <c r="E1778" s="82">
        <f>IF('2mC'!B28&lt;&gt;"",'2mC'!E28,"")</f>
        <v/>
      </c>
      <c r="F1778" s="82">
        <f>IF('2mC'!B28&lt;&gt;"",'2mC'!F28,"")</f>
        <v/>
      </c>
      <c r="G1778" s="82">
        <f>IF('2mC'!B28&lt;&gt;"",'2mC'!G28,"")</f>
        <v/>
      </c>
      <c r="H1778" s="92">
        <f>IF('2mC'!B28&lt;&gt;"",'2mC'!H28,"")</f>
        <v/>
      </c>
      <c r="I1778" s="92">
        <f>IF('2mC'!B28&lt;&gt;"",'2mC'!I28,"")</f>
        <v/>
      </c>
      <c r="J1778" s="82">
        <f>IF('2mC'!B28&lt;&gt;"",'2mC'!J28,"")</f>
        <v/>
      </c>
    </row>
    <row r="1779" ht="15.75" customHeight="1" s="52">
      <c r="A1779" s="97">
        <f>IF('2mC'!B29&lt;&gt;"","2mC","")</f>
        <v/>
      </c>
      <c r="B1779" s="78">
        <f>IF('2mC'!B29&lt;&gt;"",'2mC'!B29,"")</f>
        <v/>
      </c>
      <c r="C1779" s="78">
        <f>IF('2mC'!B29&lt;&gt;"",'2mC'!C29,"")</f>
        <v/>
      </c>
      <c r="D1779" s="78">
        <f>IF('2mC'!B29&lt;&gt;"",'2mC'!D29,"")</f>
        <v/>
      </c>
      <c r="E1779" s="78">
        <f>IF('2mC'!B29&lt;&gt;"",'2mC'!E29,"")</f>
        <v/>
      </c>
      <c r="F1779" s="78">
        <f>IF('2mC'!B29&lt;&gt;"",'2mC'!F29,"")</f>
        <v/>
      </c>
      <c r="G1779" s="78">
        <f>IF('2mC'!B29&lt;&gt;"",'2mC'!G29,"")</f>
        <v/>
      </c>
      <c r="H1779" s="97">
        <f>IF('2mC'!B29&lt;&gt;"",'2mC'!H29,"")</f>
        <v/>
      </c>
      <c r="I1779" s="97">
        <f>IF('2mC'!B29&lt;&gt;"",'2mC'!I29,"")</f>
        <v/>
      </c>
      <c r="J1779" s="78">
        <f>IF('2mC'!B29&lt;&gt;"",'2mC'!J29,"")</f>
        <v/>
      </c>
    </row>
    <row r="1780" ht="15.75" customHeight="1" s="52">
      <c r="A1780" s="92">
        <f>IF('2mC'!B30&lt;&gt;"","2mC","")</f>
        <v/>
      </c>
      <c r="B1780" s="82">
        <f>IF('2mC'!B30&lt;&gt;"",'2mC'!B30,"")</f>
        <v/>
      </c>
      <c r="C1780" s="82">
        <f>IF('2mC'!B30&lt;&gt;"",'2mC'!C30,"")</f>
        <v/>
      </c>
      <c r="D1780" s="82">
        <f>IF('2mC'!B30&lt;&gt;"",'2mC'!D30,"")</f>
        <v/>
      </c>
      <c r="E1780" s="82">
        <f>IF('2mC'!B30&lt;&gt;"",'2mC'!E30,"")</f>
        <v/>
      </c>
      <c r="F1780" s="82">
        <f>IF('2mC'!B30&lt;&gt;"",'2mC'!F30,"")</f>
        <v/>
      </c>
      <c r="G1780" s="82">
        <f>IF('2mC'!B30&lt;&gt;"",'2mC'!G30,"")</f>
        <v/>
      </c>
      <c r="H1780" s="92">
        <f>IF('2mC'!B30&lt;&gt;"",'2mC'!H30,"")</f>
        <v/>
      </c>
      <c r="I1780" s="92">
        <f>IF('2mC'!B30&lt;&gt;"",'2mC'!I30,"")</f>
        <v/>
      </c>
      <c r="J1780" s="82">
        <f>IF('2mC'!B30&lt;&gt;"",'2mC'!J30,"")</f>
        <v/>
      </c>
    </row>
    <row r="1781" ht="15.75" customHeight="1" s="52">
      <c r="A1781" s="97">
        <f>IF('2mC'!B31&lt;&gt;"","2mC","")</f>
        <v/>
      </c>
      <c r="B1781" s="78">
        <f>IF('2mC'!B31&lt;&gt;"",'2mC'!B31,"")</f>
        <v/>
      </c>
      <c r="C1781" s="78">
        <f>IF('2mC'!B31&lt;&gt;"",'2mC'!C31,"")</f>
        <v/>
      </c>
      <c r="D1781" s="78">
        <f>IF('2mC'!B31&lt;&gt;"",'2mC'!D31,"")</f>
        <v/>
      </c>
      <c r="E1781" s="78">
        <f>IF('2mC'!B31&lt;&gt;"",'2mC'!E31,"")</f>
        <v/>
      </c>
      <c r="F1781" s="78">
        <f>IF('2mC'!B31&lt;&gt;"",'2mC'!F31,"")</f>
        <v/>
      </c>
      <c r="G1781" s="78">
        <f>IF('2mC'!B31&lt;&gt;"",'2mC'!G31,"")</f>
        <v/>
      </c>
      <c r="H1781" s="97">
        <f>IF('2mC'!B31&lt;&gt;"",'2mC'!H31,"")</f>
        <v/>
      </c>
      <c r="I1781" s="97">
        <f>IF('2mC'!B31&lt;&gt;"",'2mC'!I31,"")</f>
        <v/>
      </c>
      <c r="J1781" s="78">
        <f>IF('2mC'!B31&lt;&gt;"",'2mC'!J31,"")</f>
        <v/>
      </c>
    </row>
    <row r="1782" ht="15.75" customHeight="1" s="52">
      <c r="A1782" s="92">
        <f>IF('2mC'!B32&lt;&gt;"","2mC","")</f>
        <v/>
      </c>
      <c r="B1782" s="82">
        <f>IF('2mC'!B32&lt;&gt;"",'2mC'!B32,"")</f>
        <v/>
      </c>
      <c r="C1782" s="82">
        <f>IF('2mC'!B32&lt;&gt;"",'2mC'!C32,"")</f>
        <v/>
      </c>
      <c r="D1782" s="82">
        <f>IF('2mC'!B32&lt;&gt;"",'2mC'!D32,"")</f>
        <v/>
      </c>
      <c r="E1782" s="82">
        <f>IF('2mC'!B32&lt;&gt;"",'2mC'!E32,"")</f>
        <v/>
      </c>
      <c r="F1782" s="82">
        <f>IF('2mC'!B32&lt;&gt;"",'2mC'!F32,"")</f>
        <v/>
      </c>
      <c r="G1782" s="82">
        <f>IF('2mC'!B32&lt;&gt;"",'2mC'!G32,"")</f>
        <v/>
      </c>
      <c r="H1782" s="92">
        <f>IF('2mC'!B32&lt;&gt;"",'2mC'!H32,"")</f>
        <v/>
      </c>
      <c r="I1782" s="92">
        <f>IF('2mC'!B32&lt;&gt;"",'2mC'!I32,"")</f>
        <v/>
      </c>
      <c r="J1782" s="82">
        <f>IF('2mC'!B32&lt;&gt;"",'2mC'!J32,"")</f>
        <v/>
      </c>
    </row>
    <row r="1783" ht="15.75" customHeight="1" s="52">
      <c r="A1783" s="97">
        <f>IF('2mC'!B33&lt;&gt;"","2mC","")</f>
        <v/>
      </c>
      <c r="B1783" s="78">
        <f>IF('2mC'!B33&lt;&gt;"",'2mC'!B33,"")</f>
        <v/>
      </c>
      <c r="C1783" s="78">
        <f>IF('2mC'!B33&lt;&gt;"",'2mC'!C33,"")</f>
        <v/>
      </c>
      <c r="D1783" s="78">
        <f>IF('2mC'!B33&lt;&gt;"",'2mC'!D33,"")</f>
        <v/>
      </c>
      <c r="E1783" s="78">
        <f>IF('2mC'!B33&lt;&gt;"",'2mC'!E33,"")</f>
        <v/>
      </c>
      <c r="F1783" s="78">
        <f>IF('2mC'!B33&lt;&gt;"",'2mC'!F33,"")</f>
        <v/>
      </c>
      <c r="G1783" s="78">
        <f>IF('2mC'!B33&lt;&gt;"",'2mC'!G33,"")</f>
        <v/>
      </c>
      <c r="H1783" s="97">
        <f>IF('2mC'!B33&lt;&gt;"",'2mC'!H33,"")</f>
        <v/>
      </c>
      <c r="I1783" s="97">
        <f>IF('2mC'!B33&lt;&gt;"",'2mC'!I33,"")</f>
        <v/>
      </c>
      <c r="J1783" s="78">
        <f>IF('2mC'!B33&lt;&gt;"",'2mC'!J33,"")</f>
        <v/>
      </c>
    </row>
    <row r="1784" ht="15.75" customHeight="1" s="52">
      <c r="A1784" s="92">
        <f>IF('2mC'!B34&lt;&gt;"","2mC","")</f>
        <v/>
      </c>
      <c r="B1784" s="82">
        <f>IF('2mC'!B34&lt;&gt;"",'2mC'!B34,"")</f>
        <v/>
      </c>
      <c r="C1784" s="82">
        <f>IF('2mC'!B34&lt;&gt;"",'2mC'!C34,"")</f>
        <v/>
      </c>
      <c r="D1784" s="82">
        <f>IF('2mC'!B34&lt;&gt;"",'2mC'!D34,"")</f>
        <v/>
      </c>
      <c r="E1784" s="82">
        <f>IF('2mC'!B34&lt;&gt;"",'2mC'!E34,"")</f>
        <v/>
      </c>
      <c r="F1784" s="82">
        <f>IF('2mC'!B34&lt;&gt;"",'2mC'!F34,"")</f>
        <v/>
      </c>
      <c r="G1784" s="82">
        <f>IF('2mC'!B34&lt;&gt;"",'2mC'!G34,"")</f>
        <v/>
      </c>
      <c r="H1784" s="92">
        <f>IF('2mC'!B34&lt;&gt;"",'2mC'!H34,"")</f>
        <v/>
      </c>
      <c r="I1784" s="92">
        <f>IF('2mC'!B34&lt;&gt;"",'2mC'!I34,"")</f>
        <v/>
      </c>
      <c r="J1784" s="82">
        <f>IF('2mC'!B34&lt;&gt;"",'2mC'!J34,"")</f>
        <v/>
      </c>
    </row>
    <row r="1785" ht="15.75" customHeight="1" s="52">
      <c r="A1785" s="97">
        <f>IF('2mC'!B35&lt;&gt;"","2mC","")</f>
        <v/>
      </c>
      <c r="B1785" s="78">
        <f>IF('2mC'!B35&lt;&gt;"",'2mC'!B35,"")</f>
        <v/>
      </c>
      <c r="C1785" s="78">
        <f>IF('2mC'!B35&lt;&gt;"",'2mC'!C35,"")</f>
        <v/>
      </c>
      <c r="D1785" s="78">
        <f>IF('2mC'!B35&lt;&gt;"",'2mC'!D35,"")</f>
        <v/>
      </c>
      <c r="E1785" s="78">
        <f>IF('2mC'!B35&lt;&gt;"",'2mC'!E35,"")</f>
        <v/>
      </c>
      <c r="F1785" s="78">
        <f>IF('2mC'!B35&lt;&gt;"",'2mC'!F35,"")</f>
        <v/>
      </c>
      <c r="G1785" s="78">
        <f>IF('2mC'!B35&lt;&gt;"",'2mC'!G35,"")</f>
        <v/>
      </c>
      <c r="H1785" s="97">
        <f>IF('2mC'!B35&lt;&gt;"",'2mC'!H35,"")</f>
        <v/>
      </c>
      <c r="I1785" s="97">
        <f>IF('2mC'!B35&lt;&gt;"",'2mC'!I35,"")</f>
        <v/>
      </c>
      <c r="J1785" s="78">
        <f>IF('2mC'!B35&lt;&gt;"",'2mC'!J35,"")</f>
        <v/>
      </c>
    </row>
    <row r="1786" ht="15.75" customHeight="1" s="52">
      <c r="A1786" s="92">
        <f>IF('2mC'!B36&lt;&gt;"","2mC","")</f>
        <v/>
      </c>
      <c r="B1786" s="82">
        <f>IF('2mC'!B36&lt;&gt;"",'2mC'!B36,"")</f>
        <v/>
      </c>
      <c r="C1786" s="82">
        <f>IF('2mC'!B36&lt;&gt;"",'2mC'!C36,"")</f>
        <v/>
      </c>
      <c r="D1786" s="82">
        <f>IF('2mC'!B36&lt;&gt;"",'2mC'!D36,"")</f>
        <v/>
      </c>
      <c r="E1786" s="82">
        <f>IF('2mC'!B36&lt;&gt;"",'2mC'!E36,"")</f>
        <v/>
      </c>
      <c r="F1786" s="82">
        <f>IF('2mC'!B36&lt;&gt;"",'2mC'!F36,"")</f>
        <v/>
      </c>
      <c r="G1786" s="82">
        <f>IF('2mC'!B36&lt;&gt;"",'2mC'!G36,"")</f>
        <v/>
      </c>
      <c r="H1786" s="92">
        <f>IF('2mC'!B36&lt;&gt;"",'2mC'!H36,"")</f>
        <v/>
      </c>
      <c r="I1786" s="92">
        <f>IF('2mC'!B36&lt;&gt;"",'2mC'!I36,"")</f>
        <v/>
      </c>
      <c r="J1786" s="82">
        <f>IF('2mC'!B36&lt;&gt;"",'2mC'!J36,"")</f>
        <v/>
      </c>
    </row>
    <row r="1787" ht="15.75" customHeight="1" s="52">
      <c r="A1787" s="97">
        <f>IF('2mC'!B37&lt;&gt;"","2mC","")</f>
        <v/>
      </c>
      <c r="B1787" s="78">
        <f>IF('2mC'!B37&lt;&gt;"",'2mC'!B37,"")</f>
        <v/>
      </c>
      <c r="C1787" s="78">
        <f>IF('2mC'!B37&lt;&gt;"",'2mC'!C37,"")</f>
        <v/>
      </c>
      <c r="D1787" s="78">
        <f>IF('2mC'!B37&lt;&gt;"",'2mC'!D37,"")</f>
        <v/>
      </c>
      <c r="E1787" s="78">
        <f>IF('2mC'!B37&lt;&gt;"",'2mC'!E37,"")</f>
        <v/>
      </c>
      <c r="F1787" s="78">
        <f>IF('2mC'!B37&lt;&gt;"",'2mC'!F37,"")</f>
        <v/>
      </c>
      <c r="G1787" s="78">
        <f>IF('2mC'!B37&lt;&gt;"",'2mC'!G37,"")</f>
        <v/>
      </c>
      <c r="H1787" s="97">
        <f>IF('2mC'!B37&lt;&gt;"",'2mC'!H37,"")</f>
        <v/>
      </c>
      <c r="I1787" s="97">
        <f>IF('2mC'!B37&lt;&gt;"",'2mC'!I37,"")</f>
        <v/>
      </c>
      <c r="J1787" s="78">
        <f>IF('2mC'!B37&lt;&gt;"",'2mC'!J37,"")</f>
        <v/>
      </c>
    </row>
    <row r="1788" ht="15.75" customHeight="1" s="52">
      <c r="A1788" s="92">
        <f>IF('2mC'!B38&lt;&gt;"","2mC","")</f>
        <v/>
      </c>
      <c r="B1788" s="82">
        <f>IF('2mC'!B38&lt;&gt;"",'2mC'!B38,"")</f>
        <v/>
      </c>
      <c r="C1788" s="82">
        <f>IF('2mC'!B38&lt;&gt;"",'2mC'!C38,"")</f>
        <v/>
      </c>
      <c r="D1788" s="82">
        <f>IF('2mC'!B38&lt;&gt;"",'2mC'!D38,"")</f>
        <v/>
      </c>
      <c r="E1788" s="82">
        <f>IF('2mC'!B38&lt;&gt;"",'2mC'!E38,"")</f>
        <v/>
      </c>
      <c r="F1788" s="82">
        <f>IF('2mC'!B38&lt;&gt;"",'2mC'!F38,"")</f>
        <v/>
      </c>
      <c r="G1788" s="82">
        <f>IF('2mC'!B38&lt;&gt;"",'2mC'!G38,"")</f>
        <v/>
      </c>
      <c r="H1788" s="92">
        <f>IF('2mC'!B38&lt;&gt;"",'2mC'!H38,"")</f>
        <v/>
      </c>
      <c r="I1788" s="92">
        <f>IF('2mC'!B38&lt;&gt;"",'2mC'!I38,"")</f>
        <v/>
      </c>
      <c r="J1788" s="82">
        <f>IF('2mC'!B38&lt;&gt;"",'2mC'!J38,"")</f>
        <v/>
      </c>
    </row>
    <row r="1789" ht="15.75" customHeight="1" s="52">
      <c r="A1789" s="97">
        <f>IF('2mC'!B39&lt;&gt;"","2mC","")</f>
        <v/>
      </c>
      <c r="B1789" s="78">
        <f>IF('2mC'!B39&lt;&gt;"",'2mC'!B39,"")</f>
        <v/>
      </c>
      <c r="C1789" s="78">
        <f>IF('2mC'!B39&lt;&gt;"",'2mC'!C39,"")</f>
        <v/>
      </c>
      <c r="D1789" s="78">
        <f>IF('2mC'!B39&lt;&gt;"",'2mC'!D39,"")</f>
        <v/>
      </c>
      <c r="E1789" s="78">
        <f>IF('2mC'!B39&lt;&gt;"",'2mC'!E39,"")</f>
        <v/>
      </c>
      <c r="F1789" s="78">
        <f>IF('2mC'!B39&lt;&gt;"",'2mC'!F39,"")</f>
        <v/>
      </c>
      <c r="G1789" s="78">
        <f>IF('2mC'!B39&lt;&gt;"",'2mC'!G39,"")</f>
        <v/>
      </c>
      <c r="H1789" s="97">
        <f>IF('2mC'!B39&lt;&gt;"",'2mC'!H39,"")</f>
        <v/>
      </c>
      <c r="I1789" s="97">
        <f>IF('2mC'!B39&lt;&gt;"",'2mC'!I39,"")</f>
        <v/>
      </c>
      <c r="J1789" s="78">
        <f>IF('2mC'!B39&lt;&gt;"",'2mC'!J39,"")</f>
        <v/>
      </c>
    </row>
    <row r="1790" ht="15.75" customHeight="1" s="52">
      <c r="A1790" s="92">
        <f>IF('2mC'!B40&lt;&gt;"","2mC","")</f>
        <v/>
      </c>
      <c r="B1790" s="82">
        <f>IF('2mC'!B40&lt;&gt;"",'2mC'!B40,"")</f>
        <v/>
      </c>
      <c r="C1790" s="82">
        <f>IF('2mC'!B40&lt;&gt;"",'2mC'!C40,"")</f>
        <v/>
      </c>
      <c r="D1790" s="82">
        <f>IF('2mC'!B40&lt;&gt;"",'2mC'!D40,"")</f>
        <v/>
      </c>
      <c r="E1790" s="82">
        <f>IF('2mC'!B40&lt;&gt;"",'2mC'!E40,"")</f>
        <v/>
      </c>
      <c r="F1790" s="82">
        <f>IF('2mC'!B40&lt;&gt;"",'2mC'!F40,"")</f>
        <v/>
      </c>
      <c r="G1790" s="82">
        <f>IF('2mC'!B40&lt;&gt;"",'2mC'!G40,"")</f>
        <v/>
      </c>
      <c r="H1790" s="92">
        <f>IF('2mC'!B40&lt;&gt;"",'2mC'!H40,"")</f>
        <v/>
      </c>
      <c r="I1790" s="92">
        <f>IF('2mC'!B40&lt;&gt;"",'2mC'!I40,"")</f>
        <v/>
      </c>
      <c r="J1790" s="82">
        <f>IF('2mC'!B40&lt;&gt;"",'2mC'!J40,"")</f>
        <v/>
      </c>
    </row>
    <row r="1791" ht="15.75" customHeight="1" s="52">
      <c r="A1791" s="97">
        <f>IF('2mC'!B41&lt;&gt;"","2mC","")</f>
        <v/>
      </c>
      <c r="B1791" s="78">
        <f>IF('2mC'!B41&lt;&gt;"",'2mC'!B41,"")</f>
        <v/>
      </c>
      <c r="C1791" s="78">
        <f>IF('2mC'!B41&lt;&gt;"",'2mC'!C41,"")</f>
        <v/>
      </c>
      <c r="D1791" s="78">
        <f>IF('2mC'!B41&lt;&gt;"",'2mC'!D41,"")</f>
        <v/>
      </c>
      <c r="E1791" s="78">
        <f>IF('2mC'!B41&lt;&gt;"",'2mC'!E41,"")</f>
        <v/>
      </c>
      <c r="F1791" s="78">
        <f>IF('2mC'!B41&lt;&gt;"",'2mC'!F41,"")</f>
        <v/>
      </c>
      <c r="G1791" s="78">
        <f>IF('2mC'!B41&lt;&gt;"",'2mC'!G41,"")</f>
        <v/>
      </c>
      <c r="H1791" s="97">
        <f>IF('2mC'!B41&lt;&gt;"",'2mC'!H41,"")</f>
        <v/>
      </c>
      <c r="I1791" s="97">
        <f>IF('2mC'!B41&lt;&gt;"",'2mC'!I41,"")</f>
        <v/>
      </c>
      <c r="J1791" s="78">
        <f>IF('2mC'!B41&lt;&gt;"",'2mC'!J41,"")</f>
        <v/>
      </c>
    </row>
    <row r="1792" ht="15.75" customHeight="1" s="52">
      <c r="A1792" s="92">
        <f>IF('2mC'!B42&lt;&gt;"","2mC","")</f>
        <v/>
      </c>
      <c r="B1792" s="82">
        <f>IF('2mC'!B42&lt;&gt;"",'2mC'!B42,"")</f>
        <v/>
      </c>
      <c r="C1792" s="82">
        <f>IF('2mC'!B42&lt;&gt;"",'2mC'!C42,"")</f>
        <v/>
      </c>
      <c r="D1792" s="82">
        <f>IF('2mC'!B42&lt;&gt;"",'2mC'!D42,"")</f>
        <v/>
      </c>
      <c r="E1792" s="82">
        <f>IF('2mC'!B42&lt;&gt;"",'2mC'!E42,"")</f>
        <v/>
      </c>
      <c r="F1792" s="82">
        <f>IF('2mC'!B42&lt;&gt;"",'2mC'!F42,"")</f>
        <v/>
      </c>
      <c r="G1792" s="82">
        <f>IF('2mC'!B42&lt;&gt;"",'2mC'!G42,"")</f>
        <v/>
      </c>
      <c r="H1792" s="92">
        <f>IF('2mC'!B42&lt;&gt;"",'2mC'!H42,"")</f>
        <v/>
      </c>
      <c r="I1792" s="92">
        <f>IF('2mC'!B42&lt;&gt;"",'2mC'!I42,"")</f>
        <v/>
      </c>
      <c r="J1792" s="82">
        <f>IF('2mC'!B42&lt;&gt;"",'2mC'!J42,"")</f>
        <v/>
      </c>
    </row>
    <row r="1793" ht="15.75" customHeight="1" s="52">
      <c r="A1793" s="97">
        <f>IF('2mC'!B43&lt;&gt;"","2mC","")</f>
        <v/>
      </c>
      <c r="B1793" s="78">
        <f>IF('2mC'!B43&lt;&gt;"",'2mC'!B43,"")</f>
        <v/>
      </c>
      <c r="C1793" s="78">
        <f>IF('2mC'!B43&lt;&gt;"",'2mC'!C43,"")</f>
        <v/>
      </c>
      <c r="D1793" s="78">
        <f>IF('2mC'!B43&lt;&gt;"",'2mC'!D43,"")</f>
        <v/>
      </c>
      <c r="E1793" s="78">
        <f>IF('2mC'!B43&lt;&gt;"",'2mC'!E43,"")</f>
        <v/>
      </c>
      <c r="F1793" s="78">
        <f>IF('2mC'!B43&lt;&gt;"",'2mC'!F43,"")</f>
        <v/>
      </c>
      <c r="G1793" s="78">
        <f>IF('2mC'!B43&lt;&gt;"",'2mC'!G43,"")</f>
        <v/>
      </c>
      <c r="H1793" s="97">
        <f>IF('2mC'!B43&lt;&gt;"",'2mC'!H43,"")</f>
        <v/>
      </c>
      <c r="I1793" s="97">
        <f>IF('2mC'!B43&lt;&gt;"",'2mC'!I43,"")</f>
        <v/>
      </c>
      <c r="J1793" s="78">
        <f>IF('2mC'!B43&lt;&gt;"",'2mC'!J43,"")</f>
        <v/>
      </c>
    </row>
    <row r="1794" ht="15.75" customHeight="1" s="52">
      <c r="A1794" s="92">
        <f>IF('2mC'!B44&lt;&gt;"","2mC","")</f>
        <v/>
      </c>
      <c r="B1794" s="82">
        <f>IF('2mC'!B44&lt;&gt;"",'2mC'!B44,"")</f>
        <v/>
      </c>
      <c r="C1794" s="82">
        <f>IF('2mC'!B44&lt;&gt;"",'2mC'!C44,"")</f>
        <v/>
      </c>
      <c r="D1794" s="82">
        <f>IF('2mC'!B44&lt;&gt;"",'2mC'!D44,"")</f>
        <v/>
      </c>
      <c r="E1794" s="82">
        <f>IF('2mC'!B44&lt;&gt;"",'2mC'!E44,"")</f>
        <v/>
      </c>
      <c r="F1794" s="82">
        <f>IF('2mC'!B44&lt;&gt;"",'2mC'!F44,"")</f>
        <v/>
      </c>
      <c r="G1794" s="82">
        <f>IF('2mC'!B44&lt;&gt;"",'2mC'!G44,"")</f>
        <v/>
      </c>
      <c r="H1794" s="92">
        <f>IF('2mC'!B44&lt;&gt;"",'2mC'!H44,"")</f>
        <v/>
      </c>
      <c r="I1794" s="92">
        <f>IF('2mC'!B44&lt;&gt;"",'2mC'!I44,"")</f>
        <v/>
      </c>
      <c r="J1794" s="82">
        <f>IF('2mC'!B44&lt;&gt;"",'2mC'!J44,"")</f>
        <v/>
      </c>
    </row>
    <row r="1795" ht="15.75" customHeight="1" s="52">
      <c r="A1795" s="97">
        <f>IF('2mC'!B45&lt;&gt;"","2mC","")</f>
        <v/>
      </c>
      <c r="B1795" s="78">
        <f>IF('2mC'!B45&lt;&gt;"",'2mC'!B45,"")</f>
        <v/>
      </c>
      <c r="C1795" s="78">
        <f>IF('2mC'!B45&lt;&gt;"",'2mC'!C45,"")</f>
        <v/>
      </c>
      <c r="D1795" s="78">
        <f>IF('2mC'!B45&lt;&gt;"",'2mC'!D45,"")</f>
        <v/>
      </c>
      <c r="E1795" s="78">
        <f>IF('2mC'!B45&lt;&gt;"",'2mC'!E45,"")</f>
        <v/>
      </c>
      <c r="F1795" s="78">
        <f>IF('2mC'!B45&lt;&gt;"",'2mC'!F45,"")</f>
        <v/>
      </c>
      <c r="G1795" s="78">
        <f>IF('2mC'!B45&lt;&gt;"",'2mC'!G45,"")</f>
        <v/>
      </c>
      <c r="H1795" s="97">
        <f>IF('2mC'!B45&lt;&gt;"",'2mC'!H45,"")</f>
        <v/>
      </c>
      <c r="I1795" s="97">
        <f>IF('2mC'!B45&lt;&gt;"",'2mC'!I45,"")</f>
        <v/>
      </c>
      <c r="J1795" s="78">
        <f>IF('2mC'!B45&lt;&gt;"",'2mC'!J45,"")</f>
        <v/>
      </c>
    </row>
    <row r="1796" ht="15.75" customHeight="1" s="52">
      <c r="A1796" s="92">
        <f>IF('2mC'!B46&lt;&gt;"","2mC","")</f>
        <v/>
      </c>
      <c r="B1796" s="82">
        <f>IF('2mC'!B46&lt;&gt;"",'2mC'!B46,"")</f>
        <v/>
      </c>
      <c r="C1796" s="82">
        <f>IF('2mC'!B46&lt;&gt;"",'2mC'!C46,"")</f>
        <v/>
      </c>
      <c r="D1796" s="82">
        <f>IF('2mC'!B46&lt;&gt;"",'2mC'!D46,"")</f>
        <v/>
      </c>
      <c r="E1796" s="82">
        <f>IF('2mC'!B46&lt;&gt;"",'2mC'!E46,"")</f>
        <v/>
      </c>
      <c r="F1796" s="82">
        <f>IF('2mC'!B46&lt;&gt;"",'2mC'!F46,"")</f>
        <v/>
      </c>
      <c r="G1796" s="82">
        <f>IF('2mC'!B46&lt;&gt;"",'2mC'!G46,"")</f>
        <v/>
      </c>
      <c r="H1796" s="92">
        <f>IF('2mC'!B46&lt;&gt;"",'2mC'!H46,"")</f>
        <v/>
      </c>
      <c r="I1796" s="92">
        <f>IF('2mC'!B46&lt;&gt;"",'2mC'!I46,"")</f>
        <v/>
      </c>
      <c r="J1796" s="82">
        <f>IF('2mC'!B46&lt;&gt;"",'2mC'!J46,"")</f>
        <v/>
      </c>
    </row>
    <row r="1797" ht="15.75" customHeight="1" s="52">
      <c r="A1797" s="97">
        <f>IF('2mC'!B47&lt;&gt;"","2mC","")</f>
        <v/>
      </c>
      <c r="B1797" s="78">
        <f>IF('2mC'!B47&lt;&gt;"",'2mC'!B47,"")</f>
        <v/>
      </c>
      <c r="C1797" s="78">
        <f>IF('2mC'!B47&lt;&gt;"",'2mC'!C47,"")</f>
        <v/>
      </c>
      <c r="D1797" s="78">
        <f>IF('2mC'!B47&lt;&gt;"",'2mC'!D47,"")</f>
        <v/>
      </c>
      <c r="E1797" s="78">
        <f>IF('2mC'!B47&lt;&gt;"",'2mC'!E47,"")</f>
        <v/>
      </c>
      <c r="F1797" s="78">
        <f>IF('2mC'!B47&lt;&gt;"",'2mC'!F47,"")</f>
        <v/>
      </c>
      <c r="G1797" s="78">
        <f>IF('2mC'!B47&lt;&gt;"",'2mC'!G47,"")</f>
        <v/>
      </c>
      <c r="H1797" s="97">
        <f>IF('2mC'!B47&lt;&gt;"",'2mC'!H47,"")</f>
        <v/>
      </c>
      <c r="I1797" s="97">
        <f>IF('2mC'!B47&lt;&gt;"",'2mC'!I47,"")</f>
        <v/>
      </c>
      <c r="J1797" s="78">
        <f>IF('2mC'!B47&lt;&gt;"",'2mC'!J47,"")</f>
        <v/>
      </c>
    </row>
    <row r="1798" ht="15.75" customHeight="1" s="52">
      <c r="A1798" s="92">
        <f>IF('2mC'!B48&lt;&gt;"","2mC","")</f>
        <v/>
      </c>
      <c r="B1798" s="82">
        <f>IF('2mC'!B48&lt;&gt;"",'2mC'!B48,"")</f>
        <v/>
      </c>
      <c r="C1798" s="82">
        <f>IF('2mC'!B48&lt;&gt;"",'2mC'!C48,"")</f>
        <v/>
      </c>
      <c r="D1798" s="82">
        <f>IF('2mC'!B48&lt;&gt;"",'2mC'!D48,"")</f>
        <v/>
      </c>
      <c r="E1798" s="82">
        <f>IF('2mC'!B48&lt;&gt;"",'2mC'!E48,"")</f>
        <v/>
      </c>
      <c r="F1798" s="82">
        <f>IF('2mC'!B48&lt;&gt;"",'2mC'!F48,"")</f>
        <v/>
      </c>
      <c r="G1798" s="82">
        <f>IF('2mC'!B48&lt;&gt;"",'2mC'!G48,"")</f>
        <v/>
      </c>
      <c r="H1798" s="92">
        <f>IF('2mC'!B48&lt;&gt;"",'2mC'!H48,"")</f>
        <v/>
      </c>
      <c r="I1798" s="92">
        <f>IF('2mC'!B48&lt;&gt;"",'2mC'!I48,"")</f>
        <v/>
      </c>
      <c r="J1798" s="82">
        <f>IF('2mC'!B48&lt;&gt;"",'2mC'!J48,"")</f>
        <v/>
      </c>
    </row>
    <row r="1799" ht="15.75" customHeight="1" s="52">
      <c r="A1799" s="97">
        <f>IF('2mC'!B49&lt;&gt;"","2mC","")</f>
        <v/>
      </c>
      <c r="B1799" s="78">
        <f>IF('2mC'!B49&lt;&gt;"",'2mC'!B49,"")</f>
        <v/>
      </c>
      <c r="C1799" s="78">
        <f>IF('2mC'!B49&lt;&gt;"",'2mC'!C49,"")</f>
        <v/>
      </c>
      <c r="D1799" s="78">
        <f>IF('2mC'!B49&lt;&gt;"",'2mC'!D49,"")</f>
        <v/>
      </c>
      <c r="E1799" s="78">
        <f>IF('2mC'!B49&lt;&gt;"",'2mC'!E49,"")</f>
        <v/>
      </c>
      <c r="F1799" s="78">
        <f>IF('2mC'!B49&lt;&gt;"",'2mC'!F49,"")</f>
        <v/>
      </c>
      <c r="G1799" s="78">
        <f>IF('2mC'!B49&lt;&gt;"",'2mC'!G49,"")</f>
        <v/>
      </c>
      <c r="H1799" s="97">
        <f>IF('2mC'!B49&lt;&gt;"",'2mC'!H49,"")</f>
        <v/>
      </c>
      <c r="I1799" s="97">
        <f>IF('2mC'!B49&lt;&gt;"",'2mC'!I49,"")</f>
        <v/>
      </c>
      <c r="J1799" s="78">
        <f>IF('2mC'!B49&lt;&gt;"",'2mC'!J49,"")</f>
        <v/>
      </c>
    </row>
    <row r="1800" ht="15.75" customHeight="1" s="52">
      <c r="A1800" s="92">
        <f>IF('2mC'!B50&lt;&gt;"","2mC","")</f>
        <v/>
      </c>
      <c r="B1800" s="82">
        <f>IF('2mC'!B50&lt;&gt;"",'2mC'!B50,"")</f>
        <v/>
      </c>
      <c r="C1800" s="82">
        <f>IF('2mC'!B50&lt;&gt;"",'2mC'!C50,"")</f>
        <v/>
      </c>
      <c r="D1800" s="82">
        <f>IF('2mC'!B50&lt;&gt;"",'2mC'!D50,"")</f>
        <v/>
      </c>
      <c r="E1800" s="82">
        <f>IF('2mC'!B50&lt;&gt;"",'2mC'!E50,"")</f>
        <v/>
      </c>
      <c r="F1800" s="82">
        <f>IF('2mC'!B50&lt;&gt;"",'2mC'!F50,"")</f>
        <v/>
      </c>
      <c r="G1800" s="82">
        <f>IF('2mC'!B50&lt;&gt;"",'2mC'!G50,"")</f>
        <v/>
      </c>
      <c r="H1800" s="92">
        <f>IF('2mC'!B50&lt;&gt;"",'2mC'!H50,"")</f>
        <v/>
      </c>
      <c r="I1800" s="92">
        <f>IF('2mC'!B50&lt;&gt;"",'2mC'!I50,"")</f>
        <v/>
      </c>
      <c r="J1800" s="82">
        <f>IF('2mC'!B50&lt;&gt;"",'2mC'!J50,"")</f>
        <v/>
      </c>
    </row>
    <row r="1801" ht="15.75" customHeight="1" s="52">
      <c r="A1801" s="97">
        <f>IF('2mC'!B51&lt;&gt;"","2mC","")</f>
        <v/>
      </c>
      <c r="B1801" s="78">
        <f>IF('2mC'!B51&lt;&gt;"",'2mC'!B51,"")</f>
        <v/>
      </c>
      <c r="C1801" s="78">
        <f>IF('2mC'!B51&lt;&gt;"",'2mC'!C51,"")</f>
        <v/>
      </c>
      <c r="D1801" s="78">
        <f>IF('2mC'!B51&lt;&gt;"",'2mC'!D51,"")</f>
        <v/>
      </c>
      <c r="E1801" s="78">
        <f>IF('2mC'!B51&lt;&gt;"",'2mC'!E51,"")</f>
        <v/>
      </c>
      <c r="F1801" s="78">
        <f>IF('2mC'!B51&lt;&gt;"",'2mC'!F51,"")</f>
        <v/>
      </c>
      <c r="G1801" s="78">
        <f>IF('2mC'!B51&lt;&gt;"",'2mC'!G51,"")</f>
        <v/>
      </c>
      <c r="H1801" s="97">
        <f>IF('2mC'!B51&lt;&gt;"",'2mC'!H51,"")</f>
        <v/>
      </c>
      <c r="I1801" s="97">
        <f>IF('2mC'!B51&lt;&gt;"",'2mC'!I51,"")</f>
        <v/>
      </c>
      <c r="J1801" s="78">
        <f>IF('2mC'!B51&lt;&gt;"",'2mC'!J51,"")</f>
        <v/>
      </c>
    </row>
    <row r="1802" ht="15.75" customHeight="1" s="52">
      <c r="A1802" s="92">
        <f>IF('2mC'!B52&lt;&gt;"","2mC","")</f>
        <v/>
      </c>
      <c r="B1802" s="82">
        <f>IF('2mC'!B52&lt;&gt;"",'2mC'!B52,"")</f>
        <v/>
      </c>
      <c r="C1802" s="82">
        <f>IF('2mC'!B52&lt;&gt;"",'2mC'!C52,"")</f>
        <v/>
      </c>
      <c r="D1802" s="82">
        <f>IF('2mC'!B52&lt;&gt;"",'2mC'!D52,"")</f>
        <v/>
      </c>
      <c r="E1802" s="82">
        <f>IF('2mC'!B52&lt;&gt;"",'2mC'!E52,"")</f>
        <v/>
      </c>
      <c r="F1802" s="82">
        <f>IF('2mC'!B52&lt;&gt;"",'2mC'!F52,"")</f>
        <v/>
      </c>
      <c r="G1802" s="82">
        <f>IF('2mC'!B52&lt;&gt;"",'2mC'!G52,"")</f>
        <v/>
      </c>
      <c r="H1802" s="92">
        <f>IF('2mC'!B52&lt;&gt;"",'2mC'!H52,"")</f>
        <v/>
      </c>
      <c r="I1802" s="92">
        <f>IF('2mC'!B52&lt;&gt;"",'2mC'!I52,"")</f>
        <v/>
      </c>
      <c r="J1802" s="82">
        <f>IF('2mC'!B52&lt;&gt;"",'2mC'!J52,"")</f>
        <v/>
      </c>
    </row>
    <row r="1803" ht="15.75" customHeight="1" s="52">
      <c r="A1803" s="97">
        <f>IF('2mC'!B53&lt;&gt;"","2mC","")</f>
        <v/>
      </c>
      <c r="B1803" s="78">
        <f>IF('2mC'!B53&lt;&gt;"",'2mC'!B53,"")</f>
        <v/>
      </c>
      <c r="C1803" s="78">
        <f>IF('2mC'!B53&lt;&gt;"",'2mC'!C53,"")</f>
        <v/>
      </c>
      <c r="D1803" s="78">
        <f>IF('2mC'!B53&lt;&gt;"",'2mC'!D53,"")</f>
        <v/>
      </c>
      <c r="E1803" s="78">
        <f>IF('2mC'!B53&lt;&gt;"",'2mC'!E53,"")</f>
        <v/>
      </c>
      <c r="F1803" s="78">
        <f>IF('2mC'!B53&lt;&gt;"",'2mC'!F53,"")</f>
        <v/>
      </c>
      <c r="G1803" s="78">
        <f>IF('2mC'!B53&lt;&gt;"",'2mC'!G53,"")</f>
        <v/>
      </c>
      <c r="H1803" s="97">
        <f>IF('2mC'!B53&lt;&gt;"",'2mC'!H53,"")</f>
        <v/>
      </c>
      <c r="I1803" s="97">
        <f>IF('2mC'!B53&lt;&gt;"",'2mC'!I53,"")</f>
        <v/>
      </c>
      <c r="J1803" s="78">
        <f>IF('2mC'!B53&lt;&gt;"",'2mC'!J53,"")</f>
        <v/>
      </c>
    </row>
    <row r="1804" ht="15.75" customHeight="1" s="52">
      <c r="A1804" s="92">
        <f>IF('2mC'!B54&lt;&gt;"","2mC","")</f>
        <v/>
      </c>
      <c r="B1804" s="82">
        <f>IF('2mC'!B54&lt;&gt;"",'2mC'!B54,"")</f>
        <v/>
      </c>
      <c r="C1804" s="82">
        <f>IF('2mC'!B54&lt;&gt;"",'2mC'!C54,"")</f>
        <v/>
      </c>
      <c r="D1804" s="82">
        <f>IF('2mC'!B54&lt;&gt;"",'2mC'!D54,"")</f>
        <v/>
      </c>
      <c r="E1804" s="82">
        <f>IF('2mC'!B54&lt;&gt;"",'2mC'!E54,"")</f>
        <v/>
      </c>
      <c r="F1804" s="82">
        <f>IF('2mC'!B54&lt;&gt;"",'2mC'!F54,"")</f>
        <v/>
      </c>
      <c r="G1804" s="82">
        <f>IF('2mC'!B54&lt;&gt;"",'2mC'!G54,"")</f>
        <v/>
      </c>
      <c r="H1804" s="92">
        <f>IF('2mC'!B54&lt;&gt;"",'2mC'!H54,"")</f>
        <v/>
      </c>
      <c r="I1804" s="92">
        <f>IF('2mC'!B54&lt;&gt;"",'2mC'!I54,"")</f>
        <v/>
      </c>
      <c r="J1804" s="82">
        <f>IF('2mC'!B54&lt;&gt;"",'2mC'!J54,"")</f>
        <v/>
      </c>
    </row>
    <row r="1805" ht="15.75" customHeight="1" s="52">
      <c r="A1805" s="97">
        <f>IF('2mD'!B5&lt;&gt;"","2mD","")</f>
        <v/>
      </c>
      <c r="B1805" s="78">
        <f>IF('2mD'!B5&lt;&gt;"",'2mD'!B5,"")</f>
        <v/>
      </c>
      <c r="C1805" s="78">
        <f>IF('2mD'!B5&lt;&gt;"",'2mD'!C5,"")</f>
        <v/>
      </c>
      <c r="D1805" s="78">
        <f>IF('2mD'!B5&lt;&gt;"",'2mD'!D5,"")</f>
        <v/>
      </c>
      <c r="E1805" s="78">
        <f>IF('2mD'!B5&lt;&gt;"",'2mD'!E5,"")</f>
        <v/>
      </c>
      <c r="F1805" s="78">
        <f>IF('2mD'!B5&lt;&gt;"",'2mD'!F5,"")</f>
        <v/>
      </c>
      <c r="G1805" s="78">
        <f>IF('2mD'!B5&lt;&gt;"",'2mD'!G5,"")</f>
        <v/>
      </c>
      <c r="H1805" s="97">
        <f>IF('2mD'!B5&lt;&gt;"",'2mD'!H5,"")</f>
        <v/>
      </c>
      <c r="I1805" s="97">
        <f>IF('2mD'!B5&lt;&gt;"",'2mD'!I5,"")</f>
        <v/>
      </c>
      <c r="J1805" s="78">
        <f>IF('2mD'!B5&lt;&gt;"",'2mD'!J5,"")</f>
        <v/>
      </c>
    </row>
    <row r="1806" ht="15.75" customHeight="1" s="52">
      <c r="A1806" s="92">
        <f>IF('2mD'!B6&lt;&gt;"","2mD","")</f>
        <v/>
      </c>
      <c r="B1806" s="82">
        <f>IF('2mD'!B6&lt;&gt;"",'2mD'!B6,"")</f>
        <v/>
      </c>
      <c r="C1806" s="82">
        <f>IF('2mD'!B6&lt;&gt;"",'2mD'!C6,"")</f>
        <v/>
      </c>
      <c r="D1806" s="82">
        <f>IF('2mD'!B6&lt;&gt;"",'2mD'!D6,"")</f>
        <v/>
      </c>
      <c r="E1806" s="82">
        <f>IF('2mD'!B6&lt;&gt;"",'2mD'!E6,"")</f>
        <v/>
      </c>
      <c r="F1806" s="82">
        <f>IF('2mD'!B6&lt;&gt;"",'2mD'!F6,"")</f>
        <v/>
      </c>
      <c r="G1806" s="82">
        <f>IF('2mD'!B6&lt;&gt;"",'2mD'!G6,"")</f>
        <v/>
      </c>
      <c r="H1806" s="92">
        <f>IF('2mD'!B6&lt;&gt;"",'2mD'!H6,"")</f>
        <v/>
      </c>
      <c r="I1806" s="92">
        <f>IF('2mD'!B6&lt;&gt;"",'2mD'!I6,"")</f>
        <v/>
      </c>
      <c r="J1806" s="82">
        <f>IF('2mD'!B6&lt;&gt;"",'2mD'!J6,"")</f>
        <v/>
      </c>
    </row>
    <row r="1807" ht="15.75" customHeight="1" s="52">
      <c r="A1807" s="97">
        <f>IF('2mD'!B7&lt;&gt;"","2mD","")</f>
        <v/>
      </c>
      <c r="B1807" s="78">
        <f>IF('2mD'!B7&lt;&gt;"",'2mD'!B7,"")</f>
        <v/>
      </c>
      <c r="C1807" s="78">
        <f>IF('2mD'!B7&lt;&gt;"",'2mD'!C7,"")</f>
        <v/>
      </c>
      <c r="D1807" s="78">
        <f>IF('2mD'!B7&lt;&gt;"",'2mD'!D7,"")</f>
        <v/>
      </c>
      <c r="E1807" s="78">
        <f>IF('2mD'!B7&lt;&gt;"",'2mD'!E7,"")</f>
        <v/>
      </c>
      <c r="F1807" s="78">
        <f>IF('2mD'!B7&lt;&gt;"",'2mD'!F7,"")</f>
        <v/>
      </c>
      <c r="G1807" s="78">
        <f>IF('2mD'!B7&lt;&gt;"",'2mD'!G7,"")</f>
        <v/>
      </c>
      <c r="H1807" s="97">
        <f>IF('2mD'!B7&lt;&gt;"",'2mD'!H7,"")</f>
        <v/>
      </c>
      <c r="I1807" s="97">
        <f>IF('2mD'!B7&lt;&gt;"",'2mD'!I7,"")</f>
        <v/>
      </c>
      <c r="J1807" s="78">
        <f>IF('2mD'!B7&lt;&gt;"",'2mD'!J7,"")</f>
        <v/>
      </c>
    </row>
    <row r="1808" ht="15.75" customHeight="1" s="52">
      <c r="A1808" s="92">
        <f>IF('2mD'!B8&lt;&gt;"","2mD","")</f>
        <v/>
      </c>
      <c r="B1808" s="82">
        <f>IF('2mD'!B8&lt;&gt;"",'2mD'!B8,"")</f>
        <v/>
      </c>
      <c r="C1808" s="82">
        <f>IF('2mD'!B8&lt;&gt;"",'2mD'!C8,"")</f>
        <v/>
      </c>
      <c r="D1808" s="82">
        <f>IF('2mD'!B8&lt;&gt;"",'2mD'!D8,"")</f>
        <v/>
      </c>
      <c r="E1808" s="82">
        <f>IF('2mD'!B8&lt;&gt;"",'2mD'!E8,"")</f>
        <v/>
      </c>
      <c r="F1808" s="82">
        <f>IF('2mD'!B8&lt;&gt;"",'2mD'!F8,"")</f>
        <v/>
      </c>
      <c r="G1808" s="82">
        <f>IF('2mD'!B8&lt;&gt;"",'2mD'!G8,"")</f>
        <v/>
      </c>
      <c r="H1808" s="92">
        <f>IF('2mD'!B8&lt;&gt;"",'2mD'!H8,"")</f>
        <v/>
      </c>
      <c r="I1808" s="92">
        <f>IF('2mD'!B8&lt;&gt;"",'2mD'!I8,"")</f>
        <v/>
      </c>
      <c r="J1808" s="82">
        <f>IF('2mD'!B8&lt;&gt;"",'2mD'!J8,"")</f>
        <v/>
      </c>
    </row>
    <row r="1809" ht="15.75" customHeight="1" s="52">
      <c r="A1809" s="97">
        <f>IF('2mD'!B9&lt;&gt;"","2mD","")</f>
        <v/>
      </c>
      <c r="B1809" s="78">
        <f>IF('2mD'!B9&lt;&gt;"",'2mD'!B9,"")</f>
        <v/>
      </c>
      <c r="C1809" s="78">
        <f>IF('2mD'!B9&lt;&gt;"",'2mD'!C9,"")</f>
        <v/>
      </c>
      <c r="D1809" s="78">
        <f>IF('2mD'!B9&lt;&gt;"",'2mD'!D9,"")</f>
        <v/>
      </c>
      <c r="E1809" s="78">
        <f>IF('2mD'!B9&lt;&gt;"",'2mD'!E9,"")</f>
        <v/>
      </c>
      <c r="F1809" s="78">
        <f>IF('2mD'!B9&lt;&gt;"",'2mD'!F9,"")</f>
        <v/>
      </c>
      <c r="G1809" s="78">
        <f>IF('2mD'!B9&lt;&gt;"",'2mD'!G9,"")</f>
        <v/>
      </c>
      <c r="H1809" s="97">
        <f>IF('2mD'!B9&lt;&gt;"",'2mD'!H9,"")</f>
        <v/>
      </c>
      <c r="I1809" s="97">
        <f>IF('2mD'!B9&lt;&gt;"",'2mD'!I9,"")</f>
        <v/>
      </c>
      <c r="J1809" s="78">
        <f>IF('2mD'!B9&lt;&gt;"",'2mD'!J9,"")</f>
        <v/>
      </c>
    </row>
    <row r="1810" ht="15.75" customHeight="1" s="52">
      <c r="A1810" s="92">
        <f>IF('2mD'!B10&lt;&gt;"","2mD","")</f>
        <v/>
      </c>
      <c r="B1810" s="82">
        <f>IF('2mD'!B10&lt;&gt;"",'2mD'!B10,"")</f>
        <v/>
      </c>
      <c r="C1810" s="82">
        <f>IF('2mD'!B10&lt;&gt;"",'2mD'!C10,"")</f>
        <v/>
      </c>
      <c r="D1810" s="82">
        <f>IF('2mD'!B10&lt;&gt;"",'2mD'!D10,"")</f>
        <v/>
      </c>
      <c r="E1810" s="82">
        <f>IF('2mD'!B10&lt;&gt;"",'2mD'!E10,"")</f>
        <v/>
      </c>
      <c r="F1810" s="82">
        <f>IF('2mD'!B10&lt;&gt;"",'2mD'!F10,"")</f>
        <v/>
      </c>
      <c r="G1810" s="82">
        <f>IF('2mD'!B10&lt;&gt;"",'2mD'!G10,"")</f>
        <v/>
      </c>
      <c r="H1810" s="92">
        <f>IF('2mD'!B10&lt;&gt;"",'2mD'!H10,"")</f>
        <v/>
      </c>
      <c r="I1810" s="92">
        <f>IF('2mD'!B10&lt;&gt;"",'2mD'!I10,"")</f>
        <v/>
      </c>
      <c r="J1810" s="82">
        <f>IF('2mD'!B10&lt;&gt;"",'2mD'!J10,"")</f>
        <v/>
      </c>
    </row>
    <row r="1811" ht="15.75" customHeight="1" s="52">
      <c r="A1811" s="97">
        <f>IF('2mD'!B11&lt;&gt;"","2mD","")</f>
        <v/>
      </c>
      <c r="B1811" s="78">
        <f>IF('2mD'!B11&lt;&gt;"",'2mD'!B11,"")</f>
        <v/>
      </c>
      <c r="C1811" s="78">
        <f>IF('2mD'!B11&lt;&gt;"",'2mD'!C11,"")</f>
        <v/>
      </c>
      <c r="D1811" s="78">
        <f>IF('2mD'!B11&lt;&gt;"",'2mD'!D11,"")</f>
        <v/>
      </c>
      <c r="E1811" s="78">
        <f>IF('2mD'!B11&lt;&gt;"",'2mD'!E11,"")</f>
        <v/>
      </c>
      <c r="F1811" s="78">
        <f>IF('2mD'!B11&lt;&gt;"",'2mD'!F11,"")</f>
        <v/>
      </c>
      <c r="G1811" s="78">
        <f>IF('2mD'!B11&lt;&gt;"",'2mD'!G11,"")</f>
        <v/>
      </c>
      <c r="H1811" s="97">
        <f>IF('2mD'!B11&lt;&gt;"",'2mD'!H11,"")</f>
        <v/>
      </c>
      <c r="I1811" s="97">
        <f>IF('2mD'!B11&lt;&gt;"",'2mD'!I11,"")</f>
        <v/>
      </c>
      <c r="J1811" s="78">
        <f>IF('2mD'!B11&lt;&gt;"",'2mD'!J11,"")</f>
        <v/>
      </c>
    </row>
    <row r="1812" ht="15.75" customHeight="1" s="52">
      <c r="A1812" s="92">
        <f>IF('2mD'!B12&lt;&gt;"","2mD","")</f>
        <v/>
      </c>
      <c r="B1812" s="82">
        <f>IF('2mD'!B12&lt;&gt;"",'2mD'!B12,"")</f>
        <v/>
      </c>
      <c r="C1812" s="82">
        <f>IF('2mD'!B12&lt;&gt;"",'2mD'!C12,"")</f>
        <v/>
      </c>
      <c r="D1812" s="82">
        <f>IF('2mD'!B12&lt;&gt;"",'2mD'!D12,"")</f>
        <v/>
      </c>
      <c r="E1812" s="82">
        <f>IF('2mD'!B12&lt;&gt;"",'2mD'!E12,"")</f>
        <v/>
      </c>
      <c r="F1812" s="82">
        <f>IF('2mD'!B12&lt;&gt;"",'2mD'!F12,"")</f>
        <v/>
      </c>
      <c r="G1812" s="82">
        <f>IF('2mD'!B12&lt;&gt;"",'2mD'!G12,"")</f>
        <v/>
      </c>
      <c r="H1812" s="92">
        <f>IF('2mD'!B12&lt;&gt;"",'2mD'!H12,"")</f>
        <v/>
      </c>
      <c r="I1812" s="92">
        <f>IF('2mD'!B12&lt;&gt;"",'2mD'!I12,"")</f>
        <v/>
      </c>
      <c r="J1812" s="82">
        <f>IF('2mD'!B12&lt;&gt;"",'2mD'!J12,"")</f>
        <v/>
      </c>
    </row>
    <row r="1813" ht="15.75" customHeight="1" s="52">
      <c r="A1813" s="97">
        <f>IF('2mD'!B13&lt;&gt;"","2mD","")</f>
        <v/>
      </c>
      <c r="B1813" s="78">
        <f>IF('2mD'!B13&lt;&gt;"",'2mD'!B13,"")</f>
        <v/>
      </c>
      <c r="C1813" s="78">
        <f>IF('2mD'!B13&lt;&gt;"",'2mD'!C13,"")</f>
        <v/>
      </c>
      <c r="D1813" s="78">
        <f>IF('2mD'!B13&lt;&gt;"",'2mD'!D13,"")</f>
        <v/>
      </c>
      <c r="E1813" s="78">
        <f>IF('2mD'!B13&lt;&gt;"",'2mD'!E13,"")</f>
        <v/>
      </c>
      <c r="F1813" s="78">
        <f>IF('2mD'!B13&lt;&gt;"",'2mD'!F13,"")</f>
        <v/>
      </c>
      <c r="G1813" s="78">
        <f>IF('2mD'!B13&lt;&gt;"",'2mD'!G13,"")</f>
        <v/>
      </c>
      <c r="H1813" s="97">
        <f>IF('2mD'!B13&lt;&gt;"",'2mD'!H13,"")</f>
        <v/>
      </c>
      <c r="I1813" s="97">
        <f>IF('2mD'!B13&lt;&gt;"",'2mD'!I13,"")</f>
        <v/>
      </c>
      <c r="J1813" s="78">
        <f>IF('2mD'!B13&lt;&gt;"",'2mD'!J13,"")</f>
        <v/>
      </c>
    </row>
    <row r="1814" ht="15.75" customHeight="1" s="52">
      <c r="A1814" s="92">
        <f>IF('2mD'!B14&lt;&gt;"","2mD","")</f>
        <v/>
      </c>
      <c r="B1814" s="82">
        <f>IF('2mD'!B14&lt;&gt;"",'2mD'!B14,"")</f>
        <v/>
      </c>
      <c r="C1814" s="82">
        <f>IF('2mD'!B14&lt;&gt;"",'2mD'!C14,"")</f>
        <v/>
      </c>
      <c r="D1814" s="82">
        <f>IF('2mD'!B14&lt;&gt;"",'2mD'!D14,"")</f>
        <v/>
      </c>
      <c r="E1814" s="82">
        <f>IF('2mD'!B14&lt;&gt;"",'2mD'!E14,"")</f>
        <v/>
      </c>
      <c r="F1814" s="82">
        <f>IF('2mD'!B14&lt;&gt;"",'2mD'!F14,"")</f>
        <v/>
      </c>
      <c r="G1814" s="82">
        <f>IF('2mD'!B14&lt;&gt;"",'2mD'!G14,"")</f>
        <v/>
      </c>
      <c r="H1814" s="92">
        <f>IF('2mD'!B14&lt;&gt;"",'2mD'!H14,"")</f>
        <v/>
      </c>
      <c r="I1814" s="92">
        <f>IF('2mD'!B14&lt;&gt;"",'2mD'!I14,"")</f>
        <v/>
      </c>
      <c r="J1814" s="82">
        <f>IF('2mD'!B14&lt;&gt;"",'2mD'!J14,"")</f>
        <v/>
      </c>
    </row>
    <row r="1815" ht="15.75" customHeight="1" s="52">
      <c r="A1815" s="97">
        <f>IF('2mD'!B15&lt;&gt;"","2mD","")</f>
        <v/>
      </c>
      <c r="B1815" s="78">
        <f>IF('2mD'!B15&lt;&gt;"",'2mD'!B15,"")</f>
        <v/>
      </c>
      <c r="C1815" s="78">
        <f>IF('2mD'!B15&lt;&gt;"",'2mD'!C15,"")</f>
        <v/>
      </c>
      <c r="D1815" s="78">
        <f>IF('2mD'!B15&lt;&gt;"",'2mD'!D15,"")</f>
        <v/>
      </c>
      <c r="E1815" s="78">
        <f>IF('2mD'!B15&lt;&gt;"",'2mD'!E15,"")</f>
        <v/>
      </c>
      <c r="F1815" s="78">
        <f>IF('2mD'!B15&lt;&gt;"",'2mD'!F15,"")</f>
        <v/>
      </c>
      <c r="G1815" s="78">
        <f>IF('2mD'!B15&lt;&gt;"",'2mD'!G15,"")</f>
        <v/>
      </c>
      <c r="H1815" s="97">
        <f>IF('2mD'!B15&lt;&gt;"",'2mD'!H15,"")</f>
        <v/>
      </c>
      <c r="I1815" s="97">
        <f>IF('2mD'!B15&lt;&gt;"",'2mD'!I15,"")</f>
        <v/>
      </c>
      <c r="J1815" s="78">
        <f>IF('2mD'!B15&lt;&gt;"",'2mD'!J15,"")</f>
        <v/>
      </c>
    </row>
    <row r="1816" ht="15.75" customHeight="1" s="52">
      <c r="A1816" s="92">
        <f>IF('2mD'!B16&lt;&gt;"","2mD","")</f>
        <v/>
      </c>
      <c r="B1816" s="82">
        <f>IF('2mD'!B16&lt;&gt;"",'2mD'!B16,"")</f>
        <v/>
      </c>
      <c r="C1816" s="82">
        <f>IF('2mD'!B16&lt;&gt;"",'2mD'!C16,"")</f>
        <v/>
      </c>
      <c r="D1816" s="82">
        <f>IF('2mD'!B16&lt;&gt;"",'2mD'!D16,"")</f>
        <v/>
      </c>
      <c r="E1816" s="82">
        <f>IF('2mD'!B16&lt;&gt;"",'2mD'!E16,"")</f>
        <v/>
      </c>
      <c r="F1816" s="82">
        <f>IF('2mD'!B16&lt;&gt;"",'2mD'!F16,"")</f>
        <v/>
      </c>
      <c r="G1816" s="82">
        <f>IF('2mD'!B16&lt;&gt;"",'2mD'!G16,"")</f>
        <v/>
      </c>
      <c r="H1816" s="92">
        <f>IF('2mD'!B16&lt;&gt;"",'2mD'!H16,"")</f>
        <v/>
      </c>
      <c r="I1816" s="92">
        <f>IF('2mD'!B16&lt;&gt;"",'2mD'!I16,"")</f>
        <v/>
      </c>
      <c r="J1816" s="82">
        <f>IF('2mD'!B16&lt;&gt;"",'2mD'!J16,"")</f>
        <v/>
      </c>
    </row>
    <row r="1817" ht="15.75" customHeight="1" s="52">
      <c r="A1817" s="97">
        <f>IF('2mD'!B17&lt;&gt;"","2mD","")</f>
        <v/>
      </c>
      <c r="B1817" s="78">
        <f>IF('2mD'!B17&lt;&gt;"",'2mD'!B17,"")</f>
        <v/>
      </c>
      <c r="C1817" s="78">
        <f>IF('2mD'!B17&lt;&gt;"",'2mD'!C17,"")</f>
        <v/>
      </c>
      <c r="D1817" s="78">
        <f>IF('2mD'!B17&lt;&gt;"",'2mD'!D17,"")</f>
        <v/>
      </c>
      <c r="E1817" s="78">
        <f>IF('2mD'!B17&lt;&gt;"",'2mD'!E17,"")</f>
        <v/>
      </c>
      <c r="F1817" s="78">
        <f>IF('2mD'!B17&lt;&gt;"",'2mD'!F17,"")</f>
        <v/>
      </c>
      <c r="G1817" s="78">
        <f>IF('2mD'!B17&lt;&gt;"",'2mD'!G17,"")</f>
        <v/>
      </c>
      <c r="H1817" s="97">
        <f>IF('2mD'!B17&lt;&gt;"",'2mD'!H17,"")</f>
        <v/>
      </c>
      <c r="I1817" s="97">
        <f>IF('2mD'!B17&lt;&gt;"",'2mD'!I17,"")</f>
        <v/>
      </c>
      <c r="J1817" s="78">
        <f>IF('2mD'!B17&lt;&gt;"",'2mD'!J17,"")</f>
        <v/>
      </c>
    </row>
    <row r="1818" ht="15.75" customHeight="1" s="52">
      <c r="A1818" s="92">
        <f>IF('2mD'!B18&lt;&gt;"","2mD","")</f>
        <v/>
      </c>
      <c r="B1818" s="82">
        <f>IF('2mD'!B18&lt;&gt;"",'2mD'!B18,"")</f>
        <v/>
      </c>
      <c r="C1818" s="82">
        <f>IF('2mD'!B18&lt;&gt;"",'2mD'!C18,"")</f>
        <v/>
      </c>
      <c r="D1818" s="82">
        <f>IF('2mD'!B18&lt;&gt;"",'2mD'!D18,"")</f>
        <v/>
      </c>
      <c r="E1818" s="82">
        <f>IF('2mD'!B18&lt;&gt;"",'2mD'!E18,"")</f>
        <v/>
      </c>
      <c r="F1818" s="82">
        <f>IF('2mD'!B18&lt;&gt;"",'2mD'!F18,"")</f>
        <v/>
      </c>
      <c r="G1818" s="82">
        <f>IF('2mD'!B18&lt;&gt;"",'2mD'!G18,"")</f>
        <v/>
      </c>
      <c r="H1818" s="92">
        <f>IF('2mD'!B18&lt;&gt;"",'2mD'!H18,"")</f>
        <v/>
      </c>
      <c r="I1818" s="92">
        <f>IF('2mD'!B18&lt;&gt;"",'2mD'!I18,"")</f>
        <v/>
      </c>
      <c r="J1818" s="82">
        <f>IF('2mD'!B18&lt;&gt;"",'2mD'!J18,"")</f>
        <v/>
      </c>
    </row>
    <row r="1819" ht="15.75" customHeight="1" s="52">
      <c r="A1819" s="97">
        <f>IF('2mD'!B19&lt;&gt;"","2mD","")</f>
        <v/>
      </c>
      <c r="B1819" s="78">
        <f>IF('2mD'!B19&lt;&gt;"",'2mD'!B19,"")</f>
        <v/>
      </c>
      <c r="C1819" s="78">
        <f>IF('2mD'!B19&lt;&gt;"",'2mD'!C19,"")</f>
        <v/>
      </c>
      <c r="D1819" s="78">
        <f>IF('2mD'!B19&lt;&gt;"",'2mD'!D19,"")</f>
        <v/>
      </c>
      <c r="E1819" s="78">
        <f>IF('2mD'!B19&lt;&gt;"",'2mD'!E19,"")</f>
        <v/>
      </c>
      <c r="F1819" s="78">
        <f>IF('2mD'!B19&lt;&gt;"",'2mD'!F19,"")</f>
        <v/>
      </c>
      <c r="G1819" s="78">
        <f>IF('2mD'!B19&lt;&gt;"",'2mD'!G19,"")</f>
        <v/>
      </c>
      <c r="H1819" s="97">
        <f>IF('2mD'!B19&lt;&gt;"",'2mD'!H19,"")</f>
        <v/>
      </c>
      <c r="I1819" s="97">
        <f>IF('2mD'!B19&lt;&gt;"",'2mD'!I19,"")</f>
        <v/>
      </c>
      <c r="J1819" s="78">
        <f>IF('2mD'!B19&lt;&gt;"",'2mD'!J19,"")</f>
        <v/>
      </c>
    </row>
    <row r="1820" ht="15.75" customHeight="1" s="52">
      <c r="A1820" s="92">
        <f>IF('2mD'!B20&lt;&gt;"","2mD","")</f>
        <v/>
      </c>
      <c r="B1820" s="82">
        <f>IF('2mD'!B20&lt;&gt;"",'2mD'!B20,"")</f>
        <v/>
      </c>
      <c r="C1820" s="82">
        <f>IF('2mD'!B20&lt;&gt;"",'2mD'!C20,"")</f>
        <v/>
      </c>
      <c r="D1820" s="82">
        <f>IF('2mD'!B20&lt;&gt;"",'2mD'!D20,"")</f>
        <v/>
      </c>
      <c r="E1820" s="82">
        <f>IF('2mD'!B20&lt;&gt;"",'2mD'!E20,"")</f>
        <v/>
      </c>
      <c r="F1820" s="82">
        <f>IF('2mD'!B20&lt;&gt;"",'2mD'!F20,"")</f>
        <v/>
      </c>
      <c r="G1820" s="82">
        <f>IF('2mD'!B20&lt;&gt;"",'2mD'!G20,"")</f>
        <v/>
      </c>
      <c r="H1820" s="92">
        <f>IF('2mD'!B20&lt;&gt;"",'2mD'!H20,"")</f>
        <v/>
      </c>
      <c r="I1820" s="92">
        <f>IF('2mD'!B20&lt;&gt;"",'2mD'!I20,"")</f>
        <v/>
      </c>
      <c r="J1820" s="82">
        <f>IF('2mD'!B20&lt;&gt;"",'2mD'!J20,"")</f>
        <v/>
      </c>
    </row>
    <row r="1821" ht="15.75" customHeight="1" s="52">
      <c r="A1821" s="97">
        <f>IF('2mD'!B21&lt;&gt;"","2mD","")</f>
        <v/>
      </c>
      <c r="B1821" s="78">
        <f>IF('2mD'!B21&lt;&gt;"",'2mD'!B21,"")</f>
        <v/>
      </c>
      <c r="C1821" s="78">
        <f>IF('2mD'!B21&lt;&gt;"",'2mD'!C21,"")</f>
        <v/>
      </c>
      <c r="D1821" s="78">
        <f>IF('2mD'!B21&lt;&gt;"",'2mD'!D21,"")</f>
        <v/>
      </c>
      <c r="E1821" s="78">
        <f>IF('2mD'!B21&lt;&gt;"",'2mD'!E21,"")</f>
        <v/>
      </c>
      <c r="F1821" s="78">
        <f>IF('2mD'!B21&lt;&gt;"",'2mD'!F21,"")</f>
        <v/>
      </c>
      <c r="G1821" s="78">
        <f>IF('2mD'!B21&lt;&gt;"",'2mD'!G21,"")</f>
        <v/>
      </c>
      <c r="H1821" s="97">
        <f>IF('2mD'!B21&lt;&gt;"",'2mD'!H21,"")</f>
        <v/>
      </c>
      <c r="I1821" s="97">
        <f>IF('2mD'!B21&lt;&gt;"",'2mD'!I21,"")</f>
        <v/>
      </c>
      <c r="J1821" s="78">
        <f>IF('2mD'!B21&lt;&gt;"",'2mD'!J21,"")</f>
        <v/>
      </c>
    </row>
    <row r="1822" ht="15.75" customHeight="1" s="52">
      <c r="A1822" s="92">
        <f>IF('2mD'!B22&lt;&gt;"","2mD","")</f>
        <v/>
      </c>
      <c r="B1822" s="82">
        <f>IF('2mD'!B22&lt;&gt;"",'2mD'!B22,"")</f>
        <v/>
      </c>
      <c r="C1822" s="82">
        <f>IF('2mD'!B22&lt;&gt;"",'2mD'!C22,"")</f>
        <v/>
      </c>
      <c r="D1822" s="82">
        <f>IF('2mD'!B22&lt;&gt;"",'2mD'!D22,"")</f>
        <v/>
      </c>
      <c r="E1822" s="82">
        <f>IF('2mD'!B22&lt;&gt;"",'2mD'!E22,"")</f>
        <v/>
      </c>
      <c r="F1822" s="82">
        <f>IF('2mD'!B22&lt;&gt;"",'2mD'!F22,"")</f>
        <v/>
      </c>
      <c r="G1822" s="82">
        <f>IF('2mD'!B22&lt;&gt;"",'2mD'!G22,"")</f>
        <v/>
      </c>
      <c r="H1822" s="92">
        <f>IF('2mD'!B22&lt;&gt;"",'2mD'!H22,"")</f>
        <v/>
      </c>
      <c r="I1822" s="92">
        <f>IF('2mD'!B22&lt;&gt;"",'2mD'!I22,"")</f>
        <v/>
      </c>
      <c r="J1822" s="82">
        <f>IF('2mD'!B22&lt;&gt;"",'2mD'!J22,"")</f>
        <v/>
      </c>
    </row>
    <row r="1823" ht="15.75" customHeight="1" s="52">
      <c r="A1823" s="97">
        <f>IF('2mD'!B23&lt;&gt;"","2mD","")</f>
        <v/>
      </c>
      <c r="B1823" s="78">
        <f>IF('2mD'!B23&lt;&gt;"",'2mD'!B23,"")</f>
        <v/>
      </c>
      <c r="C1823" s="78">
        <f>IF('2mD'!B23&lt;&gt;"",'2mD'!C23,"")</f>
        <v/>
      </c>
      <c r="D1823" s="78">
        <f>IF('2mD'!B23&lt;&gt;"",'2mD'!D23,"")</f>
        <v/>
      </c>
      <c r="E1823" s="78">
        <f>IF('2mD'!B23&lt;&gt;"",'2mD'!E23,"")</f>
        <v/>
      </c>
      <c r="F1823" s="78">
        <f>IF('2mD'!B23&lt;&gt;"",'2mD'!F23,"")</f>
        <v/>
      </c>
      <c r="G1823" s="78">
        <f>IF('2mD'!B23&lt;&gt;"",'2mD'!G23,"")</f>
        <v/>
      </c>
      <c r="H1823" s="97">
        <f>IF('2mD'!B23&lt;&gt;"",'2mD'!H23,"")</f>
        <v/>
      </c>
      <c r="I1823" s="97">
        <f>IF('2mD'!B23&lt;&gt;"",'2mD'!I23,"")</f>
        <v/>
      </c>
      <c r="J1823" s="78">
        <f>IF('2mD'!B23&lt;&gt;"",'2mD'!J23,"")</f>
        <v/>
      </c>
    </row>
    <row r="1824" ht="15.75" customHeight="1" s="52">
      <c r="A1824" s="92">
        <f>IF('2mD'!B24&lt;&gt;"","2mD","")</f>
        <v/>
      </c>
      <c r="B1824" s="82">
        <f>IF('2mD'!B24&lt;&gt;"",'2mD'!B24,"")</f>
        <v/>
      </c>
      <c r="C1824" s="82">
        <f>IF('2mD'!B24&lt;&gt;"",'2mD'!C24,"")</f>
        <v/>
      </c>
      <c r="D1824" s="82">
        <f>IF('2mD'!B24&lt;&gt;"",'2mD'!D24,"")</f>
        <v/>
      </c>
      <c r="E1824" s="82">
        <f>IF('2mD'!B24&lt;&gt;"",'2mD'!E24,"")</f>
        <v/>
      </c>
      <c r="F1824" s="82">
        <f>IF('2mD'!B24&lt;&gt;"",'2mD'!F24,"")</f>
        <v/>
      </c>
      <c r="G1824" s="82">
        <f>IF('2mD'!B24&lt;&gt;"",'2mD'!G24,"")</f>
        <v/>
      </c>
      <c r="H1824" s="92">
        <f>IF('2mD'!B24&lt;&gt;"",'2mD'!H24,"")</f>
        <v/>
      </c>
      <c r="I1824" s="92">
        <f>IF('2mD'!B24&lt;&gt;"",'2mD'!I24,"")</f>
        <v/>
      </c>
      <c r="J1824" s="82">
        <f>IF('2mD'!B24&lt;&gt;"",'2mD'!J24,"")</f>
        <v/>
      </c>
    </row>
    <row r="1825" ht="15.75" customHeight="1" s="52">
      <c r="A1825" s="97">
        <f>IF('2mD'!B25&lt;&gt;"","2mD","")</f>
        <v/>
      </c>
      <c r="B1825" s="78">
        <f>IF('2mD'!B25&lt;&gt;"",'2mD'!B25,"")</f>
        <v/>
      </c>
      <c r="C1825" s="78">
        <f>IF('2mD'!B25&lt;&gt;"",'2mD'!C25,"")</f>
        <v/>
      </c>
      <c r="D1825" s="78">
        <f>IF('2mD'!B25&lt;&gt;"",'2mD'!D25,"")</f>
        <v/>
      </c>
      <c r="E1825" s="78">
        <f>IF('2mD'!B25&lt;&gt;"",'2mD'!E25,"")</f>
        <v/>
      </c>
      <c r="F1825" s="78">
        <f>IF('2mD'!B25&lt;&gt;"",'2mD'!F25,"")</f>
        <v/>
      </c>
      <c r="G1825" s="78">
        <f>IF('2mD'!B25&lt;&gt;"",'2mD'!G25,"")</f>
        <v/>
      </c>
      <c r="H1825" s="97">
        <f>IF('2mD'!B25&lt;&gt;"",'2mD'!H25,"")</f>
        <v/>
      </c>
      <c r="I1825" s="97">
        <f>IF('2mD'!B25&lt;&gt;"",'2mD'!I25,"")</f>
        <v/>
      </c>
      <c r="J1825" s="78">
        <f>IF('2mD'!B25&lt;&gt;"",'2mD'!J25,"")</f>
        <v/>
      </c>
    </row>
    <row r="1826" ht="15.75" customHeight="1" s="52">
      <c r="A1826" s="92">
        <f>IF('2mD'!B26&lt;&gt;"","2mD","")</f>
        <v/>
      </c>
      <c r="B1826" s="82">
        <f>IF('2mD'!B26&lt;&gt;"",'2mD'!B26,"")</f>
        <v/>
      </c>
      <c r="C1826" s="82">
        <f>IF('2mD'!B26&lt;&gt;"",'2mD'!C26,"")</f>
        <v/>
      </c>
      <c r="D1826" s="82">
        <f>IF('2mD'!B26&lt;&gt;"",'2mD'!D26,"")</f>
        <v/>
      </c>
      <c r="E1826" s="82">
        <f>IF('2mD'!B26&lt;&gt;"",'2mD'!E26,"")</f>
        <v/>
      </c>
      <c r="F1826" s="82">
        <f>IF('2mD'!B26&lt;&gt;"",'2mD'!F26,"")</f>
        <v/>
      </c>
      <c r="G1826" s="82">
        <f>IF('2mD'!B26&lt;&gt;"",'2mD'!G26,"")</f>
        <v/>
      </c>
      <c r="H1826" s="92">
        <f>IF('2mD'!B26&lt;&gt;"",'2mD'!H26,"")</f>
        <v/>
      </c>
      <c r="I1826" s="92">
        <f>IF('2mD'!B26&lt;&gt;"",'2mD'!I26,"")</f>
        <v/>
      </c>
      <c r="J1826" s="82">
        <f>IF('2mD'!B26&lt;&gt;"",'2mD'!J26,"")</f>
        <v/>
      </c>
    </row>
    <row r="1827" ht="15.75" customHeight="1" s="52">
      <c r="A1827" s="97">
        <f>IF('2mD'!B27&lt;&gt;"","2mD","")</f>
        <v/>
      </c>
      <c r="B1827" s="78">
        <f>IF('2mD'!B27&lt;&gt;"",'2mD'!B27,"")</f>
        <v/>
      </c>
      <c r="C1827" s="78">
        <f>IF('2mD'!B27&lt;&gt;"",'2mD'!C27,"")</f>
        <v/>
      </c>
      <c r="D1827" s="78">
        <f>IF('2mD'!B27&lt;&gt;"",'2mD'!D27,"")</f>
        <v/>
      </c>
      <c r="E1827" s="78">
        <f>IF('2mD'!B27&lt;&gt;"",'2mD'!E27,"")</f>
        <v/>
      </c>
      <c r="F1827" s="78">
        <f>IF('2mD'!B27&lt;&gt;"",'2mD'!F27,"")</f>
        <v/>
      </c>
      <c r="G1827" s="78">
        <f>IF('2mD'!B27&lt;&gt;"",'2mD'!G27,"")</f>
        <v/>
      </c>
      <c r="H1827" s="97">
        <f>IF('2mD'!B27&lt;&gt;"",'2mD'!H27,"")</f>
        <v/>
      </c>
      <c r="I1827" s="97">
        <f>IF('2mD'!B27&lt;&gt;"",'2mD'!I27,"")</f>
        <v/>
      </c>
      <c r="J1827" s="78">
        <f>IF('2mD'!B27&lt;&gt;"",'2mD'!J27,"")</f>
        <v/>
      </c>
    </row>
    <row r="1828" ht="15.75" customHeight="1" s="52">
      <c r="A1828" s="92">
        <f>IF('2mD'!B28&lt;&gt;"","2mD","")</f>
        <v/>
      </c>
      <c r="B1828" s="82">
        <f>IF('2mD'!B28&lt;&gt;"",'2mD'!B28,"")</f>
        <v/>
      </c>
      <c r="C1828" s="82">
        <f>IF('2mD'!B28&lt;&gt;"",'2mD'!C28,"")</f>
        <v/>
      </c>
      <c r="D1828" s="82">
        <f>IF('2mD'!B28&lt;&gt;"",'2mD'!D28,"")</f>
        <v/>
      </c>
      <c r="E1828" s="82">
        <f>IF('2mD'!B28&lt;&gt;"",'2mD'!E28,"")</f>
        <v/>
      </c>
      <c r="F1828" s="82">
        <f>IF('2mD'!B28&lt;&gt;"",'2mD'!F28,"")</f>
        <v/>
      </c>
      <c r="G1828" s="82">
        <f>IF('2mD'!B28&lt;&gt;"",'2mD'!G28,"")</f>
        <v/>
      </c>
      <c r="H1828" s="92">
        <f>IF('2mD'!B28&lt;&gt;"",'2mD'!H28,"")</f>
        <v/>
      </c>
      <c r="I1828" s="92">
        <f>IF('2mD'!B28&lt;&gt;"",'2mD'!I28,"")</f>
        <v/>
      </c>
      <c r="J1828" s="82">
        <f>IF('2mD'!B28&lt;&gt;"",'2mD'!J28,"")</f>
        <v/>
      </c>
    </row>
    <row r="1829" ht="15.75" customHeight="1" s="52">
      <c r="A1829" s="97">
        <f>IF('2mD'!B29&lt;&gt;"","2mD","")</f>
        <v/>
      </c>
      <c r="B1829" s="78">
        <f>IF('2mD'!B29&lt;&gt;"",'2mD'!B29,"")</f>
        <v/>
      </c>
      <c r="C1829" s="78">
        <f>IF('2mD'!B29&lt;&gt;"",'2mD'!C29,"")</f>
        <v/>
      </c>
      <c r="D1829" s="78">
        <f>IF('2mD'!B29&lt;&gt;"",'2mD'!D29,"")</f>
        <v/>
      </c>
      <c r="E1829" s="78">
        <f>IF('2mD'!B29&lt;&gt;"",'2mD'!E29,"")</f>
        <v/>
      </c>
      <c r="F1829" s="78">
        <f>IF('2mD'!B29&lt;&gt;"",'2mD'!F29,"")</f>
        <v/>
      </c>
      <c r="G1829" s="78">
        <f>IF('2mD'!B29&lt;&gt;"",'2mD'!G29,"")</f>
        <v/>
      </c>
      <c r="H1829" s="97">
        <f>IF('2mD'!B29&lt;&gt;"",'2mD'!H29,"")</f>
        <v/>
      </c>
      <c r="I1829" s="97">
        <f>IF('2mD'!B29&lt;&gt;"",'2mD'!I29,"")</f>
        <v/>
      </c>
      <c r="J1829" s="78">
        <f>IF('2mD'!B29&lt;&gt;"",'2mD'!J29,"")</f>
        <v/>
      </c>
    </row>
    <row r="1830" ht="15.75" customHeight="1" s="52">
      <c r="A1830" s="92">
        <f>IF('2mD'!B30&lt;&gt;"","2mD","")</f>
        <v/>
      </c>
      <c r="B1830" s="82">
        <f>IF('2mD'!B30&lt;&gt;"",'2mD'!B30,"")</f>
        <v/>
      </c>
      <c r="C1830" s="82">
        <f>IF('2mD'!B30&lt;&gt;"",'2mD'!C30,"")</f>
        <v/>
      </c>
      <c r="D1830" s="82">
        <f>IF('2mD'!B30&lt;&gt;"",'2mD'!D30,"")</f>
        <v/>
      </c>
      <c r="E1830" s="82">
        <f>IF('2mD'!B30&lt;&gt;"",'2mD'!E30,"")</f>
        <v/>
      </c>
      <c r="F1830" s="82">
        <f>IF('2mD'!B30&lt;&gt;"",'2mD'!F30,"")</f>
        <v/>
      </c>
      <c r="G1830" s="82">
        <f>IF('2mD'!B30&lt;&gt;"",'2mD'!G30,"")</f>
        <v/>
      </c>
      <c r="H1830" s="92">
        <f>IF('2mD'!B30&lt;&gt;"",'2mD'!H30,"")</f>
        <v/>
      </c>
      <c r="I1830" s="92">
        <f>IF('2mD'!B30&lt;&gt;"",'2mD'!I30,"")</f>
        <v/>
      </c>
      <c r="J1830" s="82">
        <f>IF('2mD'!B30&lt;&gt;"",'2mD'!J30,"")</f>
        <v/>
      </c>
    </row>
    <row r="1831" ht="15.75" customHeight="1" s="52">
      <c r="A1831" s="97">
        <f>IF('2mD'!B31&lt;&gt;"","2mD","")</f>
        <v/>
      </c>
      <c r="B1831" s="78">
        <f>IF('2mD'!B31&lt;&gt;"",'2mD'!B31,"")</f>
        <v/>
      </c>
      <c r="C1831" s="78">
        <f>IF('2mD'!B31&lt;&gt;"",'2mD'!C31,"")</f>
        <v/>
      </c>
      <c r="D1831" s="78">
        <f>IF('2mD'!B31&lt;&gt;"",'2mD'!D31,"")</f>
        <v/>
      </c>
      <c r="E1831" s="78">
        <f>IF('2mD'!B31&lt;&gt;"",'2mD'!E31,"")</f>
        <v/>
      </c>
      <c r="F1831" s="78">
        <f>IF('2mD'!B31&lt;&gt;"",'2mD'!F31,"")</f>
        <v/>
      </c>
      <c r="G1831" s="78">
        <f>IF('2mD'!B31&lt;&gt;"",'2mD'!G31,"")</f>
        <v/>
      </c>
      <c r="H1831" s="97">
        <f>IF('2mD'!B31&lt;&gt;"",'2mD'!H31,"")</f>
        <v/>
      </c>
      <c r="I1831" s="97">
        <f>IF('2mD'!B31&lt;&gt;"",'2mD'!I31,"")</f>
        <v/>
      </c>
      <c r="J1831" s="78">
        <f>IF('2mD'!B31&lt;&gt;"",'2mD'!J31,"")</f>
        <v/>
      </c>
    </row>
    <row r="1832" ht="15.75" customHeight="1" s="52">
      <c r="A1832" s="92">
        <f>IF('2mD'!B32&lt;&gt;"","2mD","")</f>
        <v/>
      </c>
      <c r="B1832" s="82">
        <f>IF('2mD'!B32&lt;&gt;"",'2mD'!B32,"")</f>
        <v/>
      </c>
      <c r="C1832" s="82">
        <f>IF('2mD'!B32&lt;&gt;"",'2mD'!C32,"")</f>
        <v/>
      </c>
      <c r="D1832" s="82">
        <f>IF('2mD'!B32&lt;&gt;"",'2mD'!D32,"")</f>
        <v/>
      </c>
      <c r="E1832" s="82">
        <f>IF('2mD'!B32&lt;&gt;"",'2mD'!E32,"")</f>
        <v/>
      </c>
      <c r="F1832" s="82">
        <f>IF('2mD'!B32&lt;&gt;"",'2mD'!F32,"")</f>
        <v/>
      </c>
      <c r="G1832" s="82">
        <f>IF('2mD'!B32&lt;&gt;"",'2mD'!G32,"")</f>
        <v/>
      </c>
      <c r="H1832" s="92">
        <f>IF('2mD'!B32&lt;&gt;"",'2mD'!H32,"")</f>
        <v/>
      </c>
      <c r="I1832" s="92">
        <f>IF('2mD'!B32&lt;&gt;"",'2mD'!I32,"")</f>
        <v/>
      </c>
      <c r="J1832" s="82">
        <f>IF('2mD'!B32&lt;&gt;"",'2mD'!J32,"")</f>
        <v/>
      </c>
    </row>
    <row r="1833" ht="15.75" customHeight="1" s="52">
      <c r="A1833" s="97">
        <f>IF('2mD'!B33&lt;&gt;"","2mD","")</f>
        <v/>
      </c>
      <c r="B1833" s="78">
        <f>IF('2mD'!B33&lt;&gt;"",'2mD'!B33,"")</f>
        <v/>
      </c>
      <c r="C1833" s="78">
        <f>IF('2mD'!B33&lt;&gt;"",'2mD'!C33,"")</f>
        <v/>
      </c>
      <c r="D1833" s="78">
        <f>IF('2mD'!B33&lt;&gt;"",'2mD'!D33,"")</f>
        <v/>
      </c>
      <c r="E1833" s="78">
        <f>IF('2mD'!B33&lt;&gt;"",'2mD'!E33,"")</f>
        <v/>
      </c>
      <c r="F1833" s="78">
        <f>IF('2mD'!B33&lt;&gt;"",'2mD'!F33,"")</f>
        <v/>
      </c>
      <c r="G1833" s="78">
        <f>IF('2mD'!B33&lt;&gt;"",'2mD'!G33,"")</f>
        <v/>
      </c>
      <c r="H1833" s="97">
        <f>IF('2mD'!B33&lt;&gt;"",'2mD'!H33,"")</f>
        <v/>
      </c>
      <c r="I1833" s="97">
        <f>IF('2mD'!B33&lt;&gt;"",'2mD'!I33,"")</f>
        <v/>
      </c>
      <c r="J1833" s="78">
        <f>IF('2mD'!B33&lt;&gt;"",'2mD'!J33,"")</f>
        <v/>
      </c>
    </row>
    <row r="1834" ht="15.75" customHeight="1" s="52">
      <c r="A1834" s="92">
        <f>IF('2mD'!B34&lt;&gt;"","2mD","")</f>
        <v/>
      </c>
      <c r="B1834" s="82">
        <f>IF('2mD'!B34&lt;&gt;"",'2mD'!B34,"")</f>
        <v/>
      </c>
      <c r="C1834" s="82">
        <f>IF('2mD'!B34&lt;&gt;"",'2mD'!C34,"")</f>
        <v/>
      </c>
      <c r="D1834" s="82">
        <f>IF('2mD'!B34&lt;&gt;"",'2mD'!D34,"")</f>
        <v/>
      </c>
      <c r="E1834" s="82">
        <f>IF('2mD'!B34&lt;&gt;"",'2mD'!E34,"")</f>
        <v/>
      </c>
      <c r="F1834" s="82">
        <f>IF('2mD'!B34&lt;&gt;"",'2mD'!F34,"")</f>
        <v/>
      </c>
      <c r="G1834" s="82">
        <f>IF('2mD'!B34&lt;&gt;"",'2mD'!G34,"")</f>
        <v/>
      </c>
      <c r="H1834" s="92">
        <f>IF('2mD'!B34&lt;&gt;"",'2mD'!H34,"")</f>
        <v/>
      </c>
      <c r="I1834" s="92">
        <f>IF('2mD'!B34&lt;&gt;"",'2mD'!I34,"")</f>
        <v/>
      </c>
      <c r="J1834" s="82">
        <f>IF('2mD'!B34&lt;&gt;"",'2mD'!J34,"")</f>
        <v/>
      </c>
    </row>
    <row r="1835" ht="15.75" customHeight="1" s="52">
      <c r="A1835" s="97">
        <f>IF('2mD'!B35&lt;&gt;"","2mD","")</f>
        <v/>
      </c>
      <c r="B1835" s="78">
        <f>IF('2mD'!B35&lt;&gt;"",'2mD'!B35,"")</f>
        <v/>
      </c>
      <c r="C1835" s="78">
        <f>IF('2mD'!B35&lt;&gt;"",'2mD'!C35,"")</f>
        <v/>
      </c>
      <c r="D1835" s="78">
        <f>IF('2mD'!B35&lt;&gt;"",'2mD'!D35,"")</f>
        <v/>
      </c>
      <c r="E1835" s="78">
        <f>IF('2mD'!B35&lt;&gt;"",'2mD'!E35,"")</f>
        <v/>
      </c>
      <c r="F1835" s="78">
        <f>IF('2mD'!B35&lt;&gt;"",'2mD'!F35,"")</f>
        <v/>
      </c>
      <c r="G1835" s="78">
        <f>IF('2mD'!B35&lt;&gt;"",'2mD'!G35,"")</f>
        <v/>
      </c>
      <c r="H1835" s="97">
        <f>IF('2mD'!B35&lt;&gt;"",'2mD'!H35,"")</f>
        <v/>
      </c>
      <c r="I1835" s="97">
        <f>IF('2mD'!B35&lt;&gt;"",'2mD'!I35,"")</f>
        <v/>
      </c>
      <c r="J1835" s="78">
        <f>IF('2mD'!B35&lt;&gt;"",'2mD'!J35,"")</f>
        <v/>
      </c>
    </row>
    <row r="1836" ht="15.75" customHeight="1" s="52">
      <c r="A1836" s="92">
        <f>IF('2mD'!B36&lt;&gt;"","2mD","")</f>
        <v/>
      </c>
      <c r="B1836" s="82">
        <f>IF('2mD'!B36&lt;&gt;"",'2mD'!B36,"")</f>
        <v/>
      </c>
      <c r="C1836" s="82">
        <f>IF('2mD'!B36&lt;&gt;"",'2mD'!C36,"")</f>
        <v/>
      </c>
      <c r="D1836" s="82">
        <f>IF('2mD'!B36&lt;&gt;"",'2mD'!D36,"")</f>
        <v/>
      </c>
      <c r="E1836" s="82">
        <f>IF('2mD'!B36&lt;&gt;"",'2mD'!E36,"")</f>
        <v/>
      </c>
      <c r="F1836" s="82">
        <f>IF('2mD'!B36&lt;&gt;"",'2mD'!F36,"")</f>
        <v/>
      </c>
      <c r="G1836" s="82">
        <f>IF('2mD'!B36&lt;&gt;"",'2mD'!G36,"")</f>
        <v/>
      </c>
      <c r="H1836" s="92">
        <f>IF('2mD'!B36&lt;&gt;"",'2mD'!H36,"")</f>
        <v/>
      </c>
      <c r="I1836" s="92">
        <f>IF('2mD'!B36&lt;&gt;"",'2mD'!I36,"")</f>
        <v/>
      </c>
      <c r="J1836" s="82">
        <f>IF('2mD'!B36&lt;&gt;"",'2mD'!J36,"")</f>
        <v/>
      </c>
    </row>
    <row r="1837" ht="15.75" customHeight="1" s="52">
      <c r="A1837" s="97">
        <f>IF('2mD'!B37&lt;&gt;"","2mD","")</f>
        <v/>
      </c>
      <c r="B1837" s="78">
        <f>IF('2mD'!B37&lt;&gt;"",'2mD'!B37,"")</f>
        <v/>
      </c>
      <c r="C1837" s="78">
        <f>IF('2mD'!B37&lt;&gt;"",'2mD'!C37,"")</f>
        <v/>
      </c>
      <c r="D1837" s="78">
        <f>IF('2mD'!B37&lt;&gt;"",'2mD'!D37,"")</f>
        <v/>
      </c>
      <c r="E1837" s="78">
        <f>IF('2mD'!B37&lt;&gt;"",'2mD'!E37,"")</f>
        <v/>
      </c>
      <c r="F1837" s="78">
        <f>IF('2mD'!B37&lt;&gt;"",'2mD'!F37,"")</f>
        <v/>
      </c>
      <c r="G1837" s="78">
        <f>IF('2mD'!B37&lt;&gt;"",'2mD'!G37,"")</f>
        <v/>
      </c>
      <c r="H1837" s="97">
        <f>IF('2mD'!B37&lt;&gt;"",'2mD'!H37,"")</f>
        <v/>
      </c>
      <c r="I1837" s="97">
        <f>IF('2mD'!B37&lt;&gt;"",'2mD'!I37,"")</f>
        <v/>
      </c>
      <c r="J1837" s="78">
        <f>IF('2mD'!B37&lt;&gt;"",'2mD'!J37,"")</f>
        <v/>
      </c>
    </row>
    <row r="1838" ht="15.75" customHeight="1" s="52">
      <c r="A1838" s="92">
        <f>IF('2mD'!B38&lt;&gt;"","2mD","")</f>
        <v/>
      </c>
      <c r="B1838" s="82">
        <f>IF('2mD'!B38&lt;&gt;"",'2mD'!B38,"")</f>
        <v/>
      </c>
      <c r="C1838" s="82">
        <f>IF('2mD'!B38&lt;&gt;"",'2mD'!C38,"")</f>
        <v/>
      </c>
      <c r="D1838" s="82">
        <f>IF('2mD'!B38&lt;&gt;"",'2mD'!D38,"")</f>
        <v/>
      </c>
      <c r="E1838" s="82">
        <f>IF('2mD'!B38&lt;&gt;"",'2mD'!E38,"")</f>
        <v/>
      </c>
      <c r="F1838" s="82">
        <f>IF('2mD'!B38&lt;&gt;"",'2mD'!F38,"")</f>
        <v/>
      </c>
      <c r="G1838" s="82">
        <f>IF('2mD'!B38&lt;&gt;"",'2mD'!G38,"")</f>
        <v/>
      </c>
      <c r="H1838" s="92">
        <f>IF('2mD'!B38&lt;&gt;"",'2mD'!H38,"")</f>
        <v/>
      </c>
      <c r="I1838" s="92">
        <f>IF('2mD'!B38&lt;&gt;"",'2mD'!I38,"")</f>
        <v/>
      </c>
      <c r="J1838" s="82">
        <f>IF('2mD'!B38&lt;&gt;"",'2mD'!J38,"")</f>
        <v/>
      </c>
    </row>
    <row r="1839" ht="15.75" customHeight="1" s="52">
      <c r="A1839" s="97">
        <f>IF('2mD'!B39&lt;&gt;"","2mD","")</f>
        <v/>
      </c>
      <c r="B1839" s="78">
        <f>IF('2mD'!B39&lt;&gt;"",'2mD'!B39,"")</f>
        <v/>
      </c>
      <c r="C1839" s="78">
        <f>IF('2mD'!B39&lt;&gt;"",'2mD'!C39,"")</f>
        <v/>
      </c>
      <c r="D1839" s="78">
        <f>IF('2mD'!B39&lt;&gt;"",'2mD'!D39,"")</f>
        <v/>
      </c>
      <c r="E1839" s="78">
        <f>IF('2mD'!B39&lt;&gt;"",'2mD'!E39,"")</f>
        <v/>
      </c>
      <c r="F1839" s="78">
        <f>IF('2mD'!B39&lt;&gt;"",'2mD'!F39,"")</f>
        <v/>
      </c>
      <c r="G1839" s="78">
        <f>IF('2mD'!B39&lt;&gt;"",'2mD'!G39,"")</f>
        <v/>
      </c>
      <c r="H1839" s="97">
        <f>IF('2mD'!B39&lt;&gt;"",'2mD'!H39,"")</f>
        <v/>
      </c>
      <c r="I1839" s="97">
        <f>IF('2mD'!B39&lt;&gt;"",'2mD'!I39,"")</f>
        <v/>
      </c>
      <c r="J1839" s="78">
        <f>IF('2mD'!B39&lt;&gt;"",'2mD'!J39,"")</f>
        <v/>
      </c>
    </row>
    <row r="1840" ht="15.75" customHeight="1" s="52">
      <c r="A1840" s="92">
        <f>IF('2mD'!B40&lt;&gt;"","2mD","")</f>
        <v/>
      </c>
      <c r="B1840" s="82">
        <f>IF('2mD'!B40&lt;&gt;"",'2mD'!B40,"")</f>
        <v/>
      </c>
      <c r="C1840" s="82">
        <f>IF('2mD'!B40&lt;&gt;"",'2mD'!C40,"")</f>
        <v/>
      </c>
      <c r="D1840" s="82">
        <f>IF('2mD'!B40&lt;&gt;"",'2mD'!D40,"")</f>
        <v/>
      </c>
      <c r="E1840" s="82">
        <f>IF('2mD'!B40&lt;&gt;"",'2mD'!E40,"")</f>
        <v/>
      </c>
      <c r="F1840" s="82">
        <f>IF('2mD'!B40&lt;&gt;"",'2mD'!F40,"")</f>
        <v/>
      </c>
      <c r="G1840" s="82">
        <f>IF('2mD'!B40&lt;&gt;"",'2mD'!G40,"")</f>
        <v/>
      </c>
      <c r="H1840" s="92">
        <f>IF('2mD'!B40&lt;&gt;"",'2mD'!H40,"")</f>
        <v/>
      </c>
      <c r="I1840" s="92">
        <f>IF('2mD'!B40&lt;&gt;"",'2mD'!I40,"")</f>
        <v/>
      </c>
      <c r="J1840" s="82">
        <f>IF('2mD'!B40&lt;&gt;"",'2mD'!J40,"")</f>
        <v/>
      </c>
    </row>
    <row r="1841" ht="15.75" customHeight="1" s="52">
      <c r="A1841" s="97">
        <f>IF('2mD'!B41&lt;&gt;"","2mD","")</f>
        <v/>
      </c>
      <c r="B1841" s="78">
        <f>IF('2mD'!B41&lt;&gt;"",'2mD'!B41,"")</f>
        <v/>
      </c>
      <c r="C1841" s="78">
        <f>IF('2mD'!B41&lt;&gt;"",'2mD'!C41,"")</f>
        <v/>
      </c>
      <c r="D1841" s="78">
        <f>IF('2mD'!B41&lt;&gt;"",'2mD'!D41,"")</f>
        <v/>
      </c>
      <c r="E1841" s="78">
        <f>IF('2mD'!B41&lt;&gt;"",'2mD'!E41,"")</f>
        <v/>
      </c>
      <c r="F1841" s="78">
        <f>IF('2mD'!B41&lt;&gt;"",'2mD'!F41,"")</f>
        <v/>
      </c>
      <c r="G1841" s="78">
        <f>IF('2mD'!B41&lt;&gt;"",'2mD'!G41,"")</f>
        <v/>
      </c>
      <c r="H1841" s="97">
        <f>IF('2mD'!B41&lt;&gt;"",'2mD'!H41,"")</f>
        <v/>
      </c>
      <c r="I1841" s="97">
        <f>IF('2mD'!B41&lt;&gt;"",'2mD'!I41,"")</f>
        <v/>
      </c>
      <c r="J1841" s="78">
        <f>IF('2mD'!B41&lt;&gt;"",'2mD'!J41,"")</f>
        <v/>
      </c>
    </row>
    <row r="1842" ht="15.75" customHeight="1" s="52">
      <c r="A1842" s="92">
        <f>IF('2mD'!B42&lt;&gt;"","2mD","")</f>
        <v/>
      </c>
      <c r="B1842" s="82">
        <f>IF('2mD'!B42&lt;&gt;"",'2mD'!B42,"")</f>
        <v/>
      </c>
      <c r="C1842" s="82">
        <f>IF('2mD'!B42&lt;&gt;"",'2mD'!C42,"")</f>
        <v/>
      </c>
      <c r="D1842" s="82">
        <f>IF('2mD'!B42&lt;&gt;"",'2mD'!D42,"")</f>
        <v/>
      </c>
      <c r="E1842" s="82">
        <f>IF('2mD'!B42&lt;&gt;"",'2mD'!E42,"")</f>
        <v/>
      </c>
      <c r="F1842" s="82">
        <f>IF('2mD'!B42&lt;&gt;"",'2mD'!F42,"")</f>
        <v/>
      </c>
      <c r="G1842" s="82">
        <f>IF('2mD'!B42&lt;&gt;"",'2mD'!G42,"")</f>
        <v/>
      </c>
      <c r="H1842" s="92">
        <f>IF('2mD'!B42&lt;&gt;"",'2mD'!H42,"")</f>
        <v/>
      </c>
      <c r="I1842" s="92">
        <f>IF('2mD'!B42&lt;&gt;"",'2mD'!I42,"")</f>
        <v/>
      </c>
      <c r="J1842" s="82">
        <f>IF('2mD'!B42&lt;&gt;"",'2mD'!J42,"")</f>
        <v/>
      </c>
    </row>
    <row r="1843" ht="15.75" customHeight="1" s="52">
      <c r="A1843" s="97">
        <f>IF('2mD'!B43&lt;&gt;"","2mD","")</f>
        <v/>
      </c>
      <c r="B1843" s="78">
        <f>IF('2mD'!B43&lt;&gt;"",'2mD'!B43,"")</f>
        <v/>
      </c>
      <c r="C1843" s="78">
        <f>IF('2mD'!B43&lt;&gt;"",'2mD'!C43,"")</f>
        <v/>
      </c>
      <c r="D1843" s="78">
        <f>IF('2mD'!B43&lt;&gt;"",'2mD'!D43,"")</f>
        <v/>
      </c>
      <c r="E1843" s="78">
        <f>IF('2mD'!B43&lt;&gt;"",'2mD'!E43,"")</f>
        <v/>
      </c>
      <c r="F1843" s="78">
        <f>IF('2mD'!B43&lt;&gt;"",'2mD'!F43,"")</f>
        <v/>
      </c>
      <c r="G1843" s="78">
        <f>IF('2mD'!B43&lt;&gt;"",'2mD'!G43,"")</f>
        <v/>
      </c>
      <c r="H1843" s="97">
        <f>IF('2mD'!B43&lt;&gt;"",'2mD'!H43,"")</f>
        <v/>
      </c>
      <c r="I1843" s="97">
        <f>IF('2mD'!B43&lt;&gt;"",'2mD'!I43,"")</f>
        <v/>
      </c>
      <c r="J1843" s="78">
        <f>IF('2mD'!B43&lt;&gt;"",'2mD'!J43,"")</f>
        <v/>
      </c>
    </row>
    <row r="1844" ht="15.75" customHeight="1" s="52">
      <c r="A1844" s="92">
        <f>IF('2mD'!B44&lt;&gt;"","2mD","")</f>
        <v/>
      </c>
      <c r="B1844" s="82">
        <f>IF('2mD'!B44&lt;&gt;"",'2mD'!B44,"")</f>
        <v/>
      </c>
      <c r="C1844" s="82">
        <f>IF('2mD'!B44&lt;&gt;"",'2mD'!C44,"")</f>
        <v/>
      </c>
      <c r="D1844" s="82">
        <f>IF('2mD'!B44&lt;&gt;"",'2mD'!D44,"")</f>
        <v/>
      </c>
      <c r="E1844" s="82">
        <f>IF('2mD'!B44&lt;&gt;"",'2mD'!E44,"")</f>
        <v/>
      </c>
      <c r="F1844" s="82">
        <f>IF('2mD'!B44&lt;&gt;"",'2mD'!F44,"")</f>
        <v/>
      </c>
      <c r="G1844" s="82">
        <f>IF('2mD'!B44&lt;&gt;"",'2mD'!G44,"")</f>
        <v/>
      </c>
      <c r="H1844" s="92">
        <f>IF('2mD'!B44&lt;&gt;"",'2mD'!H44,"")</f>
        <v/>
      </c>
      <c r="I1844" s="92">
        <f>IF('2mD'!B44&lt;&gt;"",'2mD'!I44,"")</f>
        <v/>
      </c>
      <c r="J1844" s="82">
        <f>IF('2mD'!B44&lt;&gt;"",'2mD'!J44,"")</f>
        <v/>
      </c>
    </row>
    <row r="1845" ht="15.75" customHeight="1" s="52">
      <c r="A1845" s="97">
        <f>IF('2mD'!B45&lt;&gt;"","2mD","")</f>
        <v/>
      </c>
      <c r="B1845" s="78">
        <f>IF('2mD'!B45&lt;&gt;"",'2mD'!B45,"")</f>
        <v/>
      </c>
      <c r="C1845" s="78">
        <f>IF('2mD'!B45&lt;&gt;"",'2mD'!C45,"")</f>
        <v/>
      </c>
      <c r="D1845" s="78">
        <f>IF('2mD'!B45&lt;&gt;"",'2mD'!D45,"")</f>
        <v/>
      </c>
      <c r="E1845" s="78">
        <f>IF('2mD'!B45&lt;&gt;"",'2mD'!E45,"")</f>
        <v/>
      </c>
      <c r="F1845" s="78">
        <f>IF('2mD'!B45&lt;&gt;"",'2mD'!F45,"")</f>
        <v/>
      </c>
      <c r="G1845" s="78">
        <f>IF('2mD'!B45&lt;&gt;"",'2mD'!G45,"")</f>
        <v/>
      </c>
      <c r="H1845" s="97">
        <f>IF('2mD'!B45&lt;&gt;"",'2mD'!H45,"")</f>
        <v/>
      </c>
      <c r="I1845" s="97">
        <f>IF('2mD'!B45&lt;&gt;"",'2mD'!I45,"")</f>
        <v/>
      </c>
      <c r="J1845" s="78">
        <f>IF('2mD'!B45&lt;&gt;"",'2mD'!J45,"")</f>
        <v/>
      </c>
    </row>
    <row r="1846" ht="15.75" customHeight="1" s="52">
      <c r="A1846" s="92">
        <f>IF('2mD'!B46&lt;&gt;"","2mD","")</f>
        <v/>
      </c>
      <c r="B1846" s="82">
        <f>IF('2mD'!B46&lt;&gt;"",'2mD'!B46,"")</f>
        <v/>
      </c>
      <c r="C1846" s="82">
        <f>IF('2mD'!B46&lt;&gt;"",'2mD'!C46,"")</f>
        <v/>
      </c>
      <c r="D1846" s="82">
        <f>IF('2mD'!B46&lt;&gt;"",'2mD'!D46,"")</f>
        <v/>
      </c>
      <c r="E1846" s="82">
        <f>IF('2mD'!B46&lt;&gt;"",'2mD'!E46,"")</f>
        <v/>
      </c>
      <c r="F1846" s="82">
        <f>IF('2mD'!B46&lt;&gt;"",'2mD'!F46,"")</f>
        <v/>
      </c>
      <c r="G1846" s="82">
        <f>IF('2mD'!B46&lt;&gt;"",'2mD'!G46,"")</f>
        <v/>
      </c>
      <c r="H1846" s="92">
        <f>IF('2mD'!B46&lt;&gt;"",'2mD'!H46,"")</f>
        <v/>
      </c>
      <c r="I1846" s="92">
        <f>IF('2mD'!B46&lt;&gt;"",'2mD'!I46,"")</f>
        <v/>
      </c>
      <c r="J1846" s="82">
        <f>IF('2mD'!B46&lt;&gt;"",'2mD'!J46,"")</f>
        <v/>
      </c>
    </row>
    <row r="1847" ht="15.75" customHeight="1" s="52">
      <c r="A1847" s="97">
        <f>IF('2mD'!B47&lt;&gt;"","2mD","")</f>
        <v/>
      </c>
      <c r="B1847" s="78">
        <f>IF('2mD'!B47&lt;&gt;"",'2mD'!B47,"")</f>
        <v/>
      </c>
      <c r="C1847" s="78">
        <f>IF('2mD'!B47&lt;&gt;"",'2mD'!C47,"")</f>
        <v/>
      </c>
      <c r="D1847" s="78">
        <f>IF('2mD'!B47&lt;&gt;"",'2mD'!D47,"")</f>
        <v/>
      </c>
      <c r="E1847" s="78">
        <f>IF('2mD'!B47&lt;&gt;"",'2mD'!E47,"")</f>
        <v/>
      </c>
      <c r="F1847" s="78">
        <f>IF('2mD'!B47&lt;&gt;"",'2mD'!F47,"")</f>
        <v/>
      </c>
      <c r="G1847" s="78">
        <f>IF('2mD'!B47&lt;&gt;"",'2mD'!G47,"")</f>
        <v/>
      </c>
      <c r="H1847" s="97">
        <f>IF('2mD'!B47&lt;&gt;"",'2mD'!H47,"")</f>
        <v/>
      </c>
      <c r="I1847" s="97">
        <f>IF('2mD'!B47&lt;&gt;"",'2mD'!I47,"")</f>
        <v/>
      </c>
      <c r="J1847" s="78">
        <f>IF('2mD'!B47&lt;&gt;"",'2mD'!J47,"")</f>
        <v/>
      </c>
    </row>
    <row r="1848" ht="15.75" customHeight="1" s="52">
      <c r="A1848" s="92">
        <f>IF('2mD'!B48&lt;&gt;"","2mD","")</f>
        <v/>
      </c>
      <c r="B1848" s="82">
        <f>IF('2mD'!B48&lt;&gt;"",'2mD'!B48,"")</f>
        <v/>
      </c>
      <c r="C1848" s="82">
        <f>IF('2mD'!B48&lt;&gt;"",'2mD'!C48,"")</f>
        <v/>
      </c>
      <c r="D1848" s="82">
        <f>IF('2mD'!B48&lt;&gt;"",'2mD'!D48,"")</f>
        <v/>
      </c>
      <c r="E1848" s="82">
        <f>IF('2mD'!B48&lt;&gt;"",'2mD'!E48,"")</f>
        <v/>
      </c>
      <c r="F1848" s="82">
        <f>IF('2mD'!B48&lt;&gt;"",'2mD'!F48,"")</f>
        <v/>
      </c>
      <c r="G1848" s="82">
        <f>IF('2mD'!B48&lt;&gt;"",'2mD'!G48,"")</f>
        <v/>
      </c>
      <c r="H1848" s="92">
        <f>IF('2mD'!B48&lt;&gt;"",'2mD'!H48,"")</f>
        <v/>
      </c>
      <c r="I1848" s="92">
        <f>IF('2mD'!B48&lt;&gt;"",'2mD'!I48,"")</f>
        <v/>
      </c>
      <c r="J1848" s="82">
        <f>IF('2mD'!B48&lt;&gt;"",'2mD'!J48,"")</f>
        <v/>
      </c>
    </row>
    <row r="1849" ht="15.75" customHeight="1" s="52">
      <c r="A1849" s="97">
        <f>IF('2mD'!B49&lt;&gt;"","2mD","")</f>
        <v/>
      </c>
      <c r="B1849" s="78">
        <f>IF('2mD'!B49&lt;&gt;"",'2mD'!B49,"")</f>
        <v/>
      </c>
      <c r="C1849" s="78">
        <f>IF('2mD'!B49&lt;&gt;"",'2mD'!C49,"")</f>
        <v/>
      </c>
      <c r="D1849" s="78">
        <f>IF('2mD'!B49&lt;&gt;"",'2mD'!D49,"")</f>
        <v/>
      </c>
      <c r="E1849" s="78">
        <f>IF('2mD'!B49&lt;&gt;"",'2mD'!E49,"")</f>
        <v/>
      </c>
      <c r="F1849" s="78">
        <f>IF('2mD'!B49&lt;&gt;"",'2mD'!F49,"")</f>
        <v/>
      </c>
      <c r="G1849" s="78">
        <f>IF('2mD'!B49&lt;&gt;"",'2mD'!G49,"")</f>
        <v/>
      </c>
      <c r="H1849" s="97">
        <f>IF('2mD'!B49&lt;&gt;"",'2mD'!H49,"")</f>
        <v/>
      </c>
      <c r="I1849" s="97">
        <f>IF('2mD'!B49&lt;&gt;"",'2mD'!I49,"")</f>
        <v/>
      </c>
      <c r="J1849" s="78">
        <f>IF('2mD'!B49&lt;&gt;"",'2mD'!J49,"")</f>
        <v/>
      </c>
    </row>
    <row r="1850" ht="15.75" customHeight="1" s="52">
      <c r="A1850" s="92">
        <f>IF('2mD'!B50&lt;&gt;"","2mD","")</f>
        <v/>
      </c>
      <c r="B1850" s="82">
        <f>IF('2mD'!B50&lt;&gt;"",'2mD'!B50,"")</f>
        <v/>
      </c>
      <c r="C1850" s="82">
        <f>IF('2mD'!B50&lt;&gt;"",'2mD'!C50,"")</f>
        <v/>
      </c>
      <c r="D1850" s="82">
        <f>IF('2mD'!B50&lt;&gt;"",'2mD'!D50,"")</f>
        <v/>
      </c>
      <c r="E1850" s="82">
        <f>IF('2mD'!B50&lt;&gt;"",'2mD'!E50,"")</f>
        <v/>
      </c>
      <c r="F1850" s="82">
        <f>IF('2mD'!B50&lt;&gt;"",'2mD'!F50,"")</f>
        <v/>
      </c>
      <c r="G1850" s="82">
        <f>IF('2mD'!B50&lt;&gt;"",'2mD'!G50,"")</f>
        <v/>
      </c>
      <c r="H1850" s="92">
        <f>IF('2mD'!B50&lt;&gt;"",'2mD'!H50,"")</f>
        <v/>
      </c>
      <c r="I1850" s="92">
        <f>IF('2mD'!B50&lt;&gt;"",'2mD'!I50,"")</f>
        <v/>
      </c>
      <c r="J1850" s="82">
        <f>IF('2mD'!B50&lt;&gt;"",'2mD'!J50,"")</f>
        <v/>
      </c>
    </row>
    <row r="1851" ht="15.75" customHeight="1" s="52">
      <c r="A1851" s="97">
        <f>IF('2mD'!B51&lt;&gt;"","2mD","")</f>
        <v/>
      </c>
      <c r="B1851" s="78">
        <f>IF('2mD'!B51&lt;&gt;"",'2mD'!B51,"")</f>
        <v/>
      </c>
      <c r="C1851" s="78">
        <f>IF('2mD'!B51&lt;&gt;"",'2mD'!C51,"")</f>
        <v/>
      </c>
      <c r="D1851" s="78">
        <f>IF('2mD'!B51&lt;&gt;"",'2mD'!D51,"")</f>
        <v/>
      </c>
      <c r="E1851" s="78">
        <f>IF('2mD'!B51&lt;&gt;"",'2mD'!E51,"")</f>
        <v/>
      </c>
      <c r="F1851" s="78">
        <f>IF('2mD'!B51&lt;&gt;"",'2mD'!F51,"")</f>
        <v/>
      </c>
      <c r="G1851" s="78">
        <f>IF('2mD'!B51&lt;&gt;"",'2mD'!G51,"")</f>
        <v/>
      </c>
      <c r="H1851" s="97">
        <f>IF('2mD'!B51&lt;&gt;"",'2mD'!H51,"")</f>
        <v/>
      </c>
      <c r="I1851" s="97">
        <f>IF('2mD'!B51&lt;&gt;"",'2mD'!I51,"")</f>
        <v/>
      </c>
      <c r="J1851" s="78">
        <f>IF('2mD'!B51&lt;&gt;"",'2mD'!J51,"")</f>
        <v/>
      </c>
    </row>
    <row r="1852" ht="15.75" customHeight="1" s="52">
      <c r="A1852" s="92">
        <f>IF('2mD'!B52&lt;&gt;"","2mD","")</f>
        <v/>
      </c>
      <c r="B1852" s="82">
        <f>IF('2mD'!B52&lt;&gt;"",'2mD'!B52,"")</f>
        <v/>
      </c>
      <c r="C1852" s="82">
        <f>IF('2mD'!B52&lt;&gt;"",'2mD'!C52,"")</f>
        <v/>
      </c>
      <c r="D1852" s="82">
        <f>IF('2mD'!B52&lt;&gt;"",'2mD'!D52,"")</f>
        <v/>
      </c>
      <c r="E1852" s="82">
        <f>IF('2mD'!B52&lt;&gt;"",'2mD'!E52,"")</f>
        <v/>
      </c>
      <c r="F1852" s="82">
        <f>IF('2mD'!B52&lt;&gt;"",'2mD'!F52,"")</f>
        <v/>
      </c>
      <c r="G1852" s="82">
        <f>IF('2mD'!B52&lt;&gt;"",'2mD'!G52,"")</f>
        <v/>
      </c>
      <c r="H1852" s="92">
        <f>IF('2mD'!B52&lt;&gt;"",'2mD'!H52,"")</f>
        <v/>
      </c>
      <c r="I1852" s="92">
        <f>IF('2mD'!B52&lt;&gt;"",'2mD'!I52,"")</f>
        <v/>
      </c>
      <c r="J1852" s="82">
        <f>IF('2mD'!B52&lt;&gt;"",'2mD'!J52,"")</f>
        <v/>
      </c>
    </row>
    <row r="1853" ht="15.75" customHeight="1" s="52">
      <c r="A1853" s="97">
        <f>IF('2mD'!B53&lt;&gt;"","2mD","")</f>
        <v/>
      </c>
      <c r="B1853" s="78">
        <f>IF('2mD'!B53&lt;&gt;"",'2mD'!B53,"")</f>
        <v/>
      </c>
      <c r="C1853" s="78">
        <f>IF('2mD'!B53&lt;&gt;"",'2mD'!C53,"")</f>
        <v/>
      </c>
      <c r="D1853" s="78">
        <f>IF('2mD'!B53&lt;&gt;"",'2mD'!D53,"")</f>
        <v/>
      </c>
      <c r="E1853" s="78">
        <f>IF('2mD'!B53&lt;&gt;"",'2mD'!E53,"")</f>
        <v/>
      </c>
      <c r="F1853" s="78">
        <f>IF('2mD'!B53&lt;&gt;"",'2mD'!F53,"")</f>
        <v/>
      </c>
      <c r="G1853" s="78">
        <f>IF('2mD'!B53&lt;&gt;"",'2mD'!G53,"")</f>
        <v/>
      </c>
      <c r="H1853" s="97">
        <f>IF('2mD'!B53&lt;&gt;"",'2mD'!H53,"")</f>
        <v/>
      </c>
      <c r="I1853" s="97">
        <f>IF('2mD'!B53&lt;&gt;"",'2mD'!I53,"")</f>
        <v/>
      </c>
      <c r="J1853" s="78">
        <f>IF('2mD'!B53&lt;&gt;"",'2mD'!J53,"")</f>
        <v/>
      </c>
    </row>
    <row r="1854" ht="15.75" customHeight="1" s="52">
      <c r="A1854" s="92">
        <f>IF('2mD'!B54&lt;&gt;"","2mD","")</f>
        <v/>
      </c>
      <c r="B1854" s="82">
        <f>IF('2mD'!B54&lt;&gt;"",'2mD'!B54,"")</f>
        <v/>
      </c>
      <c r="C1854" s="82">
        <f>IF('2mD'!B54&lt;&gt;"",'2mD'!C54,"")</f>
        <v/>
      </c>
      <c r="D1854" s="82">
        <f>IF('2mD'!B54&lt;&gt;"",'2mD'!D54,"")</f>
        <v/>
      </c>
      <c r="E1854" s="82">
        <f>IF('2mD'!B54&lt;&gt;"",'2mD'!E54,"")</f>
        <v/>
      </c>
      <c r="F1854" s="82">
        <f>IF('2mD'!B54&lt;&gt;"",'2mD'!F54,"")</f>
        <v/>
      </c>
      <c r="G1854" s="82">
        <f>IF('2mD'!B54&lt;&gt;"",'2mD'!G54,"")</f>
        <v/>
      </c>
      <c r="H1854" s="92">
        <f>IF('2mD'!B54&lt;&gt;"",'2mD'!H54,"")</f>
        <v/>
      </c>
      <c r="I1854" s="92">
        <f>IF('2mD'!B54&lt;&gt;"",'2mD'!I54,"")</f>
        <v/>
      </c>
      <c r="J1854" s="82">
        <f>IF('2mD'!B54&lt;&gt;"",'2mD'!J54,"")</f>
        <v/>
      </c>
    </row>
    <row r="1855" ht="15.75" customHeight="1" s="52">
      <c r="A1855" s="97">
        <f>IF('3mA'!B5&lt;&gt;"","3mA","")</f>
        <v/>
      </c>
      <c r="B1855" s="78">
        <f>IF('3mA'!B5&lt;&gt;"",'3mA'!B5,"")</f>
        <v/>
      </c>
      <c r="C1855" s="78">
        <f>IF('3mA'!B5&lt;&gt;"",'3mA'!C5,"")</f>
        <v/>
      </c>
      <c r="D1855" s="78">
        <f>IF('3mA'!B5&lt;&gt;"",'3mA'!D5,"")</f>
        <v/>
      </c>
      <c r="E1855" s="78">
        <f>IF('3mA'!B5&lt;&gt;"",'3mA'!E5,"")</f>
        <v/>
      </c>
      <c r="F1855" s="78">
        <f>IF('3mA'!B5&lt;&gt;"",'3mA'!F5,"")</f>
        <v/>
      </c>
      <c r="G1855" s="78">
        <f>IF('3mA'!B5&lt;&gt;"",'3mA'!G5,"")</f>
        <v/>
      </c>
      <c r="H1855" s="97">
        <f>IF('3mA'!B5&lt;&gt;"",'3mA'!H5,"")</f>
        <v/>
      </c>
      <c r="I1855" s="97">
        <f>IF('3mA'!B5&lt;&gt;"",'3mA'!I5,"")</f>
        <v/>
      </c>
      <c r="J1855" s="78">
        <f>IF('3mA'!B5&lt;&gt;"",'3mA'!J5,"")</f>
        <v/>
      </c>
    </row>
    <row r="1856" ht="15.75" customHeight="1" s="52">
      <c r="A1856" s="92">
        <f>IF('3mA'!B6&lt;&gt;"","3mA","")</f>
        <v/>
      </c>
      <c r="B1856" s="82">
        <f>IF('3mA'!B6&lt;&gt;"",'3mA'!B6,"")</f>
        <v/>
      </c>
      <c r="C1856" s="82">
        <f>IF('3mA'!B6&lt;&gt;"",'3mA'!C6,"")</f>
        <v/>
      </c>
      <c r="D1856" s="82">
        <f>IF('3mA'!B6&lt;&gt;"",'3mA'!D6,"")</f>
        <v/>
      </c>
      <c r="E1856" s="82">
        <f>IF('3mA'!B6&lt;&gt;"",'3mA'!E6,"")</f>
        <v/>
      </c>
      <c r="F1856" s="82">
        <f>IF('3mA'!B6&lt;&gt;"",'3mA'!F6,"")</f>
        <v/>
      </c>
      <c r="G1856" s="82">
        <f>IF('3mA'!B6&lt;&gt;"",'3mA'!G6,"")</f>
        <v/>
      </c>
      <c r="H1856" s="92">
        <f>IF('3mA'!B6&lt;&gt;"",'3mA'!H6,"")</f>
        <v/>
      </c>
      <c r="I1856" s="92">
        <f>IF('3mA'!B6&lt;&gt;"",'3mA'!I6,"")</f>
        <v/>
      </c>
      <c r="J1856" s="82">
        <f>IF('3mA'!B6&lt;&gt;"",'3mA'!J6,"")</f>
        <v/>
      </c>
    </row>
    <row r="1857" ht="15.75" customHeight="1" s="52">
      <c r="A1857" s="97">
        <f>IF('3mA'!B7&lt;&gt;"","3mA","")</f>
        <v/>
      </c>
      <c r="B1857" s="78">
        <f>IF('3mA'!B7&lt;&gt;"",'3mA'!B7,"")</f>
        <v/>
      </c>
      <c r="C1857" s="78">
        <f>IF('3mA'!B7&lt;&gt;"",'3mA'!C7,"")</f>
        <v/>
      </c>
      <c r="D1857" s="78">
        <f>IF('3mA'!B7&lt;&gt;"",'3mA'!D7,"")</f>
        <v/>
      </c>
      <c r="E1857" s="78">
        <f>IF('3mA'!B7&lt;&gt;"",'3mA'!E7,"")</f>
        <v/>
      </c>
      <c r="F1857" s="78">
        <f>IF('3mA'!B7&lt;&gt;"",'3mA'!F7,"")</f>
        <v/>
      </c>
      <c r="G1857" s="78">
        <f>IF('3mA'!B7&lt;&gt;"",'3mA'!G7,"")</f>
        <v/>
      </c>
      <c r="H1857" s="97">
        <f>IF('3mA'!B7&lt;&gt;"",'3mA'!H7,"")</f>
        <v/>
      </c>
      <c r="I1857" s="97">
        <f>IF('3mA'!B7&lt;&gt;"",'3mA'!I7,"")</f>
        <v/>
      </c>
      <c r="J1857" s="78">
        <f>IF('3mA'!B7&lt;&gt;"",'3mA'!J7,"")</f>
        <v/>
      </c>
    </row>
    <row r="1858" ht="15.75" customHeight="1" s="52">
      <c r="A1858" s="92">
        <f>IF('3mA'!B8&lt;&gt;"","3mA","")</f>
        <v/>
      </c>
      <c r="B1858" s="82">
        <f>IF('3mA'!B8&lt;&gt;"",'3mA'!B8,"")</f>
        <v/>
      </c>
      <c r="C1858" s="82">
        <f>IF('3mA'!B8&lt;&gt;"",'3mA'!C8,"")</f>
        <v/>
      </c>
      <c r="D1858" s="82">
        <f>IF('3mA'!B8&lt;&gt;"",'3mA'!D8,"")</f>
        <v/>
      </c>
      <c r="E1858" s="82">
        <f>IF('3mA'!B8&lt;&gt;"",'3mA'!E8,"")</f>
        <v/>
      </c>
      <c r="F1858" s="82">
        <f>IF('3mA'!B8&lt;&gt;"",'3mA'!F8,"")</f>
        <v/>
      </c>
      <c r="G1858" s="82">
        <f>IF('3mA'!B8&lt;&gt;"",'3mA'!G8,"")</f>
        <v/>
      </c>
      <c r="H1858" s="92">
        <f>IF('3mA'!B8&lt;&gt;"",'3mA'!H8,"")</f>
        <v/>
      </c>
      <c r="I1858" s="92">
        <f>IF('3mA'!B8&lt;&gt;"",'3mA'!I8,"")</f>
        <v/>
      </c>
      <c r="J1858" s="82">
        <f>IF('3mA'!B8&lt;&gt;"",'3mA'!J8,"")</f>
        <v/>
      </c>
    </row>
    <row r="1859" ht="15.75" customHeight="1" s="52">
      <c r="A1859" s="97">
        <f>IF('3mA'!B9&lt;&gt;"","3mA","")</f>
        <v/>
      </c>
      <c r="B1859" s="78">
        <f>IF('3mA'!B9&lt;&gt;"",'3mA'!B9,"")</f>
        <v/>
      </c>
      <c r="C1859" s="78">
        <f>IF('3mA'!B9&lt;&gt;"",'3mA'!C9,"")</f>
        <v/>
      </c>
      <c r="D1859" s="78">
        <f>IF('3mA'!B9&lt;&gt;"",'3mA'!D9,"")</f>
        <v/>
      </c>
      <c r="E1859" s="78">
        <f>IF('3mA'!B9&lt;&gt;"",'3mA'!E9,"")</f>
        <v/>
      </c>
      <c r="F1859" s="78">
        <f>IF('3mA'!B9&lt;&gt;"",'3mA'!F9,"")</f>
        <v/>
      </c>
      <c r="G1859" s="78">
        <f>IF('3mA'!B9&lt;&gt;"",'3mA'!G9,"")</f>
        <v/>
      </c>
      <c r="H1859" s="97">
        <f>IF('3mA'!B9&lt;&gt;"",'3mA'!H9,"")</f>
        <v/>
      </c>
      <c r="I1859" s="97">
        <f>IF('3mA'!B9&lt;&gt;"",'3mA'!I9,"")</f>
        <v/>
      </c>
      <c r="J1859" s="78">
        <f>IF('3mA'!B9&lt;&gt;"",'3mA'!J9,"")</f>
        <v/>
      </c>
    </row>
    <row r="1860" ht="15.75" customHeight="1" s="52">
      <c r="A1860" s="92">
        <f>IF('3mA'!B10&lt;&gt;"","3mA","")</f>
        <v/>
      </c>
      <c r="B1860" s="82">
        <f>IF('3mA'!B10&lt;&gt;"",'3mA'!B10,"")</f>
        <v/>
      </c>
      <c r="C1860" s="82">
        <f>IF('3mA'!B10&lt;&gt;"",'3mA'!C10,"")</f>
        <v/>
      </c>
      <c r="D1860" s="82">
        <f>IF('3mA'!B10&lt;&gt;"",'3mA'!D10,"")</f>
        <v/>
      </c>
      <c r="E1860" s="82">
        <f>IF('3mA'!B10&lt;&gt;"",'3mA'!E10,"")</f>
        <v/>
      </c>
      <c r="F1860" s="82">
        <f>IF('3mA'!B10&lt;&gt;"",'3mA'!F10,"")</f>
        <v/>
      </c>
      <c r="G1860" s="82">
        <f>IF('3mA'!B10&lt;&gt;"",'3mA'!G10,"")</f>
        <v/>
      </c>
      <c r="H1860" s="92">
        <f>IF('3mA'!B10&lt;&gt;"",'3mA'!H10,"")</f>
        <v/>
      </c>
      <c r="I1860" s="92">
        <f>IF('3mA'!B10&lt;&gt;"",'3mA'!I10,"")</f>
        <v/>
      </c>
      <c r="J1860" s="82">
        <f>IF('3mA'!B10&lt;&gt;"",'3mA'!J10,"")</f>
        <v/>
      </c>
    </row>
    <row r="1861" ht="15.75" customHeight="1" s="52">
      <c r="A1861" s="97">
        <f>IF('3mA'!B11&lt;&gt;"","3mA","")</f>
        <v/>
      </c>
      <c r="B1861" s="78">
        <f>IF('3mA'!B11&lt;&gt;"",'3mA'!B11,"")</f>
        <v/>
      </c>
      <c r="C1861" s="78">
        <f>IF('3mA'!B11&lt;&gt;"",'3mA'!C11,"")</f>
        <v/>
      </c>
      <c r="D1861" s="78">
        <f>IF('3mA'!B11&lt;&gt;"",'3mA'!D11,"")</f>
        <v/>
      </c>
      <c r="E1861" s="78">
        <f>IF('3mA'!B11&lt;&gt;"",'3mA'!E11,"")</f>
        <v/>
      </c>
      <c r="F1861" s="78">
        <f>IF('3mA'!B11&lt;&gt;"",'3mA'!F11,"")</f>
        <v/>
      </c>
      <c r="G1861" s="78">
        <f>IF('3mA'!B11&lt;&gt;"",'3mA'!G11,"")</f>
        <v/>
      </c>
      <c r="H1861" s="97">
        <f>IF('3mA'!B11&lt;&gt;"",'3mA'!H11,"")</f>
        <v/>
      </c>
      <c r="I1861" s="97">
        <f>IF('3mA'!B11&lt;&gt;"",'3mA'!I11,"")</f>
        <v/>
      </c>
      <c r="J1861" s="78">
        <f>IF('3mA'!B11&lt;&gt;"",'3mA'!J11,"")</f>
        <v/>
      </c>
    </row>
    <row r="1862" ht="15.75" customHeight="1" s="52">
      <c r="A1862" s="92">
        <f>IF('3mA'!B12&lt;&gt;"","3mA","")</f>
        <v/>
      </c>
      <c r="B1862" s="82">
        <f>IF('3mA'!B12&lt;&gt;"",'3mA'!B12,"")</f>
        <v/>
      </c>
      <c r="C1862" s="82">
        <f>IF('3mA'!B12&lt;&gt;"",'3mA'!C12,"")</f>
        <v/>
      </c>
      <c r="D1862" s="82">
        <f>IF('3mA'!B12&lt;&gt;"",'3mA'!D12,"")</f>
        <v/>
      </c>
      <c r="E1862" s="82">
        <f>IF('3mA'!B12&lt;&gt;"",'3mA'!E12,"")</f>
        <v/>
      </c>
      <c r="F1862" s="82">
        <f>IF('3mA'!B12&lt;&gt;"",'3mA'!F12,"")</f>
        <v/>
      </c>
      <c r="G1862" s="82">
        <f>IF('3mA'!B12&lt;&gt;"",'3mA'!G12,"")</f>
        <v/>
      </c>
      <c r="H1862" s="92">
        <f>IF('3mA'!B12&lt;&gt;"",'3mA'!H12,"")</f>
        <v/>
      </c>
      <c r="I1862" s="92">
        <f>IF('3mA'!B12&lt;&gt;"",'3mA'!I12,"")</f>
        <v/>
      </c>
      <c r="J1862" s="82">
        <f>IF('3mA'!B12&lt;&gt;"",'3mA'!J12,"")</f>
        <v/>
      </c>
    </row>
    <row r="1863" ht="15.75" customHeight="1" s="52">
      <c r="A1863" s="97">
        <f>IF('3mA'!B13&lt;&gt;"","3mA","")</f>
        <v/>
      </c>
      <c r="B1863" s="78">
        <f>IF('3mA'!B13&lt;&gt;"",'3mA'!B13,"")</f>
        <v/>
      </c>
      <c r="C1863" s="78">
        <f>IF('3mA'!B13&lt;&gt;"",'3mA'!C13,"")</f>
        <v/>
      </c>
      <c r="D1863" s="78">
        <f>IF('3mA'!B13&lt;&gt;"",'3mA'!D13,"")</f>
        <v/>
      </c>
      <c r="E1863" s="78">
        <f>IF('3mA'!B13&lt;&gt;"",'3mA'!E13,"")</f>
        <v/>
      </c>
      <c r="F1863" s="78">
        <f>IF('3mA'!B13&lt;&gt;"",'3mA'!F13,"")</f>
        <v/>
      </c>
      <c r="G1863" s="78">
        <f>IF('3mA'!B13&lt;&gt;"",'3mA'!G13,"")</f>
        <v/>
      </c>
      <c r="H1863" s="97">
        <f>IF('3mA'!B13&lt;&gt;"",'3mA'!H13,"")</f>
        <v/>
      </c>
      <c r="I1863" s="97">
        <f>IF('3mA'!B13&lt;&gt;"",'3mA'!I13,"")</f>
        <v/>
      </c>
      <c r="J1863" s="78">
        <f>IF('3mA'!B13&lt;&gt;"",'3mA'!J13,"")</f>
        <v/>
      </c>
    </row>
    <row r="1864" ht="15.75" customHeight="1" s="52">
      <c r="A1864" s="92">
        <f>IF('3mA'!B14&lt;&gt;"","3mA","")</f>
        <v/>
      </c>
      <c r="B1864" s="82">
        <f>IF('3mA'!B14&lt;&gt;"",'3mA'!B14,"")</f>
        <v/>
      </c>
      <c r="C1864" s="82">
        <f>IF('3mA'!B14&lt;&gt;"",'3mA'!C14,"")</f>
        <v/>
      </c>
      <c r="D1864" s="82">
        <f>IF('3mA'!B14&lt;&gt;"",'3mA'!D14,"")</f>
        <v/>
      </c>
      <c r="E1864" s="82">
        <f>IF('3mA'!B14&lt;&gt;"",'3mA'!E14,"")</f>
        <v/>
      </c>
      <c r="F1864" s="82">
        <f>IF('3mA'!B14&lt;&gt;"",'3mA'!F14,"")</f>
        <v/>
      </c>
      <c r="G1864" s="82">
        <f>IF('3mA'!B14&lt;&gt;"",'3mA'!G14,"")</f>
        <v/>
      </c>
      <c r="H1864" s="92">
        <f>IF('3mA'!B14&lt;&gt;"",'3mA'!H14,"")</f>
        <v/>
      </c>
      <c r="I1864" s="92">
        <f>IF('3mA'!B14&lt;&gt;"",'3mA'!I14,"")</f>
        <v/>
      </c>
      <c r="J1864" s="82">
        <f>IF('3mA'!B14&lt;&gt;"",'3mA'!J14,"")</f>
        <v/>
      </c>
    </row>
    <row r="1865" ht="15.75" customHeight="1" s="52">
      <c r="A1865" s="97">
        <f>IF('3mA'!B15&lt;&gt;"","3mA","")</f>
        <v/>
      </c>
      <c r="B1865" s="78">
        <f>IF('3mA'!B15&lt;&gt;"",'3mA'!B15,"")</f>
        <v/>
      </c>
      <c r="C1865" s="78">
        <f>IF('3mA'!B15&lt;&gt;"",'3mA'!C15,"")</f>
        <v/>
      </c>
      <c r="D1865" s="78">
        <f>IF('3mA'!B15&lt;&gt;"",'3mA'!D15,"")</f>
        <v/>
      </c>
      <c r="E1865" s="78">
        <f>IF('3mA'!B15&lt;&gt;"",'3mA'!E15,"")</f>
        <v/>
      </c>
      <c r="F1865" s="78">
        <f>IF('3mA'!B15&lt;&gt;"",'3mA'!F15,"")</f>
        <v/>
      </c>
      <c r="G1865" s="78">
        <f>IF('3mA'!B15&lt;&gt;"",'3mA'!G15,"")</f>
        <v/>
      </c>
      <c r="H1865" s="97">
        <f>IF('3mA'!B15&lt;&gt;"",'3mA'!H15,"")</f>
        <v/>
      </c>
      <c r="I1865" s="97">
        <f>IF('3mA'!B15&lt;&gt;"",'3mA'!I15,"")</f>
        <v/>
      </c>
      <c r="J1865" s="78">
        <f>IF('3mA'!B15&lt;&gt;"",'3mA'!J15,"")</f>
        <v/>
      </c>
    </row>
    <row r="1866" ht="15.75" customHeight="1" s="52">
      <c r="A1866" s="92">
        <f>IF('3mA'!B16&lt;&gt;"","3mA","")</f>
        <v/>
      </c>
      <c r="B1866" s="82">
        <f>IF('3mA'!B16&lt;&gt;"",'3mA'!B16,"")</f>
        <v/>
      </c>
      <c r="C1866" s="82">
        <f>IF('3mA'!B16&lt;&gt;"",'3mA'!C16,"")</f>
        <v/>
      </c>
      <c r="D1866" s="82">
        <f>IF('3mA'!B16&lt;&gt;"",'3mA'!D16,"")</f>
        <v/>
      </c>
      <c r="E1866" s="82">
        <f>IF('3mA'!B16&lt;&gt;"",'3mA'!E16,"")</f>
        <v/>
      </c>
      <c r="F1866" s="82">
        <f>IF('3mA'!B16&lt;&gt;"",'3mA'!F16,"")</f>
        <v/>
      </c>
      <c r="G1866" s="82">
        <f>IF('3mA'!B16&lt;&gt;"",'3mA'!G16,"")</f>
        <v/>
      </c>
      <c r="H1866" s="92">
        <f>IF('3mA'!B16&lt;&gt;"",'3mA'!H16,"")</f>
        <v/>
      </c>
      <c r="I1866" s="92">
        <f>IF('3mA'!B16&lt;&gt;"",'3mA'!I16,"")</f>
        <v/>
      </c>
      <c r="J1866" s="82">
        <f>IF('3mA'!B16&lt;&gt;"",'3mA'!J16,"")</f>
        <v/>
      </c>
    </row>
    <row r="1867" ht="15.75" customHeight="1" s="52">
      <c r="A1867" s="97">
        <f>IF('3mA'!B17&lt;&gt;"","3mA","")</f>
        <v/>
      </c>
      <c r="B1867" s="78">
        <f>IF('3mA'!B17&lt;&gt;"",'3mA'!B17,"")</f>
        <v/>
      </c>
      <c r="C1867" s="78">
        <f>IF('3mA'!B17&lt;&gt;"",'3mA'!C17,"")</f>
        <v/>
      </c>
      <c r="D1867" s="78">
        <f>IF('3mA'!B17&lt;&gt;"",'3mA'!D17,"")</f>
        <v/>
      </c>
      <c r="E1867" s="78">
        <f>IF('3mA'!B17&lt;&gt;"",'3mA'!E17,"")</f>
        <v/>
      </c>
      <c r="F1867" s="78">
        <f>IF('3mA'!B17&lt;&gt;"",'3mA'!F17,"")</f>
        <v/>
      </c>
      <c r="G1867" s="78">
        <f>IF('3mA'!B17&lt;&gt;"",'3mA'!G17,"")</f>
        <v/>
      </c>
      <c r="H1867" s="97">
        <f>IF('3mA'!B17&lt;&gt;"",'3mA'!H17,"")</f>
        <v/>
      </c>
      <c r="I1867" s="97">
        <f>IF('3mA'!B17&lt;&gt;"",'3mA'!I17,"")</f>
        <v/>
      </c>
      <c r="J1867" s="78">
        <f>IF('3mA'!B17&lt;&gt;"",'3mA'!J17,"")</f>
        <v/>
      </c>
    </row>
    <row r="1868" ht="15.75" customHeight="1" s="52">
      <c r="A1868" s="92">
        <f>IF('3mA'!B18&lt;&gt;"","3mA","")</f>
        <v/>
      </c>
      <c r="B1868" s="82">
        <f>IF('3mA'!B18&lt;&gt;"",'3mA'!B18,"")</f>
        <v/>
      </c>
      <c r="C1868" s="82">
        <f>IF('3mA'!B18&lt;&gt;"",'3mA'!C18,"")</f>
        <v/>
      </c>
      <c r="D1868" s="82">
        <f>IF('3mA'!B18&lt;&gt;"",'3mA'!D18,"")</f>
        <v/>
      </c>
      <c r="E1868" s="82">
        <f>IF('3mA'!B18&lt;&gt;"",'3mA'!E18,"")</f>
        <v/>
      </c>
      <c r="F1868" s="82">
        <f>IF('3mA'!B18&lt;&gt;"",'3mA'!F18,"")</f>
        <v/>
      </c>
      <c r="G1868" s="82">
        <f>IF('3mA'!B18&lt;&gt;"",'3mA'!G18,"")</f>
        <v/>
      </c>
      <c r="H1868" s="92">
        <f>IF('3mA'!B18&lt;&gt;"",'3mA'!H18,"")</f>
        <v/>
      </c>
      <c r="I1868" s="92">
        <f>IF('3mA'!B18&lt;&gt;"",'3mA'!I18,"")</f>
        <v/>
      </c>
      <c r="J1868" s="82">
        <f>IF('3mA'!B18&lt;&gt;"",'3mA'!J18,"")</f>
        <v/>
      </c>
    </row>
    <row r="1869" ht="15.75" customHeight="1" s="52">
      <c r="A1869" s="97">
        <f>IF('3mA'!B19&lt;&gt;"","3mA","")</f>
        <v/>
      </c>
      <c r="B1869" s="78">
        <f>IF('3mA'!B19&lt;&gt;"",'3mA'!B19,"")</f>
        <v/>
      </c>
      <c r="C1869" s="78">
        <f>IF('3mA'!B19&lt;&gt;"",'3mA'!C19,"")</f>
        <v/>
      </c>
      <c r="D1869" s="78">
        <f>IF('3mA'!B19&lt;&gt;"",'3mA'!D19,"")</f>
        <v/>
      </c>
      <c r="E1869" s="78">
        <f>IF('3mA'!B19&lt;&gt;"",'3mA'!E19,"")</f>
        <v/>
      </c>
      <c r="F1869" s="78">
        <f>IF('3mA'!B19&lt;&gt;"",'3mA'!F19,"")</f>
        <v/>
      </c>
      <c r="G1869" s="78">
        <f>IF('3mA'!B19&lt;&gt;"",'3mA'!G19,"")</f>
        <v/>
      </c>
      <c r="H1869" s="97">
        <f>IF('3mA'!B19&lt;&gt;"",'3mA'!H19,"")</f>
        <v/>
      </c>
      <c r="I1869" s="97">
        <f>IF('3mA'!B19&lt;&gt;"",'3mA'!I19,"")</f>
        <v/>
      </c>
      <c r="J1869" s="78">
        <f>IF('3mA'!B19&lt;&gt;"",'3mA'!J19,"")</f>
        <v/>
      </c>
    </row>
    <row r="1870" ht="15.75" customHeight="1" s="52">
      <c r="A1870" s="92">
        <f>IF('3mA'!B20&lt;&gt;"","3mA","")</f>
        <v/>
      </c>
      <c r="B1870" s="82">
        <f>IF('3mA'!B20&lt;&gt;"",'3mA'!B20,"")</f>
        <v/>
      </c>
      <c r="C1870" s="82">
        <f>IF('3mA'!B20&lt;&gt;"",'3mA'!C20,"")</f>
        <v/>
      </c>
      <c r="D1870" s="82">
        <f>IF('3mA'!B20&lt;&gt;"",'3mA'!D20,"")</f>
        <v/>
      </c>
      <c r="E1870" s="82">
        <f>IF('3mA'!B20&lt;&gt;"",'3mA'!E20,"")</f>
        <v/>
      </c>
      <c r="F1870" s="82">
        <f>IF('3mA'!B20&lt;&gt;"",'3mA'!F20,"")</f>
        <v/>
      </c>
      <c r="G1870" s="82">
        <f>IF('3mA'!B20&lt;&gt;"",'3mA'!G20,"")</f>
        <v/>
      </c>
      <c r="H1870" s="92">
        <f>IF('3mA'!B20&lt;&gt;"",'3mA'!H20,"")</f>
        <v/>
      </c>
      <c r="I1870" s="92">
        <f>IF('3mA'!B20&lt;&gt;"",'3mA'!I20,"")</f>
        <v/>
      </c>
      <c r="J1870" s="82">
        <f>IF('3mA'!B20&lt;&gt;"",'3mA'!J20,"")</f>
        <v/>
      </c>
    </row>
    <row r="1871" ht="15.75" customHeight="1" s="52">
      <c r="A1871" s="97">
        <f>IF('3mA'!B21&lt;&gt;"","3mA","")</f>
        <v/>
      </c>
      <c r="B1871" s="78">
        <f>IF('3mA'!B21&lt;&gt;"",'3mA'!B21,"")</f>
        <v/>
      </c>
      <c r="C1871" s="78">
        <f>IF('3mA'!B21&lt;&gt;"",'3mA'!C21,"")</f>
        <v/>
      </c>
      <c r="D1871" s="78">
        <f>IF('3mA'!B21&lt;&gt;"",'3mA'!D21,"")</f>
        <v/>
      </c>
      <c r="E1871" s="78">
        <f>IF('3mA'!B21&lt;&gt;"",'3mA'!E21,"")</f>
        <v/>
      </c>
      <c r="F1871" s="78">
        <f>IF('3mA'!B21&lt;&gt;"",'3mA'!F21,"")</f>
        <v/>
      </c>
      <c r="G1871" s="78">
        <f>IF('3mA'!B21&lt;&gt;"",'3mA'!G21,"")</f>
        <v/>
      </c>
      <c r="H1871" s="97">
        <f>IF('3mA'!B21&lt;&gt;"",'3mA'!H21,"")</f>
        <v/>
      </c>
      <c r="I1871" s="97">
        <f>IF('3mA'!B21&lt;&gt;"",'3mA'!I21,"")</f>
        <v/>
      </c>
      <c r="J1871" s="78">
        <f>IF('3mA'!B21&lt;&gt;"",'3mA'!J21,"")</f>
        <v/>
      </c>
    </row>
    <row r="1872" ht="15.75" customHeight="1" s="52">
      <c r="A1872" s="92">
        <f>IF('3mA'!B22&lt;&gt;"","3mA","")</f>
        <v/>
      </c>
      <c r="B1872" s="82">
        <f>IF('3mA'!B22&lt;&gt;"",'3mA'!B22,"")</f>
        <v/>
      </c>
      <c r="C1872" s="82">
        <f>IF('3mA'!B22&lt;&gt;"",'3mA'!C22,"")</f>
        <v/>
      </c>
      <c r="D1872" s="82">
        <f>IF('3mA'!B22&lt;&gt;"",'3mA'!D22,"")</f>
        <v/>
      </c>
      <c r="E1872" s="82">
        <f>IF('3mA'!B22&lt;&gt;"",'3mA'!E22,"")</f>
        <v/>
      </c>
      <c r="F1872" s="82">
        <f>IF('3mA'!B22&lt;&gt;"",'3mA'!F22,"")</f>
        <v/>
      </c>
      <c r="G1872" s="82">
        <f>IF('3mA'!B22&lt;&gt;"",'3mA'!G22,"")</f>
        <v/>
      </c>
      <c r="H1872" s="92">
        <f>IF('3mA'!B22&lt;&gt;"",'3mA'!H22,"")</f>
        <v/>
      </c>
      <c r="I1872" s="92">
        <f>IF('3mA'!B22&lt;&gt;"",'3mA'!I22,"")</f>
        <v/>
      </c>
      <c r="J1872" s="82">
        <f>IF('3mA'!B22&lt;&gt;"",'3mA'!J22,"")</f>
        <v/>
      </c>
    </row>
    <row r="1873" ht="15.75" customHeight="1" s="52">
      <c r="A1873" s="97">
        <f>IF('3mA'!B23&lt;&gt;"","3mA","")</f>
        <v/>
      </c>
      <c r="B1873" s="78">
        <f>IF('3mA'!B23&lt;&gt;"",'3mA'!B23,"")</f>
        <v/>
      </c>
      <c r="C1873" s="78">
        <f>IF('3mA'!B23&lt;&gt;"",'3mA'!C23,"")</f>
        <v/>
      </c>
      <c r="D1873" s="78">
        <f>IF('3mA'!B23&lt;&gt;"",'3mA'!D23,"")</f>
        <v/>
      </c>
      <c r="E1873" s="78">
        <f>IF('3mA'!B23&lt;&gt;"",'3mA'!E23,"")</f>
        <v/>
      </c>
      <c r="F1873" s="78">
        <f>IF('3mA'!B23&lt;&gt;"",'3mA'!F23,"")</f>
        <v/>
      </c>
      <c r="G1873" s="78">
        <f>IF('3mA'!B23&lt;&gt;"",'3mA'!G23,"")</f>
        <v/>
      </c>
      <c r="H1873" s="97">
        <f>IF('3mA'!B23&lt;&gt;"",'3mA'!H23,"")</f>
        <v/>
      </c>
      <c r="I1873" s="97">
        <f>IF('3mA'!B23&lt;&gt;"",'3mA'!I23,"")</f>
        <v/>
      </c>
      <c r="J1873" s="78">
        <f>IF('3mA'!B23&lt;&gt;"",'3mA'!J23,"")</f>
        <v/>
      </c>
    </row>
    <row r="1874" ht="15.75" customHeight="1" s="52">
      <c r="A1874" s="92">
        <f>IF('3mA'!B24&lt;&gt;"","3mA","")</f>
        <v/>
      </c>
      <c r="B1874" s="82">
        <f>IF('3mA'!B24&lt;&gt;"",'3mA'!B24,"")</f>
        <v/>
      </c>
      <c r="C1874" s="82">
        <f>IF('3mA'!B24&lt;&gt;"",'3mA'!C24,"")</f>
        <v/>
      </c>
      <c r="D1874" s="82">
        <f>IF('3mA'!B24&lt;&gt;"",'3mA'!D24,"")</f>
        <v/>
      </c>
      <c r="E1874" s="82">
        <f>IF('3mA'!B24&lt;&gt;"",'3mA'!E24,"")</f>
        <v/>
      </c>
      <c r="F1874" s="82">
        <f>IF('3mA'!B24&lt;&gt;"",'3mA'!F24,"")</f>
        <v/>
      </c>
      <c r="G1874" s="82">
        <f>IF('3mA'!B24&lt;&gt;"",'3mA'!G24,"")</f>
        <v/>
      </c>
      <c r="H1874" s="92">
        <f>IF('3mA'!B24&lt;&gt;"",'3mA'!H24,"")</f>
        <v/>
      </c>
      <c r="I1874" s="92">
        <f>IF('3mA'!B24&lt;&gt;"",'3mA'!I24,"")</f>
        <v/>
      </c>
      <c r="J1874" s="82">
        <f>IF('3mA'!B24&lt;&gt;"",'3mA'!J24,"")</f>
        <v/>
      </c>
    </row>
    <row r="1875" ht="15.75" customHeight="1" s="52">
      <c r="A1875" s="97">
        <f>IF('3mA'!B25&lt;&gt;"","3mA","")</f>
        <v/>
      </c>
      <c r="B1875" s="78">
        <f>IF('3mA'!B25&lt;&gt;"",'3mA'!B25,"")</f>
        <v/>
      </c>
      <c r="C1875" s="78">
        <f>IF('3mA'!B25&lt;&gt;"",'3mA'!C25,"")</f>
        <v/>
      </c>
      <c r="D1875" s="78">
        <f>IF('3mA'!B25&lt;&gt;"",'3mA'!D25,"")</f>
        <v/>
      </c>
      <c r="E1875" s="78">
        <f>IF('3mA'!B25&lt;&gt;"",'3mA'!E25,"")</f>
        <v/>
      </c>
      <c r="F1875" s="78">
        <f>IF('3mA'!B25&lt;&gt;"",'3mA'!F25,"")</f>
        <v/>
      </c>
      <c r="G1875" s="78">
        <f>IF('3mA'!B25&lt;&gt;"",'3mA'!G25,"")</f>
        <v/>
      </c>
      <c r="H1875" s="97">
        <f>IF('3mA'!B25&lt;&gt;"",'3mA'!H25,"")</f>
        <v/>
      </c>
      <c r="I1875" s="97">
        <f>IF('3mA'!B25&lt;&gt;"",'3mA'!I25,"")</f>
        <v/>
      </c>
      <c r="J1875" s="78">
        <f>IF('3mA'!B25&lt;&gt;"",'3mA'!J25,"")</f>
        <v/>
      </c>
    </row>
    <row r="1876" ht="15.75" customHeight="1" s="52">
      <c r="A1876" s="92">
        <f>IF('3mA'!B26&lt;&gt;"","3mA","")</f>
        <v/>
      </c>
      <c r="B1876" s="82">
        <f>IF('3mA'!B26&lt;&gt;"",'3mA'!B26,"")</f>
        <v/>
      </c>
      <c r="C1876" s="82">
        <f>IF('3mA'!B26&lt;&gt;"",'3mA'!C26,"")</f>
        <v/>
      </c>
      <c r="D1876" s="82">
        <f>IF('3mA'!B26&lt;&gt;"",'3mA'!D26,"")</f>
        <v/>
      </c>
      <c r="E1876" s="82">
        <f>IF('3mA'!B26&lt;&gt;"",'3mA'!E26,"")</f>
        <v/>
      </c>
      <c r="F1876" s="82">
        <f>IF('3mA'!B26&lt;&gt;"",'3mA'!F26,"")</f>
        <v/>
      </c>
      <c r="G1876" s="82">
        <f>IF('3mA'!B26&lt;&gt;"",'3mA'!G26,"")</f>
        <v/>
      </c>
      <c r="H1876" s="92">
        <f>IF('3mA'!B26&lt;&gt;"",'3mA'!H26,"")</f>
        <v/>
      </c>
      <c r="I1876" s="92">
        <f>IF('3mA'!B26&lt;&gt;"",'3mA'!I26,"")</f>
        <v/>
      </c>
      <c r="J1876" s="82">
        <f>IF('3mA'!B26&lt;&gt;"",'3mA'!J26,"")</f>
        <v/>
      </c>
    </row>
    <row r="1877" ht="15.75" customHeight="1" s="52">
      <c r="A1877" s="97">
        <f>IF('3mA'!B27&lt;&gt;"","3mA","")</f>
        <v/>
      </c>
      <c r="B1877" s="78">
        <f>IF('3mA'!B27&lt;&gt;"",'3mA'!B27,"")</f>
        <v/>
      </c>
      <c r="C1877" s="78">
        <f>IF('3mA'!B27&lt;&gt;"",'3mA'!C27,"")</f>
        <v/>
      </c>
      <c r="D1877" s="78">
        <f>IF('3mA'!B27&lt;&gt;"",'3mA'!D27,"")</f>
        <v/>
      </c>
      <c r="E1877" s="78">
        <f>IF('3mA'!B27&lt;&gt;"",'3mA'!E27,"")</f>
        <v/>
      </c>
      <c r="F1877" s="78">
        <f>IF('3mA'!B27&lt;&gt;"",'3mA'!F27,"")</f>
        <v/>
      </c>
      <c r="G1877" s="78">
        <f>IF('3mA'!B27&lt;&gt;"",'3mA'!G27,"")</f>
        <v/>
      </c>
      <c r="H1877" s="97">
        <f>IF('3mA'!B27&lt;&gt;"",'3mA'!H27,"")</f>
        <v/>
      </c>
      <c r="I1877" s="97">
        <f>IF('3mA'!B27&lt;&gt;"",'3mA'!I27,"")</f>
        <v/>
      </c>
      <c r="J1877" s="78">
        <f>IF('3mA'!B27&lt;&gt;"",'3mA'!J27,"")</f>
        <v/>
      </c>
    </row>
    <row r="1878" ht="15.75" customHeight="1" s="52">
      <c r="A1878" s="92">
        <f>IF('3mA'!B28&lt;&gt;"","3mA","")</f>
        <v/>
      </c>
      <c r="B1878" s="82">
        <f>IF('3mA'!B28&lt;&gt;"",'3mA'!B28,"")</f>
        <v/>
      </c>
      <c r="C1878" s="82">
        <f>IF('3mA'!B28&lt;&gt;"",'3mA'!C28,"")</f>
        <v/>
      </c>
      <c r="D1878" s="82">
        <f>IF('3mA'!B28&lt;&gt;"",'3mA'!D28,"")</f>
        <v/>
      </c>
      <c r="E1878" s="82">
        <f>IF('3mA'!B28&lt;&gt;"",'3mA'!E28,"")</f>
        <v/>
      </c>
      <c r="F1878" s="82">
        <f>IF('3mA'!B28&lt;&gt;"",'3mA'!F28,"")</f>
        <v/>
      </c>
      <c r="G1878" s="82">
        <f>IF('3mA'!B28&lt;&gt;"",'3mA'!G28,"")</f>
        <v/>
      </c>
      <c r="H1878" s="92">
        <f>IF('3mA'!B28&lt;&gt;"",'3mA'!H28,"")</f>
        <v/>
      </c>
      <c r="I1878" s="92">
        <f>IF('3mA'!B28&lt;&gt;"",'3mA'!I28,"")</f>
        <v/>
      </c>
      <c r="J1878" s="82">
        <f>IF('3mA'!B28&lt;&gt;"",'3mA'!J28,"")</f>
        <v/>
      </c>
    </row>
    <row r="1879" ht="15.75" customHeight="1" s="52">
      <c r="A1879" s="97">
        <f>IF('3mA'!B29&lt;&gt;"","3mA","")</f>
        <v/>
      </c>
      <c r="B1879" s="78">
        <f>IF('3mA'!B29&lt;&gt;"",'3mA'!B29,"")</f>
        <v/>
      </c>
      <c r="C1879" s="78">
        <f>IF('3mA'!B29&lt;&gt;"",'3mA'!C29,"")</f>
        <v/>
      </c>
      <c r="D1879" s="78">
        <f>IF('3mA'!B29&lt;&gt;"",'3mA'!D29,"")</f>
        <v/>
      </c>
      <c r="E1879" s="78">
        <f>IF('3mA'!B29&lt;&gt;"",'3mA'!E29,"")</f>
        <v/>
      </c>
      <c r="F1879" s="78">
        <f>IF('3mA'!B29&lt;&gt;"",'3mA'!F29,"")</f>
        <v/>
      </c>
      <c r="G1879" s="78">
        <f>IF('3mA'!B29&lt;&gt;"",'3mA'!G29,"")</f>
        <v/>
      </c>
      <c r="H1879" s="97">
        <f>IF('3mA'!B29&lt;&gt;"",'3mA'!H29,"")</f>
        <v/>
      </c>
      <c r="I1879" s="97">
        <f>IF('3mA'!B29&lt;&gt;"",'3mA'!I29,"")</f>
        <v/>
      </c>
      <c r="J1879" s="78">
        <f>IF('3mA'!B29&lt;&gt;"",'3mA'!J29,"")</f>
        <v/>
      </c>
    </row>
    <row r="1880" ht="15.75" customHeight="1" s="52">
      <c r="A1880" s="92">
        <f>IF('3mA'!B30&lt;&gt;"","3mA","")</f>
        <v/>
      </c>
      <c r="B1880" s="82">
        <f>IF('3mA'!B30&lt;&gt;"",'3mA'!B30,"")</f>
        <v/>
      </c>
      <c r="C1880" s="82">
        <f>IF('3mA'!B30&lt;&gt;"",'3mA'!C30,"")</f>
        <v/>
      </c>
      <c r="D1880" s="82">
        <f>IF('3mA'!B30&lt;&gt;"",'3mA'!D30,"")</f>
        <v/>
      </c>
      <c r="E1880" s="82">
        <f>IF('3mA'!B30&lt;&gt;"",'3mA'!E30,"")</f>
        <v/>
      </c>
      <c r="F1880" s="82">
        <f>IF('3mA'!B30&lt;&gt;"",'3mA'!F30,"")</f>
        <v/>
      </c>
      <c r="G1880" s="82">
        <f>IF('3mA'!B30&lt;&gt;"",'3mA'!G30,"")</f>
        <v/>
      </c>
      <c r="H1880" s="92">
        <f>IF('3mA'!B30&lt;&gt;"",'3mA'!H30,"")</f>
        <v/>
      </c>
      <c r="I1880" s="92">
        <f>IF('3mA'!B30&lt;&gt;"",'3mA'!I30,"")</f>
        <v/>
      </c>
      <c r="J1880" s="82">
        <f>IF('3mA'!B30&lt;&gt;"",'3mA'!J30,"")</f>
        <v/>
      </c>
    </row>
    <row r="1881" ht="15.75" customHeight="1" s="52">
      <c r="A1881" s="97">
        <f>IF('3mA'!B31&lt;&gt;"","3mA","")</f>
        <v/>
      </c>
      <c r="B1881" s="78">
        <f>IF('3mA'!B31&lt;&gt;"",'3mA'!B31,"")</f>
        <v/>
      </c>
      <c r="C1881" s="78">
        <f>IF('3mA'!B31&lt;&gt;"",'3mA'!C31,"")</f>
        <v/>
      </c>
      <c r="D1881" s="78">
        <f>IF('3mA'!B31&lt;&gt;"",'3mA'!D31,"")</f>
        <v/>
      </c>
      <c r="E1881" s="78">
        <f>IF('3mA'!B31&lt;&gt;"",'3mA'!E31,"")</f>
        <v/>
      </c>
      <c r="F1881" s="78">
        <f>IF('3mA'!B31&lt;&gt;"",'3mA'!F31,"")</f>
        <v/>
      </c>
      <c r="G1881" s="78">
        <f>IF('3mA'!B31&lt;&gt;"",'3mA'!G31,"")</f>
        <v/>
      </c>
      <c r="H1881" s="97">
        <f>IF('3mA'!B31&lt;&gt;"",'3mA'!H31,"")</f>
        <v/>
      </c>
      <c r="I1881" s="97">
        <f>IF('3mA'!B31&lt;&gt;"",'3mA'!I31,"")</f>
        <v/>
      </c>
      <c r="J1881" s="78">
        <f>IF('3mA'!B31&lt;&gt;"",'3mA'!J31,"")</f>
        <v/>
      </c>
    </row>
    <row r="1882" ht="15.75" customHeight="1" s="52">
      <c r="A1882" s="92">
        <f>IF('3mA'!B32&lt;&gt;"","3mA","")</f>
        <v/>
      </c>
      <c r="B1882" s="82">
        <f>IF('3mA'!B32&lt;&gt;"",'3mA'!B32,"")</f>
        <v/>
      </c>
      <c r="C1882" s="82">
        <f>IF('3mA'!B32&lt;&gt;"",'3mA'!C32,"")</f>
        <v/>
      </c>
      <c r="D1882" s="82">
        <f>IF('3mA'!B32&lt;&gt;"",'3mA'!D32,"")</f>
        <v/>
      </c>
      <c r="E1882" s="82">
        <f>IF('3mA'!B32&lt;&gt;"",'3mA'!E32,"")</f>
        <v/>
      </c>
      <c r="F1882" s="82">
        <f>IF('3mA'!B32&lt;&gt;"",'3mA'!F32,"")</f>
        <v/>
      </c>
      <c r="G1882" s="82">
        <f>IF('3mA'!B32&lt;&gt;"",'3mA'!G32,"")</f>
        <v/>
      </c>
      <c r="H1882" s="92">
        <f>IF('3mA'!B32&lt;&gt;"",'3mA'!H32,"")</f>
        <v/>
      </c>
      <c r="I1882" s="92">
        <f>IF('3mA'!B32&lt;&gt;"",'3mA'!I32,"")</f>
        <v/>
      </c>
      <c r="J1882" s="82">
        <f>IF('3mA'!B32&lt;&gt;"",'3mA'!J32,"")</f>
        <v/>
      </c>
    </row>
    <row r="1883" ht="15.75" customHeight="1" s="52">
      <c r="A1883" s="97">
        <f>IF('3mA'!B33&lt;&gt;"","3mA","")</f>
        <v/>
      </c>
      <c r="B1883" s="78">
        <f>IF('3mA'!B33&lt;&gt;"",'3mA'!B33,"")</f>
        <v/>
      </c>
      <c r="C1883" s="78">
        <f>IF('3mA'!B33&lt;&gt;"",'3mA'!C33,"")</f>
        <v/>
      </c>
      <c r="D1883" s="78">
        <f>IF('3mA'!B33&lt;&gt;"",'3mA'!D33,"")</f>
        <v/>
      </c>
      <c r="E1883" s="78">
        <f>IF('3mA'!B33&lt;&gt;"",'3mA'!E33,"")</f>
        <v/>
      </c>
      <c r="F1883" s="78">
        <f>IF('3mA'!B33&lt;&gt;"",'3mA'!F33,"")</f>
        <v/>
      </c>
      <c r="G1883" s="78">
        <f>IF('3mA'!B33&lt;&gt;"",'3mA'!G33,"")</f>
        <v/>
      </c>
      <c r="H1883" s="97">
        <f>IF('3mA'!B33&lt;&gt;"",'3mA'!H33,"")</f>
        <v/>
      </c>
      <c r="I1883" s="97">
        <f>IF('3mA'!B33&lt;&gt;"",'3mA'!I33,"")</f>
        <v/>
      </c>
      <c r="J1883" s="78">
        <f>IF('3mA'!B33&lt;&gt;"",'3mA'!J33,"")</f>
        <v/>
      </c>
    </row>
    <row r="1884" ht="15.75" customHeight="1" s="52">
      <c r="A1884" s="92">
        <f>IF('3mA'!B34&lt;&gt;"","3mA","")</f>
        <v/>
      </c>
      <c r="B1884" s="82">
        <f>IF('3mA'!B34&lt;&gt;"",'3mA'!B34,"")</f>
        <v/>
      </c>
      <c r="C1884" s="82">
        <f>IF('3mA'!B34&lt;&gt;"",'3mA'!C34,"")</f>
        <v/>
      </c>
      <c r="D1884" s="82">
        <f>IF('3mA'!B34&lt;&gt;"",'3mA'!D34,"")</f>
        <v/>
      </c>
      <c r="E1884" s="82">
        <f>IF('3mA'!B34&lt;&gt;"",'3mA'!E34,"")</f>
        <v/>
      </c>
      <c r="F1884" s="82">
        <f>IF('3mA'!B34&lt;&gt;"",'3mA'!F34,"")</f>
        <v/>
      </c>
      <c r="G1884" s="82">
        <f>IF('3mA'!B34&lt;&gt;"",'3mA'!G34,"")</f>
        <v/>
      </c>
      <c r="H1884" s="92">
        <f>IF('3mA'!B34&lt;&gt;"",'3mA'!H34,"")</f>
        <v/>
      </c>
      <c r="I1884" s="92">
        <f>IF('3mA'!B34&lt;&gt;"",'3mA'!I34,"")</f>
        <v/>
      </c>
      <c r="J1884" s="82">
        <f>IF('3mA'!B34&lt;&gt;"",'3mA'!J34,"")</f>
        <v/>
      </c>
    </row>
    <row r="1885" ht="15.75" customHeight="1" s="52">
      <c r="A1885" s="97">
        <f>IF('3mA'!B35&lt;&gt;"","3mA","")</f>
        <v/>
      </c>
      <c r="B1885" s="78">
        <f>IF('3mA'!B35&lt;&gt;"",'3mA'!B35,"")</f>
        <v/>
      </c>
      <c r="C1885" s="78">
        <f>IF('3mA'!B35&lt;&gt;"",'3mA'!C35,"")</f>
        <v/>
      </c>
      <c r="D1885" s="78">
        <f>IF('3mA'!B35&lt;&gt;"",'3mA'!D35,"")</f>
        <v/>
      </c>
      <c r="E1885" s="78">
        <f>IF('3mA'!B35&lt;&gt;"",'3mA'!E35,"")</f>
        <v/>
      </c>
      <c r="F1885" s="78">
        <f>IF('3mA'!B35&lt;&gt;"",'3mA'!F35,"")</f>
        <v/>
      </c>
      <c r="G1885" s="78">
        <f>IF('3mA'!B35&lt;&gt;"",'3mA'!G35,"")</f>
        <v/>
      </c>
      <c r="H1885" s="97">
        <f>IF('3mA'!B35&lt;&gt;"",'3mA'!H35,"")</f>
        <v/>
      </c>
      <c r="I1885" s="97">
        <f>IF('3mA'!B35&lt;&gt;"",'3mA'!I35,"")</f>
        <v/>
      </c>
      <c r="J1885" s="78">
        <f>IF('3mA'!B35&lt;&gt;"",'3mA'!J35,"")</f>
        <v/>
      </c>
    </row>
    <row r="1886" ht="15.75" customHeight="1" s="52">
      <c r="A1886" s="92">
        <f>IF('3mA'!B36&lt;&gt;"","3mA","")</f>
        <v/>
      </c>
      <c r="B1886" s="82">
        <f>IF('3mA'!B36&lt;&gt;"",'3mA'!B36,"")</f>
        <v/>
      </c>
      <c r="C1886" s="82">
        <f>IF('3mA'!B36&lt;&gt;"",'3mA'!C36,"")</f>
        <v/>
      </c>
      <c r="D1886" s="82">
        <f>IF('3mA'!B36&lt;&gt;"",'3mA'!D36,"")</f>
        <v/>
      </c>
      <c r="E1886" s="82">
        <f>IF('3mA'!B36&lt;&gt;"",'3mA'!E36,"")</f>
        <v/>
      </c>
      <c r="F1886" s="82">
        <f>IF('3mA'!B36&lt;&gt;"",'3mA'!F36,"")</f>
        <v/>
      </c>
      <c r="G1886" s="82">
        <f>IF('3mA'!B36&lt;&gt;"",'3mA'!G36,"")</f>
        <v/>
      </c>
      <c r="H1886" s="92">
        <f>IF('3mA'!B36&lt;&gt;"",'3mA'!H36,"")</f>
        <v/>
      </c>
      <c r="I1886" s="92">
        <f>IF('3mA'!B36&lt;&gt;"",'3mA'!I36,"")</f>
        <v/>
      </c>
      <c r="J1886" s="82">
        <f>IF('3mA'!B36&lt;&gt;"",'3mA'!J36,"")</f>
        <v/>
      </c>
    </row>
    <row r="1887" ht="15.75" customHeight="1" s="52">
      <c r="A1887" s="97">
        <f>IF('3mA'!B37&lt;&gt;"","3mA","")</f>
        <v/>
      </c>
      <c r="B1887" s="78">
        <f>IF('3mA'!B37&lt;&gt;"",'3mA'!B37,"")</f>
        <v/>
      </c>
      <c r="C1887" s="78">
        <f>IF('3mA'!B37&lt;&gt;"",'3mA'!C37,"")</f>
        <v/>
      </c>
      <c r="D1887" s="78">
        <f>IF('3mA'!B37&lt;&gt;"",'3mA'!D37,"")</f>
        <v/>
      </c>
      <c r="E1887" s="78">
        <f>IF('3mA'!B37&lt;&gt;"",'3mA'!E37,"")</f>
        <v/>
      </c>
      <c r="F1887" s="78">
        <f>IF('3mA'!B37&lt;&gt;"",'3mA'!F37,"")</f>
        <v/>
      </c>
      <c r="G1887" s="78">
        <f>IF('3mA'!B37&lt;&gt;"",'3mA'!G37,"")</f>
        <v/>
      </c>
      <c r="H1887" s="97">
        <f>IF('3mA'!B37&lt;&gt;"",'3mA'!H37,"")</f>
        <v/>
      </c>
      <c r="I1887" s="97">
        <f>IF('3mA'!B37&lt;&gt;"",'3mA'!I37,"")</f>
        <v/>
      </c>
      <c r="J1887" s="78">
        <f>IF('3mA'!B37&lt;&gt;"",'3mA'!J37,"")</f>
        <v/>
      </c>
    </row>
    <row r="1888" ht="15.75" customHeight="1" s="52">
      <c r="A1888" s="92">
        <f>IF('3mA'!B38&lt;&gt;"","3mA","")</f>
        <v/>
      </c>
      <c r="B1888" s="82">
        <f>IF('3mA'!B38&lt;&gt;"",'3mA'!B38,"")</f>
        <v/>
      </c>
      <c r="C1888" s="82">
        <f>IF('3mA'!B38&lt;&gt;"",'3mA'!C38,"")</f>
        <v/>
      </c>
      <c r="D1888" s="82">
        <f>IF('3mA'!B38&lt;&gt;"",'3mA'!D38,"")</f>
        <v/>
      </c>
      <c r="E1888" s="82">
        <f>IF('3mA'!B38&lt;&gt;"",'3mA'!E38,"")</f>
        <v/>
      </c>
      <c r="F1888" s="82">
        <f>IF('3mA'!B38&lt;&gt;"",'3mA'!F38,"")</f>
        <v/>
      </c>
      <c r="G1888" s="82">
        <f>IF('3mA'!B38&lt;&gt;"",'3mA'!G38,"")</f>
        <v/>
      </c>
      <c r="H1888" s="92">
        <f>IF('3mA'!B38&lt;&gt;"",'3mA'!H38,"")</f>
        <v/>
      </c>
      <c r="I1888" s="92">
        <f>IF('3mA'!B38&lt;&gt;"",'3mA'!I38,"")</f>
        <v/>
      </c>
      <c r="J1888" s="82">
        <f>IF('3mA'!B38&lt;&gt;"",'3mA'!J38,"")</f>
        <v/>
      </c>
    </row>
    <row r="1889" ht="15.75" customHeight="1" s="52">
      <c r="A1889" s="97">
        <f>IF('3mA'!B39&lt;&gt;"","3mA","")</f>
        <v/>
      </c>
      <c r="B1889" s="78">
        <f>IF('3mA'!B39&lt;&gt;"",'3mA'!B39,"")</f>
        <v/>
      </c>
      <c r="C1889" s="78">
        <f>IF('3mA'!B39&lt;&gt;"",'3mA'!C39,"")</f>
        <v/>
      </c>
      <c r="D1889" s="78">
        <f>IF('3mA'!B39&lt;&gt;"",'3mA'!D39,"")</f>
        <v/>
      </c>
      <c r="E1889" s="78">
        <f>IF('3mA'!B39&lt;&gt;"",'3mA'!E39,"")</f>
        <v/>
      </c>
      <c r="F1889" s="78">
        <f>IF('3mA'!B39&lt;&gt;"",'3mA'!F39,"")</f>
        <v/>
      </c>
      <c r="G1889" s="78">
        <f>IF('3mA'!B39&lt;&gt;"",'3mA'!G39,"")</f>
        <v/>
      </c>
      <c r="H1889" s="97">
        <f>IF('3mA'!B39&lt;&gt;"",'3mA'!H39,"")</f>
        <v/>
      </c>
      <c r="I1889" s="97">
        <f>IF('3mA'!B39&lt;&gt;"",'3mA'!I39,"")</f>
        <v/>
      </c>
      <c r="J1889" s="78">
        <f>IF('3mA'!B39&lt;&gt;"",'3mA'!J39,"")</f>
        <v/>
      </c>
    </row>
    <row r="1890" ht="15.75" customHeight="1" s="52">
      <c r="A1890" s="92">
        <f>IF('3mA'!B40&lt;&gt;"","3mA","")</f>
        <v/>
      </c>
      <c r="B1890" s="82">
        <f>IF('3mA'!B40&lt;&gt;"",'3mA'!B40,"")</f>
        <v/>
      </c>
      <c r="C1890" s="82">
        <f>IF('3mA'!B40&lt;&gt;"",'3mA'!C40,"")</f>
        <v/>
      </c>
      <c r="D1890" s="82">
        <f>IF('3mA'!B40&lt;&gt;"",'3mA'!D40,"")</f>
        <v/>
      </c>
      <c r="E1890" s="82">
        <f>IF('3mA'!B40&lt;&gt;"",'3mA'!E40,"")</f>
        <v/>
      </c>
      <c r="F1890" s="82">
        <f>IF('3mA'!B40&lt;&gt;"",'3mA'!F40,"")</f>
        <v/>
      </c>
      <c r="G1890" s="82">
        <f>IF('3mA'!B40&lt;&gt;"",'3mA'!G40,"")</f>
        <v/>
      </c>
      <c r="H1890" s="92">
        <f>IF('3mA'!B40&lt;&gt;"",'3mA'!H40,"")</f>
        <v/>
      </c>
      <c r="I1890" s="92">
        <f>IF('3mA'!B40&lt;&gt;"",'3mA'!I40,"")</f>
        <v/>
      </c>
      <c r="J1890" s="82">
        <f>IF('3mA'!B40&lt;&gt;"",'3mA'!J40,"")</f>
        <v/>
      </c>
    </row>
    <row r="1891" ht="15.75" customHeight="1" s="52">
      <c r="A1891" s="97">
        <f>IF('3mA'!B41&lt;&gt;"","3mA","")</f>
        <v/>
      </c>
      <c r="B1891" s="78">
        <f>IF('3mA'!B41&lt;&gt;"",'3mA'!B41,"")</f>
        <v/>
      </c>
      <c r="C1891" s="78">
        <f>IF('3mA'!B41&lt;&gt;"",'3mA'!C41,"")</f>
        <v/>
      </c>
      <c r="D1891" s="78">
        <f>IF('3mA'!B41&lt;&gt;"",'3mA'!D41,"")</f>
        <v/>
      </c>
      <c r="E1891" s="78">
        <f>IF('3mA'!B41&lt;&gt;"",'3mA'!E41,"")</f>
        <v/>
      </c>
      <c r="F1891" s="78">
        <f>IF('3mA'!B41&lt;&gt;"",'3mA'!F41,"")</f>
        <v/>
      </c>
      <c r="G1891" s="78">
        <f>IF('3mA'!B41&lt;&gt;"",'3mA'!G41,"")</f>
        <v/>
      </c>
      <c r="H1891" s="97">
        <f>IF('3mA'!B41&lt;&gt;"",'3mA'!H41,"")</f>
        <v/>
      </c>
      <c r="I1891" s="97">
        <f>IF('3mA'!B41&lt;&gt;"",'3mA'!I41,"")</f>
        <v/>
      </c>
      <c r="J1891" s="78">
        <f>IF('3mA'!B41&lt;&gt;"",'3mA'!J41,"")</f>
        <v/>
      </c>
    </row>
    <row r="1892" ht="15.75" customHeight="1" s="52">
      <c r="A1892" s="92">
        <f>IF('3mA'!B42&lt;&gt;"","3mA","")</f>
        <v/>
      </c>
      <c r="B1892" s="82">
        <f>IF('3mA'!B42&lt;&gt;"",'3mA'!B42,"")</f>
        <v/>
      </c>
      <c r="C1892" s="82">
        <f>IF('3mA'!B42&lt;&gt;"",'3mA'!C42,"")</f>
        <v/>
      </c>
      <c r="D1892" s="82">
        <f>IF('3mA'!B42&lt;&gt;"",'3mA'!D42,"")</f>
        <v/>
      </c>
      <c r="E1892" s="82">
        <f>IF('3mA'!B42&lt;&gt;"",'3mA'!E42,"")</f>
        <v/>
      </c>
      <c r="F1892" s="82">
        <f>IF('3mA'!B42&lt;&gt;"",'3mA'!F42,"")</f>
        <v/>
      </c>
      <c r="G1892" s="82">
        <f>IF('3mA'!B42&lt;&gt;"",'3mA'!G42,"")</f>
        <v/>
      </c>
      <c r="H1892" s="92">
        <f>IF('3mA'!B42&lt;&gt;"",'3mA'!H42,"")</f>
        <v/>
      </c>
      <c r="I1892" s="92">
        <f>IF('3mA'!B42&lt;&gt;"",'3mA'!I42,"")</f>
        <v/>
      </c>
      <c r="J1892" s="82">
        <f>IF('3mA'!B42&lt;&gt;"",'3mA'!J42,"")</f>
        <v/>
      </c>
    </row>
    <row r="1893" ht="15.75" customHeight="1" s="52">
      <c r="A1893" s="97">
        <f>IF('3mA'!B43&lt;&gt;"","3mA","")</f>
        <v/>
      </c>
      <c r="B1893" s="78">
        <f>IF('3mA'!B43&lt;&gt;"",'3mA'!B43,"")</f>
        <v/>
      </c>
      <c r="C1893" s="78">
        <f>IF('3mA'!B43&lt;&gt;"",'3mA'!C43,"")</f>
        <v/>
      </c>
      <c r="D1893" s="78">
        <f>IF('3mA'!B43&lt;&gt;"",'3mA'!D43,"")</f>
        <v/>
      </c>
      <c r="E1893" s="78">
        <f>IF('3mA'!B43&lt;&gt;"",'3mA'!E43,"")</f>
        <v/>
      </c>
      <c r="F1893" s="78">
        <f>IF('3mA'!B43&lt;&gt;"",'3mA'!F43,"")</f>
        <v/>
      </c>
      <c r="G1893" s="78">
        <f>IF('3mA'!B43&lt;&gt;"",'3mA'!G43,"")</f>
        <v/>
      </c>
      <c r="H1893" s="97">
        <f>IF('3mA'!B43&lt;&gt;"",'3mA'!H43,"")</f>
        <v/>
      </c>
      <c r="I1893" s="97">
        <f>IF('3mA'!B43&lt;&gt;"",'3mA'!I43,"")</f>
        <v/>
      </c>
      <c r="J1893" s="78">
        <f>IF('3mA'!B43&lt;&gt;"",'3mA'!J43,"")</f>
        <v/>
      </c>
    </row>
    <row r="1894" ht="15.75" customHeight="1" s="52">
      <c r="A1894" s="92">
        <f>IF('3mA'!B44&lt;&gt;"","3mA","")</f>
        <v/>
      </c>
      <c r="B1894" s="82">
        <f>IF('3mA'!B44&lt;&gt;"",'3mA'!B44,"")</f>
        <v/>
      </c>
      <c r="C1894" s="82">
        <f>IF('3mA'!B44&lt;&gt;"",'3mA'!C44,"")</f>
        <v/>
      </c>
      <c r="D1894" s="82">
        <f>IF('3mA'!B44&lt;&gt;"",'3mA'!D44,"")</f>
        <v/>
      </c>
      <c r="E1894" s="82">
        <f>IF('3mA'!B44&lt;&gt;"",'3mA'!E44,"")</f>
        <v/>
      </c>
      <c r="F1894" s="82">
        <f>IF('3mA'!B44&lt;&gt;"",'3mA'!F44,"")</f>
        <v/>
      </c>
      <c r="G1894" s="82">
        <f>IF('3mA'!B44&lt;&gt;"",'3mA'!G44,"")</f>
        <v/>
      </c>
      <c r="H1894" s="92">
        <f>IF('3mA'!B44&lt;&gt;"",'3mA'!H44,"")</f>
        <v/>
      </c>
      <c r="I1894" s="92">
        <f>IF('3mA'!B44&lt;&gt;"",'3mA'!I44,"")</f>
        <v/>
      </c>
      <c r="J1894" s="82">
        <f>IF('3mA'!B44&lt;&gt;"",'3mA'!J44,"")</f>
        <v/>
      </c>
    </row>
    <row r="1895" ht="15.75" customHeight="1" s="52">
      <c r="A1895" s="97">
        <f>IF('3mA'!B45&lt;&gt;"","3mA","")</f>
        <v/>
      </c>
      <c r="B1895" s="78">
        <f>IF('3mA'!B45&lt;&gt;"",'3mA'!B45,"")</f>
        <v/>
      </c>
      <c r="C1895" s="78">
        <f>IF('3mA'!B45&lt;&gt;"",'3mA'!C45,"")</f>
        <v/>
      </c>
      <c r="D1895" s="78">
        <f>IF('3mA'!B45&lt;&gt;"",'3mA'!D45,"")</f>
        <v/>
      </c>
      <c r="E1895" s="78">
        <f>IF('3mA'!B45&lt;&gt;"",'3mA'!E45,"")</f>
        <v/>
      </c>
      <c r="F1895" s="78">
        <f>IF('3mA'!B45&lt;&gt;"",'3mA'!F45,"")</f>
        <v/>
      </c>
      <c r="G1895" s="78">
        <f>IF('3mA'!B45&lt;&gt;"",'3mA'!G45,"")</f>
        <v/>
      </c>
      <c r="H1895" s="97">
        <f>IF('3mA'!B45&lt;&gt;"",'3mA'!H45,"")</f>
        <v/>
      </c>
      <c r="I1895" s="97">
        <f>IF('3mA'!B45&lt;&gt;"",'3mA'!I45,"")</f>
        <v/>
      </c>
      <c r="J1895" s="78">
        <f>IF('3mA'!B45&lt;&gt;"",'3mA'!J45,"")</f>
        <v/>
      </c>
    </row>
    <row r="1896" ht="15.75" customHeight="1" s="52">
      <c r="A1896" s="92">
        <f>IF('3mA'!B46&lt;&gt;"","3mA","")</f>
        <v/>
      </c>
      <c r="B1896" s="82">
        <f>IF('3mA'!B46&lt;&gt;"",'3mA'!B46,"")</f>
        <v/>
      </c>
      <c r="C1896" s="82">
        <f>IF('3mA'!B46&lt;&gt;"",'3mA'!C46,"")</f>
        <v/>
      </c>
      <c r="D1896" s="82">
        <f>IF('3mA'!B46&lt;&gt;"",'3mA'!D46,"")</f>
        <v/>
      </c>
      <c r="E1896" s="82">
        <f>IF('3mA'!B46&lt;&gt;"",'3mA'!E46,"")</f>
        <v/>
      </c>
      <c r="F1896" s="82">
        <f>IF('3mA'!B46&lt;&gt;"",'3mA'!F46,"")</f>
        <v/>
      </c>
      <c r="G1896" s="82">
        <f>IF('3mA'!B46&lt;&gt;"",'3mA'!G46,"")</f>
        <v/>
      </c>
      <c r="H1896" s="92">
        <f>IF('3mA'!B46&lt;&gt;"",'3mA'!H46,"")</f>
        <v/>
      </c>
      <c r="I1896" s="92">
        <f>IF('3mA'!B46&lt;&gt;"",'3mA'!I46,"")</f>
        <v/>
      </c>
      <c r="J1896" s="82">
        <f>IF('3mA'!B46&lt;&gt;"",'3mA'!J46,"")</f>
        <v/>
      </c>
    </row>
    <row r="1897" ht="15.75" customHeight="1" s="52">
      <c r="A1897" s="97">
        <f>IF('3mA'!B47&lt;&gt;"","3mA","")</f>
        <v/>
      </c>
      <c r="B1897" s="78">
        <f>IF('3mA'!B47&lt;&gt;"",'3mA'!B47,"")</f>
        <v/>
      </c>
      <c r="C1897" s="78">
        <f>IF('3mA'!B47&lt;&gt;"",'3mA'!C47,"")</f>
        <v/>
      </c>
      <c r="D1897" s="78">
        <f>IF('3mA'!B47&lt;&gt;"",'3mA'!D47,"")</f>
        <v/>
      </c>
      <c r="E1897" s="78">
        <f>IF('3mA'!B47&lt;&gt;"",'3mA'!E47,"")</f>
        <v/>
      </c>
      <c r="F1897" s="78">
        <f>IF('3mA'!B47&lt;&gt;"",'3mA'!F47,"")</f>
        <v/>
      </c>
      <c r="G1897" s="78">
        <f>IF('3mA'!B47&lt;&gt;"",'3mA'!G47,"")</f>
        <v/>
      </c>
      <c r="H1897" s="97">
        <f>IF('3mA'!B47&lt;&gt;"",'3mA'!H47,"")</f>
        <v/>
      </c>
      <c r="I1897" s="97">
        <f>IF('3mA'!B47&lt;&gt;"",'3mA'!I47,"")</f>
        <v/>
      </c>
      <c r="J1897" s="78">
        <f>IF('3mA'!B47&lt;&gt;"",'3mA'!J47,"")</f>
        <v/>
      </c>
    </row>
    <row r="1898" ht="15.75" customHeight="1" s="52">
      <c r="A1898" s="92">
        <f>IF('3mA'!B48&lt;&gt;"","3mA","")</f>
        <v/>
      </c>
      <c r="B1898" s="82">
        <f>IF('3mA'!B48&lt;&gt;"",'3mA'!B48,"")</f>
        <v/>
      </c>
      <c r="C1898" s="82">
        <f>IF('3mA'!B48&lt;&gt;"",'3mA'!C48,"")</f>
        <v/>
      </c>
      <c r="D1898" s="82">
        <f>IF('3mA'!B48&lt;&gt;"",'3mA'!D48,"")</f>
        <v/>
      </c>
      <c r="E1898" s="82">
        <f>IF('3mA'!B48&lt;&gt;"",'3mA'!E48,"")</f>
        <v/>
      </c>
      <c r="F1898" s="82">
        <f>IF('3mA'!B48&lt;&gt;"",'3mA'!F48,"")</f>
        <v/>
      </c>
      <c r="G1898" s="82">
        <f>IF('3mA'!B48&lt;&gt;"",'3mA'!G48,"")</f>
        <v/>
      </c>
      <c r="H1898" s="92">
        <f>IF('3mA'!B48&lt;&gt;"",'3mA'!H48,"")</f>
        <v/>
      </c>
      <c r="I1898" s="92">
        <f>IF('3mA'!B48&lt;&gt;"",'3mA'!I48,"")</f>
        <v/>
      </c>
      <c r="J1898" s="82">
        <f>IF('3mA'!B48&lt;&gt;"",'3mA'!J48,"")</f>
        <v/>
      </c>
    </row>
    <row r="1899" ht="15.75" customHeight="1" s="52">
      <c r="A1899" s="97">
        <f>IF('3mA'!B49&lt;&gt;"","3mA","")</f>
        <v/>
      </c>
      <c r="B1899" s="78">
        <f>IF('3mA'!B49&lt;&gt;"",'3mA'!B49,"")</f>
        <v/>
      </c>
      <c r="C1899" s="78">
        <f>IF('3mA'!B49&lt;&gt;"",'3mA'!C49,"")</f>
        <v/>
      </c>
      <c r="D1899" s="78">
        <f>IF('3mA'!B49&lt;&gt;"",'3mA'!D49,"")</f>
        <v/>
      </c>
      <c r="E1899" s="78">
        <f>IF('3mA'!B49&lt;&gt;"",'3mA'!E49,"")</f>
        <v/>
      </c>
      <c r="F1899" s="78">
        <f>IF('3mA'!B49&lt;&gt;"",'3mA'!F49,"")</f>
        <v/>
      </c>
      <c r="G1899" s="78">
        <f>IF('3mA'!B49&lt;&gt;"",'3mA'!G49,"")</f>
        <v/>
      </c>
      <c r="H1899" s="97">
        <f>IF('3mA'!B49&lt;&gt;"",'3mA'!H49,"")</f>
        <v/>
      </c>
      <c r="I1899" s="97">
        <f>IF('3mA'!B49&lt;&gt;"",'3mA'!I49,"")</f>
        <v/>
      </c>
      <c r="J1899" s="78">
        <f>IF('3mA'!B49&lt;&gt;"",'3mA'!J49,"")</f>
        <v/>
      </c>
    </row>
    <row r="1900" ht="15.75" customHeight="1" s="52">
      <c r="A1900" s="92">
        <f>IF('3mA'!B50&lt;&gt;"","3mA","")</f>
        <v/>
      </c>
      <c r="B1900" s="82">
        <f>IF('3mA'!B50&lt;&gt;"",'3mA'!B50,"")</f>
        <v/>
      </c>
      <c r="C1900" s="82">
        <f>IF('3mA'!B50&lt;&gt;"",'3mA'!C50,"")</f>
        <v/>
      </c>
      <c r="D1900" s="82">
        <f>IF('3mA'!B50&lt;&gt;"",'3mA'!D50,"")</f>
        <v/>
      </c>
      <c r="E1900" s="82">
        <f>IF('3mA'!B50&lt;&gt;"",'3mA'!E50,"")</f>
        <v/>
      </c>
      <c r="F1900" s="82">
        <f>IF('3mA'!B50&lt;&gt;"",'3mA'!F50,"")</f>
        <v/>
      </c>
      <c r="G1900" s="82">
        <f>IF('3mA'!B50&lt;&gt;"",'3mA'!G50,"")</f>
        <v/>
      </c>
      <c r="H1900" s="92">
        <f>IF('3mA'!B50&lt;&gt;"",'3mA'!H50,"")</f>
        <v/>
      </c>
      <c r="I1900" s="92">
        <f>IF('3mA'!B50&lt;&gt;"",'3mA'!I50,"")</f>
        <v/>
      </c>
      <c r="J1900" s="82">
        <f>IF('3mA'!B50&lt;&gt;"",'3mA'!J50,"")</f>
        <v/>
      </c>
    </row>
    <row r="1901" ht="15.75" customHeight="1" s="52">
      <c r="A1901" s="97">
        <f>IF('3mA'!B51&lt;&gt;"","3mA","")</f>
        <v/>
      </c>
      <c r="B1901" s="78">
        <f>IF('3mA'!B51&lt;&gt;"",'3mA'!B51,"")</f>
        <v/>
      </c>
      <c r="C1901" s="78">
        <f>IF('3mA'!B51&lt;&gt;"",'3mA'!C51,"")</f>
        <v/>
      </c>
      <c r="D1901" s="78">
        <f>IF('3mA'!B51&lt;&gt;"",'3mA'!D51,"")</f>
        <v/>
      </c>
      <c r="E1901" s="78">
        <f>IF('3mA'!B51&lt;&gt;"",'3mA'!E51,"")</f>
        <v/>
      </c>
      <c r="F1901" s="78">
        <f>IF('3mA'!B51&lt;&gt;"",'3mA'!F51,"")</f>
        <v/>
      </c>
      <c r="G1901" s="78">
        <f>IF('3mA'!B51&lt;&gt;"",'3mA'!G51,"")</f>
        <v/>
      </c>
      <c r="H1901" s="97">
        <f>IF('3mA'!B51&lt;&gt;"",'3mA'!H51,"")</f>
        <v/>
      </c>
      <c r="I1901" s="97">
        <f>IF('3mA'!B51&lt;&gt;"",'3mA'!I51,"")</f>
        <v/>
      </c>
      <c r="J1901" s="78">
        <f>IF('3mA'!B51&lt;&gt;"",'3mA'!J51,"")</f>
        <v/>
      </c>
    </row>
    <row r="1902" ht="15.75" customHeight="1" s="52">
      <c r="A1902" s="92">
        <f>IF('3mA'!B52&lt;&gt;"","3mA","")</f>
        <v/>
      </c>
      <c r="B1902" s="82">
        <f>IF('3mA'!B52&lt;&gt;"",'3mA'!B52,"")</f>
        <v/>
      </c>
      <c r="C1902" s="82">
        <f>IF('3mA'!B52&lt;&gt;"",'3mA'!C52,"")</f>
        <v/>
      </c>
      <c r="D1902" s="82">
        <f>IF('3mA'!B52&lt;&gt;"",'3mA'!D52,"")</f>
        <v/>
      </c>
      <c r="E1902" s="82">
        <f>IF('3mA'!B52&lt;&gt;"",'3mA'!E52,"")</f>
        <v/>
      </c>
      <c r="F1902" s="82">
        <f>IF('3mA'!B52&lt;&gt;"",'3mA'!F52,"")</f>
        <v/>
      </c>
      <c r="G1902" s="82">
        <f>IF('3mA'!B52&lt;&gt;"",'3mA'!G52,"")</f>
        <v/>
      </c>
      <c r="H1902" s="92">
        <f>IF('3mA'!B52&lt;&gt;"",'3mA'!H52,"")</f>
        <v/>
      </c>
      <c r="I1902" s="92">
        <f>IF('3mA'!B52&lt;&gt;"",'3mA'!I52,"")</f>
        <v/>
      </c>
      <c r="J1902" s="82">
        <f>IF('3mA'!B52&lt;&gt;"",'3mA'!J52,"")</f>
        <v/>
      </c>
    </row>
    <row r="1903" ht="15.75" customHeight="1" s="52">
      <c r="A1903" s="97">
        <f>IF('3mA'!B53&lt;&gt;"","3mA","")</f>
        <v/>
      </c>
      <c r="B1903" s="78">
        <f>IF('3mA'!B53&lt;&gt;"",'3mA'!B53,"")</f>
        <v/>
      </c>
      <c r="C1903" s="78">
        <f>IF('3mA'!B53&lt;&gt;"",'3mA'!C53,"")</f>
        <v/>
      </c>
      <c r="D1903" s="78">
        <f>IF('3mA'!B53&lt;&gt;"",'3mA'!D53,"")</f>
        <v/>
      </c>
      <c r="E1903" s="78">
        <f>IF('3mA'!B53&lt;&gt;"",'3mA'!E53,"")</f>
        <v/>
      </c>
      <c r="F1903" s="78">
        <f>IF('3mA'!B53&lt;&gt;"",'3mA'!F53,"")</f>
        <v/>
      </c>
      <c r="G1903" s="78">
        <f>IF('3mA'!B53&lt;&gt;"",'3mA'!G53,"")</f>
        <v/>
      </c>
      <c r="H1903" s="97">
        <f>IF('3mA'!B53&lt;&gt;"",'3mA'!H53,"")</f>
        <v/>
      </c>
      <c r="I1903" s="97">
        <f>IF('3mA'!B53&lt;&gt;"",'3mA'!I53,"")</f>
        <v/>
      </c>
      <c r="J1903" s="78">
        <f>IF('3mA'!B53&lt;&gt;"",'3mA'!J53,"")</f>
        <v/>
      </c>
    </row>
    <row r="1904" ht="15.75" customHeight="1" s="52">
      <c r="A1904" s="92">
        <f>IF('3mA'!B54&lt;&gt;"","3mA","")</f>
        <v/>
      </c>
      <c r="B1904" s="82">
        <f>IF('3mA'!B54&lt;&gt;"",'3mA'!B54,"")</f>
        <v/>
      </c>
      <c r="C1904" s="82">
        <f>IF('3mA'!B54&lt;&gt;"",'3mA'!C54,"")</f>
        <v/>
      </c>
      <c r="D1904" s="82">
        <f>IF('3mA'!B54&lt;&gt;"",'3mA'!D54,"")</f>
        <v/>
      </c>
      <c r="E1904" s="82">
        <f>IF('3mA'!B54&lt;&gt;"",'3mA'!E54,"")</f>
        <v/>
      </c>
      <c r="F1904" s="82">
        <f>IF('3mA'!B54&lt;&gt;"",'3mA'!F54,"")</f>
        <v/>
      </c>
      <c r="G1904" s="82">
        <f>IF('3mA'!B54&lt;&gt;"",'3mA'!G54,"")</f>
        <v/>
      </c>
      <c r="H1904" s="92">
        <f>IF('3mA'!B54&lt;&gt;"",'3mA'!H54,"")</f>
        <v/>
      </c>
      <c r="I1904" s="92">
        <f>IF('3mA'!B54&lt;&gt;"",'3mA'!I54,"")</f>
        <v/>
      </c>
      <c r="J1904" s="82">
        <f>IF('3mA'!B54&lt;&gt;"",'3mA'!J54,"")</f>
        <v/>
      </c>
    </row>
    <row r="1905" ht="15.75" customHeight="1" s="52">
      <c r="A1905" s="97">
        <f>IF('3mB'!B5&lt;&gt;"","3mB","")</f>
        <v/>
      </c>
      <c r="B1905" s="78">
        <f>IF('3mB'!B5&lt;&gt;"",'3mB'!B5,"")</f>
        <v/>
      </c>
      <c r="C1905" s="78">
        <f>IF('3mB'!B5&lt;&gt;"",'3mB'!C5,"")</f>
        <v/>
      </c>
      <c r="D1905" s="78">
        <f>IF('3mB'!B5&lt;&gt;"",'3mB'!D5,"")</f>
        <v/>
      </c>
      <c r="E1905" s="78">
        <f>IF('3mB'!B5&lt;&gt;"",'3mB'!E5,"")</f>
        <v/>
      </c>
      <c r="F1905" s="78">
        <f>IF('3mB'!B5&lt;&gt;"",'3mB'!F5,"")</f>
        <v/>
      </c>
      <c r="G1905" s="78">
        <f>IF('3mB'!B5&lt;&gt;"",'3mB'!G5,"")</f>
        <v/>
      </c>
      <c r="H1905" s="97">
        <f>IF('3mB'!B5&lt;&gt;"",'3mB'!H5,"")</f>
        <v/>
      </c>
      <c r="I1905" s="97">
        <f>IF('3mB'!B5&lt;&gt;"",'3mB'!I5,"")</f>
        <v/>
      </c>
      <c r="J1905" s="78">
        <f>IF('3mB'!B5&lt;&gt;"",'3mB'!J5,"")</f>
        <v/>
      </c>
    </row>
    <row r="1906" ht="15.75" customHeight="1" s="52">
      <c r="A1906" s="92">
        <f>IF('3mB'!B6&lt;&gt;"","3mB","")</f>
        <v/>
      </c>
      <c r="B1906" s="82">
        <f>IF('3mB'!B6&lt;&gt;"",'3mB'!B6,"")</f>
        <v/>
      </c>
      <c r="C1906" s="82">
        <f>IF('3mB'!B6&lt;&gt;"",'3mB'!C6,"")</f>
        <v/>
      </c>
      <c r="D1906" s="82">
        <f>IF('3mB'!B6&lt;&gt;"",'3mB'!D6,"")</f>
        <v/>
      </c>
      <c r="E1906" s="82">
        <f>IF('3mB'!B6&lt;&gt;"",'3mB'!E6,"")</f>
        <v/>
      </c>
      <c r="F1906" s="82">
        <f>IF('3mB'!B6&lt;&gt;"",'3mB'!F6,"")</f>
        <v/>
      </c>
      <c r="G1906" s="82">
        <f>IF('3mB'!B6&lt;&gt;"",'3mB'!G6,"")</f>
        <v/>
      </c>
      <c r="H1906" s="92">
        <f>IF('3mB'!B6&lt;&gt;"",'3mB'!H6,"")</f>
        <v/>
      </c>
      <c r="I1906" s="92">
        <f>IF('3mB'!B6&lt;&gt;"",'3mB'!I6,"")</f>
        <v/>
      </c>
      <c r="J1906" s="82">
        <f>IF('3mB'!B6&lt;&gt;"",'3mB'!J6,"")</f>
        <v/>
      </c>
    </row>
    <row r="1907" ht="15.75" customHeight="1" s="52">
      <c r="A1907" s="97">
        <f>IF('3mB'!B7&lt;&gt;"","3mB","")</f>
        <v/>
      </c>
      <c r="B1907" s="78">
        <f>IF('3mB'!B7&lt;&gt;"",'3mB'!B7,"")</f>
        <v/>
      </c>
      <c r="C1907" s="78">
        <f>IF('3mB'!B7&lt;&gt;"",'3mB'!C7,"")</f>
        <v/>
      </c>
      <c r="D1907" s="78">
        <f>IF('3mB'!B7&lt;&gt;"",'3mB'!D7,"")</f>
        <v/>
      </c>
      <c r="E1907" s="78">
        <f>IF('3mB'!B7&lt;&gt;"",'3mB'!E7,"")</f>
        <v/>
      </c>
      <c r="F1907" s="78">
        <f>IF('3mB'!B7&lt;&gt;"",'3mB'!F7,"")</f>
        <v/>
      </c>
      <c r="G1907" s="78">
        <f>IF('3mB'!B7&lt;&gt;"",'3mB'!G7,"")</f>
        <v/>
      </c>
      <c r="H1907" s="97">
        <f>IF('3mB'!B7&lt;&gt;"",'3mB'!H7,"")</f>
        <v/>
      </c>
      <c r="I1907" s="97">
        <f>IF('3mB'!B7&lt;&gt;"",'3mB'!I7,"")</f>
        <v/>
      </c>
      <c r="J1907" s="78">
        <f>IF('3mB'!B7&lt;&gt;"",'3mB'!J7,"")</f>
        <v/>
      </c>
    </row>
    <row r="1908" ht="15.75" customHeight="1" s="52">
      <c r="A1908" s="92">
        <f>IF('3mB'!B8&lt;&gt;"","3mB","")</f>
        <v/>
      </c>
      <c r="B1908" s="82">
        <f>IF('3mB'!B8&lt;&gt;"",'3mB'!B8,"")</f>
        <v/>
      </c>
      <c r="C1908" s="82">
        <f>IF('3mB'!B8&lt;&gt;"",'3mB'!C8,"")</f>
        <v/>
      </c>
      <c r="D1908" s="82">
        <f>IF('3mB'!B8&lt;&gt;"",'3mB'!D8,"")</f>
        <v/>
      </c>
      <c r="E1908" s="82">
        <f>IF('3mB'!B8&lt;&gt;"",'3mB'!E8,"")</f>
        <v/>
      </c>
      <c r="F1908" s="82">
        <f>IF('3mB'!B8&lt;&gt;"",'3mB'!F8,"")</f>
        <v/>
      </c>
      <c r="G1908" s="82">
        <f>IF('3mB'!B8&lt;&gt;"",'3mB'!G8,"")</f>
        <v/>
      </c>
      <c r="H1908" s="92">
        <f>IF('3mB'!B8&lt;&gt;"",'3mB'!H8,"")</f>
        <v/>
      </c>
      <c r="I1908" s="92">
        <f>IF('3mB'!B8&lt;&gt;"",'3mB'!I8,"")</f>
        <v/>
      </c>
      <c r="J1908" s="82">
        <f>IF('3mB'!B8&lt;&gt;"",'3mB'!J8,"")</f>
        <v/>
      </c>
    </row>
    <row r="1909" ht="15.75" customHeight="1" s="52">
      <c r="A1909" s="97">
        <f>IF('3mB'!B9&lt;&gt;"","3mB","")</f>
        <v/>
      </c>
      <c r="B1909" s="78">
        <f>IF('3mB'!B9&lt;&gt;"",'3mB'!B9,"")</f>
        <v/>
      </c>
      <c r="C1909" s="78">
        <f>IF('3mB'!B9&lt;&gt;"",'3mB'!C9,"")</f>
        <v/>
      </c>
      <c r="D1909" s="78">
        <f>IF('3mB'!B9&lt;&gt;"",'3mB'!D9,"")</f>
        <v/>
      </c>
      <c r="E1909" s="78">
        <f>IF('3mB'!B9&lt;&gt;"",'3mB'!E9,"")</f>
        <v/>
      </c>
      <c r="F1909" s="78">
        <f>IF('3mB'!B9&lt;&gt;"",'3mB'!F9,"")</f>
        <v/>
      </c>
      <c r="G1909" s="78">
        <f>IF('3mB'!B9&lt;&gt;"",'3mB'!G9,"")</f>
        <v/>
      </c>
      <c r="H1909" s="97">
        <f>IF('3mB'!B9&lt;&gt;"",'3mB'!H9,"")</f>
        <v/>
      </c>
      <c r="I1909" s="97">
        <f>IF('3mB'!B9&lt;&gt;"",'3mB'!I9,"")</f>
        <v/>
      </c>
      <c r="J1909" s="78">
        <f>IF('3mB'!B9&lt;&gt;"",'3mB'!J9,"")</f>
        <v/>
      </c>
    </row>
    <row r="1910" ht="15.75" customHeight="1" s="52">
      <c r="A1910" s="92">
        <f>IF('3mB'!B10&lt;&gt;"","3mB","")</f>
        <v/>
      </c>
      <c r="B1910" s="82">
        <f>IF('3mB'!B10&lt;&gt;"",'3mB'!B10,"")</f>
        <v/>
      </c>
      <c r="C1910" s="82">
        <f>IF('3mB'!B10&lt;&gt;"",'3mB'!C10,"")</f>
        <v/>
      </c>
      <c r="D1910" s="82">
        <f>IF('3mB'!B10&lt;&gt;"",'3mB'!D10,"")</f>
        <v/>
      </c>
      <c r="E1910" s="82">
        <f>IF('3mB'!B10&lt;&gt;"",'3mB'!E10,"")</f>
        <v/>
      </c>
      <c r="F1910" s="82">
        <f>IF('3mB'!B10&lt;&gt;"",'3mB'!F10,"")</f>
        <v/>
      </c>
      <c r="G1910" s="82">
        <f>IF('3mB'!B10&lt;&gt;"",'3mB'!G10,"")</f>
        <v/>
      </c>
      <c r="H1910" s="92">
        <f>IF('3mB'!B10&lt;&gt;"",'3mB'!H10,"")</f>
        <v/>
      </c>
      <c r="I1910" s="92">
        <f>IF('3mB'!B10&lt;&gt;"",'3mB'!I10,"")</f>
        <v/>
      </c>
      <c r="J1910" s="82">
        <f>IF('3mB'!B10&lt;&gt;"",'3mB'!J10,"")</f>
        <v/>
      </c>
    </row>
    <row r="1911" ht="15.75" customHeight="1" s="52">
      <c r="A1911" s="97">
        <f>IF('3mB'!B11&lt;&gt;"","3mB","")</f>
        <v/>
      </c>
      <c r="B1911" s="78">
        <f>IF('3mB'!B11&lt;&gt;"",'3mB'!B11,"")</f>
        <v/>
      </c>
      <c r="C1911" s="78">
        <f>IF('3mB'!B11&lt;&gt;"",'3mB'!C11,"")</f>
        <v/>
      </c>
      <c r="D1911" s="78">
        <f>IF('3mB'!B11&lt;&gt;"",'3mB'!D11,"")</f>
        <v/>
      </c>
      <c r="E1911" s="78">
        <f>IF('3mB'!B11&lt;&gt;"",'3mB'!E11,"")</f>
        <v/>
      </c>
      <c r="F1911" s="78">
        <f>IF('3mB'!B11&lt;&gt;"",'3mB'!F11,"")</f>
        <v/>
      </c>
      <c r="G1911" s="78">
        <f>IF('3mB'!B11&lt;&gt;"",'3mB'!G11,"")</f>
        <v/>
      </c>
      <c r="H1911" s="97">
        <f>IF('3mB'!B11&lt;&gt;"",'3mB'!H11,"")</f>
        <v/>
      </c>
      <c r="I1911" s="97">
        <f>IF('3mB'!B11&lt;&gt;"",'3mB'!I11,"")</f>
        <v/>
      </c>
      <c r="J1911" s="78">
        <f>IF('3mB'!B11&lt;&gt;"",'3mB'!J11,"")</f>
        <v/>
      </c>
    </row>
    <row r="1912" ht="15.75" customHeight="1" s="52">
      <c r="A1912" s="92">
        <f>IF('3mB'!B12&lt;&gt;"","3mB","")</f>
        <v/>
      </c>
      <c r="B1912" s="82">
        <f>IF('3mB'!B12&lt;&gt;"",'3mB'!B12,"")</f>
        <v/>
      </c>
      <c r="C1912" s="82">
        <f>IF('3mB'!B12&lt;&gt;"",'3mB'!C12,"")</f>
        <v/>
      </c>
      <c r="D1912" s="82">
        <f>IF('3mB'!B12&lt;&gt;"",'3mB'!D12,"")</f>
        <v/>
      </c>
      <c r="E1912" s="82">
        <f>IF('3mB'!B12&lt;&gt;"",'3mB'!E12,"")</f>
        <v/>
      </c>
      <c r="F1912" s="82">
        <f>IF('3mB'!B12&lt;&gt;"",'3mB'!F12,"")</f>
        <v/>
      </c>
      <c r="G1912" s="82">
        <f>IF('3mB'!B12&lt;&gt;"",'3mB'!G12,"")</f>
        <v/>
      </c>
      <c r="H1912" s="92">
        <f>IF('3mB'!B12&lt;&gt;"",'3mB'!H12,"")</f>
        <v/>
      </c>
      <c r="I1912" s="92">
        <f>IF('3mB'!B12&lt;&gt;"",'3mB'!I12,"")</f>
        <v/>
      </c>
      <c r="J1912" s="82">
        <f>IF('3mB'!B12&lt;&gt;"",'3mB'!J12,"")</f>
        <v/>
      </c>
    </row>
    <row r="1913" ht="15.75" customHeight="1" s="52">
      <c r="A1913" s="97">
        <f>IF('3mB'!B13&lt;&gt;"","3mB","")</f>
        <v/>
      </c>
      <c r="B1913" s="78">
        <f>IF('3mB'!B13&lt;&gt;"",'3mB'!B13,"")</f>
        <v/>
      </c>
      <c r="C1913" s="78">
        <f>IF('3mB'!B13&lt;&gt;"",'3mB'!C13,"")</f>
        <v/>
      </c>
      <c r="D1913" s="78">
        <f>IF('3mB'!B13&lt;&gt;"",'3mB'!D13,"")</f>
        <v/>
      </c>
      <c r="E1913" s="78">
        <f>IF('3mB'!B13&lt;&gt;"",'3mB'!E13,"")</f>
        <v/>
      </c>
      <c r="F1913" s="78">
        <f>IF('3mB'!B13&lt;&gt;"",'3mB'!F13,"")</f>
        <v/>
      </c>
      <c r="G1913" s="78">
        <f>IF('3mB'!B13&lt;&gt;"",'3mB'!G13,"")</f>
        <v/>
      </c>
      <c r="H1913" s="97">
        <f>IF('3mB'!B13&lt;&gt;"",'3mB'!H13,"")</f>
        <v/>
      </c>
      <c r="I1913" s="97">
        <f>IF('3mB'!B13&lt;&gt;"",'3mB'!I13,"")</f>
        <v/>
      </c>
      <c r="J1913" s="78">
        <f>IF('3mB'!B13&lt;&gt;"",'3mB'!J13,"")</f>
        <v/>
      </c>
    </row>
    <row r="1914" ht="15.75" customHeight="1" s="52">
      <c r="A1914" s="92">
        <f>IF('3mB'!B14&lt;&gt;"","3mB","")</f>
        <v/>
      </c>
      <c r="B1914" s="82">
        <f>IF('3mB'!B14&lt;&gt;"",'3mB'!B14,"")</f>
        <v/>
      </c>
      <c r="C1914" s="82">
        <f>IF('3mB'!B14&lt;&gt;"",'3mB'!C14,"")</f>
        <v/>
      </c>
      <c r="D1914" s="82">
        <f>IF('3mB'!B14&lt;&gt;"",'3mB'!D14,"")</f>
        <v/>
      </c>
      <c r="E1914" s="82">
        <f>IF('3mB'!B14&lt;&gt;"",'3mB'!E14,"")</f>
        <v/>
      </c>
      <c r="F1914" s="82">
        <f>IF('3mB'!B14&lt;&gt;"",'3mB'!F14,"")</f>
        <v/>
      </c>
      <c r="G1914" s="82">
        <f>IF('3mB'!B14&lt;&gt;"",'3mB'!G14,"")</f>
        <v/>
      </c>
      <c r="H1914" s="92">
        <f>IF('3mB'!B14&lt;&gt;"",'3mB'!H14,"")</f>
        <v/>
      </c>
      <c r="I1914" s="92">
        <f>IF('3mB'!B14&lt;&gt;"",'3mB'!I14,"")</f>
        <v/>
      </c>
      <c r="J1914" s="82">
        <f>IF('3mB'!B14&lt;&gt;"",'3mB'!J14,"")</f>
        <v/>
      </c>
    </row>
    <row r="1915" ht="15.75" customHeight="1" s="52">
      <c r="A1915" s="97">
        <f>IF('3mB'!B15&lt;&gt;"","3mB","")</f>
        <v/>
      </c>
      <c r="B1915" s="78">
        <f>IF('3mB'!B15&lt;&gt;"",'3mB'!B15,"")</f>
        <v/>
      </c>
      <c r="C1915" s="78">
        <f>IF('3mB'!B15&lt;&gt;"",'3mB'!C15,"")</f>
        <v/>
      </c>
      <c r="D1915" s="78">
        <f>IF('3mB'!B15&lt;&gt;"",'3mB'!D15,"")</f>
        <v/>
      </c>
      <c r="E1915" s="78">
        <f>IF('3mB'!B15&lt;&gt;"",'3mB'!E15,"")</f>
        <v/>
      </c>
      <c r="F1915" s="78">
        <f>IF('3mB'!B15&lt;&gt;"",'3mB'!F15,"")</f>
        <v/>
      </c>
      <c r="G1915" s="78">
        <f>IF('3mB'!B15&lt;&gt;"",'3mB'!G15,"")</f>
        <v/>
      </c>
      <c r="H1915" s="97">
        <f>IF('3mB'!B15&lt;&gt;"",'3mB'!H15,"")</f>
        <v/>
      </c>
      <c r="I1915" s="97">
        <f>IF('3mB'!B15&lt;&gt;"",'3mB'!I15,"")</f>
        <v/>
      </c>
      <c r="J1915" s="78">
        <f>IF('3mB'!B15&lt;&gt;"",'3mB'!J15,"")</f>
        <v/>
      </c>
    </row>
    <row r="1916" ht="15.75" customHeight="1" s="52">
      <c r="A1916" s="92">
        <f>IF('3mB'!B16&lt;&gt;"","3mB","")</f>
        <v/>
      </c>
      <c r="B1916" s="82">
        <f>IF('3mB'!B16&lt;&gt;"",'3mB'!B16,"")</f>
        <v/>
      </c>
      <c r="C1916" s="82">
        <f>IF('3mB'!B16&lt;&gt;"",'3mB'!C16,"")</f>
        <v/>
      </c>
      <c r="D1916" s="82">
        <f>IF('3mB'!B16&lt;&gt;"",'3mB'!D16,"")</f>
        <v/>
      </c>
      <c r="E1916" s="82">
        <f>IF('3mB'!B16&lt;&gt;"",'3mB'!E16,"")</f>
        <v/>
      </c>
      <c r="F1916" s="82">
        <f>IF('3mB'!B16&lt;&gt;"",'3mB'!F16,"")</f>
        <v/>
      </c>
      <c r="G1916" s="82">
        <f>IF('3mB'!B16&lt;&gt;"",'3mB'!G16,"")</f>
        <v/>
      </c>
      <c r="H1916" s="92">
        <f>IF('3mB'!B16&lt;&gt;"",'3mB'!H16,"")</f>
        <v/>
      </c>
      <c r="I1916" s="92">
        <f>IF('3mB'!B16&lt;&gt;"",'3mB'!I16,"")</f>
        <v/>
      </c>
      <c r="J1916" s="82">
        <f>IF('3mB'!B16&lt;&gt;"",'3mB'!J16,"")</f>
        <v/>
      </c>
    </row>
    <row r="1917" ht="15.75" customHeight="1" s="52">
      <c r="A1917" s="97">
        <f>IF('3mB'!B17&lt;&gt;"","3mB","")</f>
        <v/>
      </c>
      <c r="B1917" s="78">
        <f>IF('3mB'!B17&lt;&gt;"",'3mB'!B17,"")</f>
        <v/>
      </c>
      <c r="C1917" s="78">
        <f>IF('3mB'!B17&lt;&gt;"",'3mB'!C17,"")</f>
        <v/>
      </c>
      <c r="D1917" s="78">
        <f>IF('3mB'!B17&lt;&gt;"",'3mB'!D17,"")</f>
        <v/>
      </c>
      <c r="E1917" s="78">
        <f>IF('3mB'!B17&lt;&gt;"",'3mB'!E17,"")</f>
        <v/>
      </c>
      <c r="F1917" s="78">
        <f>IF('3mB'!B17&lt;&gt;"",'3mB'!F17,"")</f>
        <v/>
      </c>
      <c r="G1917" s="78">
        <f>IF('3mB'!B17&lt;&gt;"",'3mB'!G17,"")</f>
        <v/>
      </c>
      <c r="H1917" s="97">
        <f>IF('3mB'!B17&lt;&gt;"",'3mB'!H17,"")</f>
        <v/>
      </c>
      <c r="I1917" s="97">
        <f>IF('3mB'!B17&lt;&gt;"",'3mB'!I17,"")</f>
        <v/>
      </c>
      <c r="J1917" s="78">
        <f>IF('3mB'!B17&lt;&gt;"",'3mB'!J17,"")</f>
        <v/>
      </c>
    </row>
    <row r="1918" ht="15.75" customHeight="1" s="52">
      <c r="A1918" s="92">
        <f>IF('3mB'!B18&lt;&gt;"","3mB","")</f>
        <v/>
      </c>
      <c r="B1918" s="82">
        <f>IF('3mB'!B18&lt;&gt;"",'3mB'!B18,"")</f>
        <v/>
      </c>
      <c r="C1918" s="82">
        <f>IF('3mB'!B18&lt;&gt;"",'3mB'!C18,"")</f>
        <v/>
      </c>
      <c r="D1918" s="82">
        <f>IF('3mB'!B18&lt;&gt;"",'3mB'!D18,"")</f>
        <v/>
      </c>
      <c r="E1918" s="82">
        <f>IF('3mB'!B18&lt;&gt;"",'3mB'!E18,"")</f>
        <v/>
      </c>
      <c r="F1918" s="82">
        <f>IF('3mB'!B18&lt;&gt;"",'3mB'!F18,"")</f>
        <v/>
      </c>
      <c r="G1918" s="82">
        <f>IF('3mB'!B18&lt;&gt;"",'3mB'!G18,"")</f>
        <v/>
      </c>
      <c r="H1918" s="92">
        <f>IF('3mB'!B18&lt;&gt;"",'3mB'!H18,"")</f>
        <v/>
      </c>
      <c r="I1918" s="92">
        <f>IF('3mB'!B18&lt;&gt;"",'3mB'!I18,"")</f>
        <v/>
      </c>
      <c r="J1918" s="82">
        <f>IF('3mB'!B18&lt;&gt;"",'3mB'!J18,"")</f>
        <v/>
      </c>
    </row>
    <row r="1919" ht="15.75" customHeight="1" s="52">
      <c r="A1919" s="97">
        <f>IF('3mB'!B19&lt;&gt;"","3mB","")</f>
        <v/>
      </c>
      <c r="B1919" s="78">
        <f>IF('3mB'!B19&lt;&gt;"",'3mB'!B19,"")</f>
        <v/>
      </c>
      <c r="C1919" s="78">
        <f>IF('3mB'!B19&lt;&gt;"",'3mB'!C19,"")</f>
        <v/>
      </c>
      <c r="D1919" s="78">
        <f>IF('3mB'!B19&lt;&gt;"",'3mB'!D19,"")</f>
        <v/>
      </c>
      <c r="E1919" s="78">
        <f>IF('3mB'!B19&lt;&gt;"",'3mB'!E19,"")</f>
        <v/>
      </c>
      <c r="F1919" s="78">
        <f>IF('3mB'!B19&lt;&gt;"",'3mB'!F19,"")</f>
        <v/>
      </c>
      <c r="G1919" s="78">
        <f>IF('3mB'!B19&lt;&gt;"",'3mB'!G19,"")</f>
        <v/>
      </c>
      <c r="H1919" s="97">
        <f>IF('3mB'!B19&lt;&gt;"",'3mB'!H19,"")</f>
        <v/>
      </c>
      <c r="I1919" s="97">
        <f>IF('3mB'!B19&lt;&gt;"",'3mB'!I19,"")</f>
        <v/>
      </c>
      <c r="J1919" s="78">
        <f>IF('3mB'!B19&lt;&gt;"",'3mB'!J19,"")</f>
        <v/>
      </c>
    </row>
    <row r="1920" ht="15.75" customHeight="1" s="52">
      <c r="A1920" s="92">
        <f>IF('3mB'!B20&lt;&gt;"","3mB","")</f>
        <v/>
      </c>
      <c r="B1920" s="82">
        <f>IF('3mB'!B20&lt;&gt;"",'3mB'!B20,"")</f>
        <v/>
      </c>
      <c r="C1920" s="82">
        <f>IF('3mB'!B20&lt;&gt;"",'3mB'!C20,"")</f>
        <v/>
      </c>
      <c r="D1920" s="82">
        <f>IF('3mB'!B20&lt;&gt;"",'3mB'!D20,"")</f>
        <v/>
      </c>
      <c r="E1920" s="82">
        <f>IF('3mB'!B20&lt;&gt;"",'3mB'!E20,"")</f>
        <v/>
      </c>
      <c r="F1920" s="82">
        <f>IF('3mB'!B20&lt;&gt;"",'3mB'!F20,"")</f>
        <v/>
      </c>
      <c r="G1920" s="82">
        <f>IF('3mB'!B20&lt;&gt;"",'3mB'!G20,"")</f>
        <v/>
      </c>
      <c r="H1920" s="92">
        <f>IF('3mB'!B20&lt;&gt;"",'3mB'!H20,"")</f>
        <v/>
      </c>
      <c r="I1920" s="92">
        <f>IF('3mB'!B20&lt;&gt;"",'3mB'!I20,"")</f>
        <v/>
      </c>
      <c r="J1920" s="82">
        <f>IF('3mB'!B20&lt;&gt;"",'3mB'!J20,"")</f>
        <v/>
      </c>
    </row>
    <row r="1921" ht="15.75" customHeight="1" s="52">
      <c r="A1921" s="97">
        <f>IF('3mB'!B21&lt;&gt;"","3mB","")</f>
        <v/>
      </c>
      <c r="B1921" s="78">
        <f>IF('3mB'!B21&lt;&gt;"",'3mB'!B21,"")</f>
        <v/>
      </c>
      <c r="C1921" s="78">
        <f>IF('3mB'!B21&lt;&gt;"",'3mB'!C21,"")</f>
        <v/>
      </c>
      <c r="D1921" s="78">
        <f>IF('3mB'!B21&lt;&gt;"",'3mB'!D21,"")</f>
        <v/>
      </c>
      <c r="E1921" s="78">
        <f>IF('3mB'!B21&lt;&gt;"",'3mB'!E21,"")</f>
        <v/>
      </c>
      <c r="F1921" s="78">
        <f>IF('3mB'!B21&lt;&gt;"",'3mB'!F21,"")</f>
        <v/>
      </c>
      <c r="G1921" s="78">
        <f>IF('3mB'!B21&lt;&gt;"",'3mB'!G21,"")</f>
        <v/>
      </c>
      <c r="H1921" s="97">
        <f>IF('3mB'!B21&lt;&gt;"",'3mB'!H21,"")</f>
        <v/>
      </c>
      <c r="I1921" s="97">
        <f>IF('3mB'!B21&lt;&gt;"",'3mB'!I21,"")</f>
        <v/>
      </c>
      <c r="J1921" s="78">
        <f>IF('3mB'!B21&lt;&gt;"",'3mB'!J21,"")</f>
        <v/>
      </c>
    </row>
    <row r="1922" ht="15.75" customHeight="1" s="52">
      <c r="A1922" s="92">
        <f>IF('3mB'!B22&lt;&gt;"","3mB","")</f>
        <v/>
      </c>
      <c r="B1922" s="82">
        <f>IF('3mB'!B22&lt;&gt;"",'3mB'!B22,"")</f>
        <v/>
      </c>
      <c r="C1922" s="82">
        <f>IF('3mB'!B22&lt;&gt;"",'3mB'!C22,"")</f>
        <v/>
      </c>
      <c r="D1922" s="82">
        <f>IF('3mB'!B22&lt;&gt;"",'3mB'!D22,"")</f>
        <v/>
      </c>
      <c r="E1922" s="82">
        <f>IF('3mB'!B22&lt;&gt;"",'3mB'!E22,"")</f>
        <v/>
      </c>
      <c r="F1922" s="82">
        <f>IF('3mB'!B22&lt;&gt;"",'3mB'!F22,"")</f>
        <v/>
      </c>
      <c r="G1922" s="82">
        <f>IF('3mB'!B22&lt;&gt;"",'3mB'!G22,"")</f>
        <v/>
      </c>
      <c r="H1922" s="92">
        <f>IF('3mB'!B22&lt;&gt;"",'3mB'!H22,"")</f>
        <v/>
      </c>
      <c r="I1922" s="92">
        <f>IF('3mB'!B22&lt;&gt;"",'3mB'!I22,"")</f>
        <v/>
      </c>
      <c r="J1922" s="82">
        <f>IF('3mB'!B22&lt;&gt;"",'3mB'!J22,"")</f>
        <v/>
      </c>
    </row>
    <row r="1923" ht="15.75" customHeight="1" s="52">
      <c r="A1923" s="97">
        <f>IF('3mB'!B23&lt;&gt;"","3mB","")</f>
        <v/>
      </c>
      <c r="B1923" s="78">
        <f>IF('3mB'!B23&lt;&gt;"",'3mB'!B23,"")</f>
        <v/>
      </c>
      <c r="C1923" s="78">
        <f>IF('3mB'!B23&lt;&gt;"",'3mB'!C23,"")</f>
        <v/>
      </c>
      <c r="D1923" s="78">
        <f>IF('3mB'!B23&lt;&gt;"",'3mB'!D23,"")</f>
        <v/>
      </c>
      <c r="E1923" s="78">
        <f>IF('3mB'!B23&lt;&gt;"",'3mB'!E23,"")</f>
        <v/>
      </c>
      <c r="F1923" s="78">
        <f>IF('3mB'!B23&lt;&gt;"",'3mB'!F23,"")</f>
        <v/>
      </c>
      <c r="G1923" s="78">
        <f>IF('3mB'!B23&lt;&gt;"",'3mB'!G23,"")</f>
        <v/>
      </c>
      <c r="H1923" s="97">
        <f>IF('3mB'!B23&lt;&gt;"",'3mB'!H23,"")</f>
        <v/>
      </c>
      <c r="I1923" s="97">
        <f>IF('3mB'!B23&lt;&gt;"",'3mB'!I23,"")</f>
        <v/>
      </c>
      <c r="J1923" s="78">
        <f>IF('3mB'!B23&lt;&gt;"",'3mB'!J23,"")</f>
        <v/>
      </c>
    </row>
    <row r="1924" ht="15.75" customHeight="1" s="52">
      <c r="A1924" s="92">
        <f>IF('3mB'!B24&lt;&gt;"","3mB","")</f>
        <v/>
      </c>
      <c r="B1924" s="82">
        <f>IF('3mB'!B24&lt;&gt;"",'3mB'!B24,"")</f>
        <v/>
      </c>
      <c r="C1924" s="82">
        <f>IF('3mB'!B24&lt;&gt;"",'3mB'!C24,"")</f>
        <v/>
      </c>
      <c r="D1924" s="82">
        <f>IF('3mB'!B24&lt;&gt;"",'3mB'!D24,"")</f>
        <v/>
      </c>
      <c r="E1924" s="82">
        <f>IF('3mB'!B24&lt;&gt;"",'3mB'!E24,"")</f>
        <v/>
      </c>
      <c r="F1924" s="82">
        <f>IF('3mB'!B24&lt;&gt;"",'3mB'!F24,"")</f>
        <v/>
      </c>
      <c r="G1924" s="82">
        <f>IF('3mB'!B24&lt;&gt;"",'3mB'!G24,"")</f>
        <v/>
      </c>
      <c r="H1924" s="92">
        <f>IF('3mB'!B24&lt;&gt;"",'3mB'!H24,"")</f>
        <v/>
      </c>
      <c r="I1924" s="92">
        <f>IF('3mB'!B24&lt;&gt;"",'3mB'!I24,"")</f>
        <v/>
      </c>
      <c r="J1924" s="82">
        <f>IF('3mB'!B24&lt;&gt;"",'3mB'!J24,"")</f>
        <v/>
      </c>
    </row>
    <row r="1925" ht="15.75" customHeight="1" s="52">
      <c r="A1925" s="97">
        <f>IF('3mB'!B25&lt;&gt;"","3mB","")</f>
        <v/>
      </c>
      <c r="B1925" s="78">
        <f>IF('3mB'!B25&lt;&gt;"",'3mB'!B25,"")</f>
        <v/>
      </c>
      <c r="C1925" s="78">
        <f>IF('3mB'!B25&lt;&gt;"",'3mB'!C25,"")</f>
        <v/>
      </c>
      <c r="D1925" s="78">
        <f>IF('3mB'!B25&lt;&gt;"",'3mB'!D25,"")</f>
        <v/>
      </c>
      <c r="E1925" s="78">
        <f>IF('3mB'!B25&lt;&gt;"",'3mB'!E25,"")</f>
        <v/>
      </c>
      <c r="F1925" s="78">
        <f>IF('3mB'!B25&lt;&gt;"",'3mB'!F25,"")</f>
        <v/>
      </c>
      <c r="G1925" s="78">
        <f>IF('3mB'!B25&lt;&gt;"",'3mB'!G25,"")</f>
        <v/>
      </c>
      <c r="H1925" s="97">
        <f>IF('3mB'!B25&lt;&gt;"",'3mB'!H25,"")</f>
        <v/>
      </c>
      <c r="I1925" s="97">
        <f>IF('3mB'!B25&lt;&gt;"",'3mB'!I25,"")</f>
        <v/>
      </c>
      <c r="J1925" s="78">
        <f>IF('3mB'!B25&lt;&gt;"",'3mB'!J25,"")</f>
        <v/>
      </c>
    </row>
    <row r="1926" ht="15.75" customHeight="1" s="52">
      <c r="A1926" s="92">
        <f>IF('3mB'!B26&lt;&gt;"","3mB","")</f>
        <v/>
      </c>
      <c r="B1926" s="82">
        <f>IF('3mB'!B26&lt;&gt;"",'3mB'!B26,"")</f>
        <v/>
      </c>
      <c r="C1926" s="82">
        <f>IF('3mB'!B26&lt;&gt;"",'3mB'!C26,"")</f>
        <v/>
      </c>
      <c r="D1926" s="82">
        <f>IF('3mB'!B26&lt;&gt;"",'3mB'!D26,"")</f>
        <v/>
      </c>
      <c r="E1926" s="82">
        <f>IF('3mB'!B26&lt;&gt;"",'3mB'!E26,"")</f>
        <v/>
      </c>
      <c r="F1926" s="82">
        <f>IF('3mB'!B26&lt;&gt;"",'3mB'!F26,"")</f>
        <v/>
      </c>
      <c r="G1926" s="82">
        <f>IF('3mB'!B26&lt;&gt;"",'3mB'!G26,"")</f>
        <v/>
      </c>
      <c r="H1926" s="92">
        <f>IF('3mB'!B26&lt;&gt;"",'3mB'!H26,"")</f>
        <v/>
      </c>
      <c r="I1926" s="92">
        <f>IF('3mB'!B26&lt;&gt;"",'3mB'!I26,"")</f>
        <v/>
      </c>
      <c r="J1926" s="82">
        <f>IF('3mB'!B26&lt;&gt;"",'3mB'!J26,"")</f>
        <v/>
      </c>
    </row>
    <row r="1927" ht="15.75" customHeight="1" s="52">
      <c r="A1927" s="97">
        <f>IF('3mB'!B27&lt;&gt;"","3mB","")</f>
        <v/>
      </c>
      <c r="B1927" s="78">
        <f>IF('3mB'!B27&lt;&gt;"",'3mB'!B27,"")</f>
        <v/>
      </c>
      <c r="C1927" s="78">
        <f>IF('3mB'!B27&lt;&gt;"",'3mB'!C27,"")</f>
        <v/>
      </c>
      <c r="D1927" s="78">
        <f>IF('3mB'!B27&lt;&gt;"",'3mB'!D27,"")</f>
        <v/>
      </c>
      <c r="E1927" s="78">
        <f>IF('3mB'!B27&lt;&gt;"",'3mB'!E27,"")</f>
        <v/>
      </c>
      <c r="F1927" s="78">
        <f>IF('3mB'!B27&lt;&gt;"",'3mB'!F27,"")</f>
        <v/>
      </c>
      <c r="G1927" s="78">
        <f>IF('3mB'!B27&lt;&gt;"",'3mB'!G27,"")</f>
        <v/>
      </c>
      <c r="H1927" s="97">
        <f>IF('3mB'!B27&lt;&gt;"",'3mB'!H27,"")</f>
        <v/>
      </c>
      <c r="I1927" s="97">
        <f>IF('3mB'!B27&lt;&gt;"",'3mB'!I27,"")</f>
        <v/>
      </c>
      <c r="J1927" s="78">
        <f>IF('3mB'!B27&lt;&gt;"",'3mB'!J27,"")</f>
        <v/>
      </c>
    </row>
    <row r="1928" ht="15.75" customHeight="1" s="52">
      <c r="A1928" s="92">
        <f>IF('3mB'!B28&lt;&gt;"","3mB","")</f>
        <v/>
      </c>
      <c r="B1928" s="82">
        <f>IF('3mB'!B28&lt;&gt;"",'3mB'!B28,"")</f>
        <v/>
      </c>
      <c r="C1928" s="82">
        <f>IF('3mB'!B28&lt;&gt;"",'3mB'!C28,"")</f>
        <v/>
      </c>
      <c r="D1928" s="82">
        <f>IF('3mB'!B28&lt;&gt;"",'3mB'!D28,"")</f>
        <v/>
      </c>
      <c r="E1928" s="82">
        <f>IF('3mB'!B28&lt;&gt;"",'3mB'!E28,"")</f>
        <v/>
      </c>
      <c r="F1928" s="82">
        <f>IF('3mB'!B28&lt;&gt;"",'3mB'!F28,"")</f>
        <v/>
      </c>
      <c r="G1928" s="82">
        <f>IF('3mB'!B28&lt;&gt;"",'3mB'!G28,"")</f>
        <v/>
      </c>
      <c r="H1928" s="92">
        <f>IF('3mB'!B28&lt;&gt;"",'3mB'!H28,"")</f>
        <v/>
      </c>
      <c r="I1928" s="92">
        <f>IF('3mB'!B28&lt;&gt;"",'3mB'!I28,"")</f>
        <v/>
      </c>
      <c r="J1928" s="82">
        <f>IF('3mB'!B28&lt;&gt;"",'3mB'!J28,"")</f>
        <v/>
      </c>
    </row>
    <row r="1929" ht="15.75" customHeight="1" s="52">
      <c r="A1929" s="97">
        <f>IF('3mB'!B29&lt;&gt;"","3mB","")</f>
        <v/>
      </c>
      <c r="B1929" s="78">
        <f>IF('3mB'!B29&lt;&gt;"",'3mB'!B29,"")</f>
        <v/>
      </c>
      <c r="C1929" s="78">
        <f>IF('3mB'!B29&lt;&gt;"",'3mB'!C29,"")</f>
        <v/>
      </c>
      <c r="D1929" s="78">
        <f>IF('3mB'!B29&lt;&gt;"",'3mB'!D29,"")</f>
        <v/>
      </c>
      <c r="E1929" s="78">
        <f>IF('3mB'!B29&lt;&gt;"",'3mB'!E29,"")</f>
        <v/>
      </c>
      <c r="F1929" s="78">
        <f>IF('3mB'!B29&lt;&gt;"",'3mB'!F29,"")</f>
        <v/>
      </c>
      <c r="G1929" s="78">
        <f>IF('3mB'!B29&lt;&gt;"",'3mB'!G29,"")</f>
        <v/>
      </c>
      <c r="H1929" s="97">
        <f>IF('3mB'!B29&lt;&gt;"",'3mB'!H29,"")</f>
        <v/>
      </c>
      <c r="I1929" s="97">
        <f>IF('3mB'!B29&lt;&gt;"",'3mB'!I29,"")</f>
        <v/>
      </c>
      <c r="J1929" s="78">
        <f>IF('3mB'!B29&lt;&gt;"",'3mB'!J29,"")</f>
        <v/>
      </c>
    </row>
    <row r="1930" ht="15.75" customHeight="1" s="52">
      <c r="A1930" s="92">
        <f>IF('3mB'!B30&lt;&gt;"","3mB","")</f>
        <v/>
      </c>
      <c r="B1930" s="82">
        <f>IF('3mB'!B30&lt;&gt;"",'3mB'!B30,"")</f>
        <v/>
      </c>
      <c r="C1930" s="82">
        <f>IF('3mB'!B30&lt;&gt;"",'3mB'!C30,"")</f>
        <v/>
      </c>
      <c r="D1930" s="82">
        <f>IF('3mB'!B30&lt;&gt;"",'3mB'!D30,"")</f>
        <v/>
      </c>
      <c r="E1930" s="82">
        <f>IF('3mB'!B30&lt;&gt;"",'3mB'!E30,"")</f>
        <v/>
      </c>
      <c r="F1930" s="82">
        <f>IF('3mB'!B30&lt;&gt;"",'3mB'!F30,"")</f>
        <v/>
      </c>
      <c r="G1930" s="82">
        <f>IF('3mB'!B30&lt;&gt;"",'3mB'!G30,"")</f>
        <v/>
      </c>
      <c r="H1930" s="92">
        <f>IF('3mB'!B30&lt;&gt;"",'3mB'!H30,"")</f>
        <v/>
      </c>
      <c r="I1930" s="92">
        <f>IF('3mB'!B30&lt;&gt;"",'3mB'!I30,"")</f>
        <v/>
      </c>
      <c r="J1930" s="82">
        <f>IF('3mB'!B30&lt;&gt;"",'3mB'!J30,"")</f>
        <v/>
      </c>
    </row>
    <row r="1931" ht="15.75" customHeight="1" s="52">
      <c r="A1931" s="97">
        <f>IF('3mB'!B31&lt;&gt;"","3mB","")</f>
        <v/>
      </c>
      <c r="B1931" s="78">
        <f>IF('3mB'!B31&lt;&gt;"",'3mB'!B31,"")</f>
        <v/>
      </c>
      <c r="C1931" s="78">
        <f>IF('3mB'!B31&lt;&gt;"",'3mB'!C31,"")</f>
        <v/>
      </c>
      <c r="D1931" s="78">
        <f>IF('3mB'!B31&lt;&gt;"",'3mB'!D31,"")</f>
        <v/>
      </c>
      <c r="E1931" s="78">
        <f>IF('3mB'!B31&lt;&gt;"",'3mB'!E31,"")</f>
        <v/>
      </c>
      <c r="F1931" s="78">
        <f>IF('3mB'!B31&lt;&gt;"",'3mB'!F31,"")</f>
        <v/>
      </c>
      <c r="G1931" s="78">
        <f>IF('3mB'!B31&lt;&gt;"",'3mB'!G31,"")</f>
        <v/>
      </c>
      <c r="H1931" s="97">
        <f>IF('3mB'!B31&lt;&gt;"",'3mB'!H31,"")</f>
        <v/>
      </c>
      <c r="I1931" s="97">
        <f>IF('3mB'!B31&lt;&gt;"",'3mB'!I31,"")</f>
        <v/>
      </c>
      <c r="J1931" s="78">
        <f>IF('3mB'!B31&lt;&gt;"",'3mB'!J31,"")</f>
        <v/>
      </c>
    </row>
    <row r="1932" ht="15.75" customHeight="1" s="52">
      <c r="A1932" s="92">
        <f>IF('3mB'!B32&lt;&gt;"","3mB","")</f>
        <v/>
      </c>
      <c r="B1932" s="82">
        <f>IF('3mB'!B32&lt;&gt;"",'3mB'!B32,"")</f>
        <v/>
      </c>
      <c r="C1932" s="82">
        <f>IF('3mB'!B32&lt;&gt;"",'3mB'!C32,"")</f>
        <v/>
      </c>
      <c r="D1932" s="82">
        <f>IF('3mB'!B32&lt;&gt;"",'3mB'!D32,"")</f>
        <v/>
      </c>
      <c r="E1932" s="82">
        <f>IF('3mB'!B32&lt;&gt;"",'3mB'!E32,"")</f>
        <v/>
      </c>
      <c r="F1932" s="82">
        <f>IF('3mB'!B32&lt;&gt;"",'3mB'!F32,"")</f>
        <v/>
      </c>
      <c r="G1932" s="82">
        <f>IF('3mB'!B32&lt;&gt;"",'3mB'!G32,"")</f>
        <v/>
      </c>
      <c r="H1932" s="92">
        <f>IF('3mB'!B32&lt;&gt;"",'3mB'!H32,"")</f>
        <v/>
      </c>
      <c r="I1932" s="92">
        <f>IF('3mB'!B32&lt;&gt;"",'3mB'!I32,"")</f>
        <v/>
      </c>
      <c r="J1932" s="82">
        <f>IF('3mB'!B32&lt;&gt;"",'3mB'!J32,"")</f>
        <v/>
      </c>
    </row>
    <row r="1933" ht="15.75" customHeight="1" s="52">
      <c r="A1933" s="97">
        <f>IF('3mB'!B33&lt;&gt;"","3mB","")</f>
        <v/>
      </c>
      <c r="B1933" s="78">
        <f>IF('3mB'!B33&lt;&gt;"",'3mB'!B33,"")</f>
        <v/>
      </c>
      <c r="C1933" s="78">
        <f>IF('3mB'!B33&lt;&gt;"",'3mB'!C33,"")</f>
        <v/>
      </c>
      <c r="D1933" s="78">
        <f>IF('3mB'!B33&lt;&gt;"",'3mB'!D33,"")</f>
        <v/>
      </c>
      <c r="E1933" s="78">
        <f>IF('3mB'!B33&lt;&gt;"",'3mB'!E33,"")</f>
        <v/>
      </c>
      <c r="F1933" s="78">
        <f>IF('3mB'!B33&lt;&gt;"",'3mB'!F33,"")</f>
        <v/>
      </c>
      <c r="G1933" s="78">
        <f>IF('3mB'!B33&lt;&gt;"",'3mB'!G33,"")</f>
        <v/>
      </c>
      <c r="H1933" s="97">
        <f>IF('3mB'!B33&lt;&gt;"",'3mB'!H33,"")</f>
        <v/>
      </c>
      <c r="I1933" s="97">
        <f>IF('3mB'!B33&lt;&gt;"",'3mB'!I33,"")</f>
        <v/>
      </c>
      <c r="J1933" s="78">
        <f>IF('3mB'!B33&lt;&gt;"",'3mB'!J33,"")</f>
        <v/>
      </c>
    </row>
    <row r="1934" ht="15.75" customHeight="1" s="52">
      <c r="A1934" s="92">
        <f>IF('3mB'!B34&lt;&gt;"","3mB","")</f>
        <v/>
      </c>
      <c r="B1934" s="82">
        <f>IF('3mB'!B34&lt;&gt;"",'3mB'!B34,"")</f>
        <v/>
      </c>
      <c r="C1934" s="82">
        <f>IF('3mB'!B34&lt;&gt;"",'3mB'!C34,"")</f>
        <v/>
      </c>
      <c r="D1934" s="82">
        <f>IF('3mB'!B34&lt;&gt;"",'3mB'!D34,"")</f>
        <v/>
      </c>
      <c r="E1934" s="82">
        <f>IF('3mB'!B34&lt;&gt;"",'3mB'!E34,"")</f>
        <v/>
      </c>
      <c r="F1934" s="82">
        <f>IF('3mB'!B34&lt;&gt;"",'3mB'!F34,"")</f>
        <v/>
      </c>
      <c r="G1934" s="82">
        <f>IF('3mB'!B34&lt;&gt;"",'3mB'!G34,"")</f>
        <v/>
      </c>
      <c r="H1934" s="92">
        <f>IF('3mB'!B34&lt;&gt;"",'3mB'!H34,"")</f>
        <v/>
      </c>
      <c r="I1934" s="92">
        <f>IF('3mB'!B34&lt;&gt;"",'3mB'!I34,"")</f>
        <v/>
      </c>
      <c r="J1934" s="82">
        <f>IF('3mB'!B34&lt;&gt;"",'3mB'!J34,"")</f>
        <v/>
      </c>
    </row>
    <row r="1935" ht="15.75" customHeight="1" s="52">
      <c r="A1935" s="97">
        <f>IF('3mB'!B35&lt;&gt;"","3mB","")</f>
        <v/>
      </c>
      <c r="B1935" s="78">
        <f>IF('3mB'!B35&lt;&gt;"",'3mB'!B35,"")</f>
        <v/>
      </c>
      <c r="C1935" s="78">
        <f>IF('3mB'!B35&lt;&gt;"",'3mB'!C35,"")</f>
        <v/>
      </c>
      <c r="D1935" s="78">
        <f>IF('3mB'!B35&lt;&gt;"",'3mB'!D35,"")</f>
        <v/>
      </c>
      <c r="E1935" s="78">
        <f>IF('3mB'!B35&lt;&gt;"",'3mB'!E35,"")</f>
        <v/>
      </c>
      <c r="F1935" s="78">
        <f>IF('3mB'!B35&lt;&gt;"",'3mB'!F35,"")</f>
        <v/>
      </c>
      <c r="G1935" s="78">
        <f>IF('3mB'!B35&lt;&gt;"",'3mB'!G35,"")</f>
        <v/>
      </c>
      <c r="H1935" s="97">
        <f>IF('3mB'!B35&lt;&gt;"",'3mB'!H35,"")</f>
        <v/>
      </c>
      <c r="I1935" s="97">
        <f>IF('3mB'!B35&lt;&gt;"",'3mB'!I35,"")</f>
        <v/>
      </c>
      <c r="J1935" s="78">
        <f>IF('3mB'!B35&lt;&gt;"",'3mB'!J35,"")</f>
        <v/>
      </c>
    </row>
    <row r="1936" ht="15.75" customHeight="1" s="52">
      <c r="A1936" s="92">
        <f>IF('3mB'!B36&lt;&gt;"","3mB","")</f>
        <v/>
      </c>
      <c r="B1936" s="82">
        <f>IF('3mB'!B36&lt;&gt;"",'3mB'!B36,"")</f>
        <v/>
      </c>
      <c r="C1936" s="82">
        <f>IF('3mB'!B36&lt;&gt;"",'3mB'!C36,"")</f>
        <v/>
      </c>
      <c r="D1936" s="82">
        <f>IF('3mB'!B36&lt;&gt;"",'3mB'!D36,"")</f>
        <v/>
      </c>
      <c r="E1936" s="82">
        <f>IF('3mB'!B36&lt;&gt;"",'3mB'!E36,"")</f>
        <v/>
      </c>
      <c r="F1936" s="82">
        <f>IF('3mB'!B36&lt;&gt;"",'3mB'!F36,"")</f>
        <v/>
      </c>
      <c r="G1936" s="82">
        <f>IF('3mB'!B36&lt;&gt;"",'3mB'!G36,"")</f>
        <v/>
      </c>
      <c r="H1936" s="92">
        <f>IF('3mB'!B36&lt;&gt;"",'3mB'!H36,"")</f>
        <v/>
      </c>
      <c r="I1936" s="92">
        <f>IF('3mB'!B36&lt;&gt;"",'3mB'!I36,"")</f>
        <v/>
      </c>
      <c r="J1936" s="82">
        <f>IF('3mB'!B36&lt;&gt;"",'3mB'!J36,"")</f>
        <v/>
      </c>
    </row>
    <row r="1937" ht="15.75" customHeight="1" s="52">
      <c r="A1937" s="97">
        <f>IF('3mB'!B37&lt;&gt;"","3mB","")</f>
        <v/>
      </c>
      <c r="B1937" s="78">
        <f>IF('3mB'!B37&lt;&gt;"",'3mB'!B37,"")</f>
        <v/>
      </c>
      <c r="C1937" s="78">
        <f>IF('3mB'!B37&lt;&gt;"",'3mB'!C37,"")</f>
        <v/>
      </c>
      <c r="D1937" s="78">
        <f>IF('3mB'!B37&lt;&gt;"",'3mB'!D37,"")</f>
        <v/>
      </c>
      <c r="E1937" s="78">
        <f>IF('3mB'!B37&lt;&gt;"",'3mB'!E37,"")</f>
        <v/>
      </c>
      <c r="F1937" s="78">
        <f>IF('3mB'!B37&lt;&gt;"",'3mB'!F37,"")</f>
        <v/>
      </c>
      <c r="G1937" s="78">
        <f>IF('3mB'!B37&lt;&gt;"",'3mB'!G37,"")</f>
        <v/>
      </c>
      <c r="H1937" s="97">
        <f>IF('3mB'!B37&lt;&gt;"",'3mB'!H37,"")</f>
        <v/>
      </c>
      <c r="I1937" s="97">
        <f>IF('3mB'!B37&lt;&gt;"",'3mB'!I37,"")</f>
        <v/>
      </c>
      <c r="J1937" s="78">
        <f>IF('3mB'!B37&lt;&gt;"",'3mB'!J37,"")</f>
        <v/>
      </c>
    </row>
    <row r="1938" ht="15.75" customHeight="1" s="52">
      <c r="A1938" s="92">
        <f>IF('3mB'!B38&lt;&gt;"","3mB","")</f>
        <v/>
      </c>
      <c r="B1938" s="82">
        <f>IF('3mB'!B38&lt;&gt;"",'3mB'!B38,"")</f>
        <v/>
      </c>
      <c r="C1938" s="82">
        <f>IF('3mB'!B38&lt;&gt;"",'3mB'!C38,"")</f>
        <v/>
      </c>
      <c r="D1938" s="82">
        <f>IF('3mB'!B38&lt;&gt;"",'3mB'!D38,"")</f>
        <v/>
      </c>
      <c r="E1938" s="82">
        <f>IF('3mB'!B38&lt;&gt;"",'3mB'!E38,"")</f>
        <v/>
      </c>
      <c r="F1938" s="82">
        <f>IF('3mB'!B38&lt;&gt;"",'3mB'!F38,"")</f>
        <v/>
      </c>
      <c r="G1938" s="82">
        <f>IF('3mB'!B38&lt;&gt;"",'3mB'!G38,"")</f>
        <v/>
      </c>
      <c r="H1938" s="92">
        <f>IF('3mB'!B38&lt;&gt;"",'3mB'!H38,"")</f>
        <v/>
      </c>
      <c r="I1938" s="92">
        <f>IF('3mB'!B38&lt;&gt;"",'3mB'!I38,"")</f>
        <v/>
      </c>
      <c r="J1938" s="82">
        <f>IF('3mB'!B38&lt;&gt;"",'3mB'!J38,"")</f>
        <v/>
      </c>
    </row>
    <row r="1939" ht="15.75" customHeight="1" s="52">
      <c r="A1939" s="97">
        <f>IF('3mB'!B39&lt;&gt;"","3mB","")</f>
        <v/>
      </c>
      <c r="B1939" s="78">
        <f>IF('3mB'!B39&lt;&gt;"",'3mB'!B39,"")</f>
        <v/>
      </c>
      <c r="C1939" s="78">
        <f>IF('3mB'!B39&lt;&gt;"",'3mB'!C39,"")</f>
        <v/>
      </c>
      <c r="D1939" s="78">
        <f>IF('3mB'!B39&lt;&gt;"",'3mB'!D39,"")</f>
        <v/>
      </c>
      <c r="E1939" s="78">
        <f>IF('3mB'!B39&lt;&gt;"",'3mB'!E39,"")</f>
        <v/>
      </c>
      <c r="F1939" s="78">
        <f>IF('3mB'!B39&lt;&gt;"",'3mB'!F39,"")</f>
        <v/>
      </c>
      <c r="G1939" s="78">
        <f>IF('3mB'!B39&lt;&gt;"",'3mB'!G39,"")</f>
        <v/>
      </c>
      <c r="H1939" s="97">
        <f>IF('3mB'!B39&lt;&gt;"",'3mB'!H39,"")</f>
        <v/>
      </c>
      <c r="I1939" s="97">
        <f>IF('3mB'!B39&lt;&gt;"",'3mB'!I39,"")</f>
        <v/>
      </c>
      <c r="J1939" s="78">
        <f>IF('3mB'!B39&lt;&gt;"",'3mB'!J39,"")</f>
        <v/>
      </c>
    </row>
    <row r="1940" ht="15.75" customHeight="1" s="52">
      <c r="A1940" s="92">
        <f>IF('3mB'!B40&lt;&gt;"","3mB","")</f>
        <v/>
      </c>
      <c r="B1940" s="82">
        <f>IF('3mB'!B40&lt;&gt;"",'3mB'!B40,"")</f>
        <v/>
      </c>
      <c r="C1940" s="82">
        <f>IF('3mB'!B40&lt;&gt;"",'3mB'!C40,"")</f>
        <v/>
      </c>
      <c r="D1940" s="82">
        <f>IF('3mB'!B40&lt;&gt;"",'3mB'!D40,"")</f>
        <v/>
      </c>
      <c r="E1940" s="82">
        <f>IF('3mB'!B40&lt;&gt;"",'3mB'!E40,"")</f>
        <v/>
      </c>
      <c r="F1940" s="82">
        <f>IF('3mB'!B40&lt;&gt;"",'3mB'!F40,"")</f>
        <v/>
      </c>
      <c r="G1940" s="82">
        <f>IF('3mB'!B40&lt;&gt;"",'3mB'!G40,"")</f>
        <v/>
      </c>
      <c r="H1940" s="92">
        <f>IF('3mB'!B40&lt;&gt;"",'3mB'!H40,"")</f>
        <v/>
      </c>
      <c r="I1940" s="92">
        <f>IF('3mB'!B40&lt;&gt;"",'3mB'!I40,"")</f>
        <v/>
      </c>
      <c r="J1940" s="82">
        <f>IF('3mB'!B40&lt;&gt;"",'3mB'!J40,"")</f>
        <v/>
      </c>
    </row>
    <row r="1941" ht="15.75" customHeight="1" s="52">
      <c r="A1941" s="97">
        <f>IF('3mB'!B41&lt;&gt;"","3mB","")</f>
        <v/>
      </c>
      <c r="B1941" s="78">
        <f>IF('3mB'!B41&lt;&gt;"",'3mB'!B41,"")</f>
        <v/>
      </c>
      <c r="C1941" s="78">
        <f>IF('3mB'!B41&lt;&gt;"",'3mB'!C41,"")</f>
        <v/>
      </c>
      <c r="D1941" s="78">
        <f>IF('3mB'!B41&lt;&gt;"",'3mB'!D41,"")</f>
        <v/>
      </c>
      <c r="E1941" s="78">
        <f>IF('3mB'!B41&lt;&gt;"",'3mB'!E41,"")</f>
        <v/>
      </c>
      <c r="F1941" s="78">
        <f>IF('3mB'!B41&lt;&gt;"",'3mB'!F41,"")</f>
        <v/>
      </c>
      <c r="G1941" s="78">
        <f>IF('3mB'!B41&lt;&gt;"",'3mB'!G41,"")</f>
        <v/>
      </c>
      <c r="H1941" s="97">
        <f>IF('3mB'!B41&lt;&gt;"",'3mB'!H41,"")</f>
        <v/>
      </c>
      <c r="I1941" s="97">
        <f>IF('3mB'!B41&lt;&gt;"",'3mB'!I41,"")</f>
        <v/>
      </c>
      <c r="J1941" s="78">
        <f>IF('3mB'!B41&lt;&gt;"",'3mB'!J41,"")</f>
        <v/>
      </c>
    </row>
    <row r="1942" ht="15.75" customHeight="1" s="52">
      <c r="A1942" s="92">
        <f>IF('3mB'!B42&lt;&gt;"","3mB","")</f>
        <v/>
      </c>
      <c r="B1942" s="82">
        <f>IF('3mB'!B42&lt;&gt;"",'3mB'!B42,"")</f>
        <v/>
      </c>
      <c r="C1942" s="82">
        <f>IF('3mB'!B42&lt;&gt;"",'3mB'!C42,"")</f>
        <v/>
      </c>
      <c r="D1942" s="82">
        <f>IF('3mB'!B42&lt;&gt;"",'3mB'!D42,"")</f>
        <v/>
      </c>
      <c r="E1942" s="82">
        <f>IF('3mB'!B42&lt;&gt;"",'3mB'!E42,"")</f>
        <v/>
      </c>
      <c r="F1942" s="82">
        <f>IF('3mB'!B42&lt;&gt;"",'3mB'!F42,"")</f>
        <v/>
      </c>
      <c r="G1942" s="82">
        <f>IF('3mB'!B42&lt;&gt;"",'3mB'!G42,"")</f>
        <v/>
      </c>
      <c r="H1942" s="92">
        <f>IF('3mB'!B42&lt;&gt;"",'3mB'!H42,"")</f>
        <v/>
      </c>
      <c r="I1942" s="92">
        <f>IF('3mB'!B42&lt;&gt;"",'3mB'!I42,"")</f>
        <v/>
      </c>
      <c r="J1942" s="82">
        <f>IF('3mB'!B42&lt;&gt;"",'3mB'!J42,"")</f>
        <v/>
      </c>
    </row>
    <row r="1943" ht="15.75" customHeight="1" s="52">
      <c r="A1943" s="97">
        <f>IF('3mB'!B43&lt;&gt;"","3mB","")</f>
        <v/>
      </c>
      <c r="B1943" s="78">
        <f>IF('3mB'!B43&lt;&gt;"",'3mB'!B43,"")</f>
        <v/>
      </c>
      <c r="C1943" s="78">
        <f>IF('3mB'!B43&lt;&gt;"",'3mB'!C43,"")</f>
        <v/>
      </c>
      <c r="D1943" s="78">
        <f>IF('3mB'!B43&lt;&gt;"",'3mB'!D43,"")</f>
        <v/>
      </c>
      <c r="E1943" s="78">
        <f>IF('3mB'!B43&lt;&gt;"",'3mB'!E43,"")</f>
        <v/>
      </c>
      <c r="F1943" s="78">
        <f>IF('3mB'!B43&lt;&gt;"",'3mB'!F43,"")</f>
        <v/>
      </c>
      <c r="G1943" s="78">
        <f>IF('3mB'!B43&lt;&gt;"",'3mB'!G43,"")</f>
        <v/>
      </c>
      <c r="H1943" s="97">
        <f>IF('3mB'!B43&lt;&gt;"",'3mB'!H43,"")</f>
        <v/>
      </c>
      <c r="I1943" s="97">
        <f>IF('3mB'!B43&lt;&gt;"",'3mB'!I43,"")</f>
        <v/>
      </c>
      <c r="J1943" s="78">
        <f>IF('3mB'!B43&lt;&gt;"",'3mB'!J43,"")</f>
        <v/>
      </c>
    </row>
    <row r="1944" ht="15.75" customHeight="1" s="52">
      <c r="A1944" s="92">
        <f>IF('3mB'!B44&lt;&gt;"","3mB","")</f>
        <v/>
      </c>
      <c r="B1944" s="82">
        <f>IF('3mB'!B44&lt;&gt;"",'3mB'!B44,"")</f>
        <v/>
      </c>
      <c r="C1944" s="82">
        <f>IF('3mB'!B44&lt;&gt;"",'3mB'!C44,"")</f>
        <v/>
      </c>
      <c r="D1944" s="82">
        <f>IF('3mB'!B44&lt;&gt;"",'3mB'!D44,"")</f>
        <v/>
      </c>
      <c r="E1944" s="82">
        <f>IF('3mB'!B44&lt;&gt;"",'3mB'!E44,"")</f>
        <v/>
      </c>
      <c r="F1944" s="82">
        <f>IF('3mB'!B44&lt;&gt;"",'3mB'!F44,"")</f>
        <v/>
      </c>
      <c r="G1944" s="82">
        <f>IF('3mB'!B44&lt;&gt;"",'3mB'!G44,"")</f>
        <v/>
      </c>
      <c r="H1944" s="92">
        <f>IF('3mB'!B44&lt;&gt;"",'3mB'!H44,"")</f>
        <v/>
      </c>
      <c r="I1944" s="92">
        <f>IF('3mB'!B44&lt;&gt;"",'3mB'!I44,"")</f>
        <v/>
      </c>
      <c r="J1944" s="82">
        <f>IF('3mB'!B44&lt;&gt;"",'3mB'!J44,"")</f>
        <v/>
      </c>
    </row>
    <row r="1945" ht="15.75" customHeight="1" s="52">
      <c r="A1945" s="97">
        <f>IF('3mB'!B45&lt;&gt;"","3mB","")</f>
        <v/>
      </c>
      <c r="B1945" s="78">
        <f>IF('3mB'!B45&lt;&gt;"",'3mB'!B45,"")</f>
        <v/>
      </c>
      <c r="C1945" s="78">
        <f>IF('3mB'!B45&lt;&gt;"",'3mB'!C45,"")</f>
        <v/>
      </c>
      <c r="D1945" s="78">
        <f>IF('3mB'!B45&lt;&gt;"",'3mB'!D45,"")</f>
        <v/>
      </c>
      <c r="E1945" s="78">
        <f>IF('3mB'!B45&lt;&gt;"",'3mB'!E45,"")</f>
        <v/>
      </c>
      <c r="F1945" s="78">
        <f>IF('3mB'!B45&lt;&gt;"",'3mB'!F45,"")</f>
        <v/>
      </c>
      <c r="G1945" s="78">
        <f>IF('3mB'!B45&lt;&gt;"",'3mB'!G45,"")</f>
        <v/>
      </c>
      <c r="H1945" s="97">
        <f>IF('3mB'!B45&lt;&gt;"",'3mB'!H45,"")</f>
        <v/>
      </c>
      <c r="I1945" s="97">
        <f>IF('3mB'!B45&lt;&gt;"",'3mB'!I45,"")</f>
        <v/>
      </c>
      <c r="J1945" s="78">
        <f>IF('3mB'!B45&lt;&gt;"",'3mB'!J45,"")</f>
        <v/>
      </c>
    </row>
    <row r="1946" ht="15.75" customHeight="1" s="52">
      <c r="A1946" s="92">
        <f>IF('3mB'!B46&lt;&gt;"","3mB","")</f>
        <v/>
      </c>
      <c r="B1946" s="82">
        <f>IF('3mB'!B46&lt;&gt;"",'3mB'!B46,"")</f>
        <v/>
      </c>
      <c r="C1946" s="82">
        <f>IF('3mB'!B46&lt;&gt;"",'3mB'!C46,"")</f>
        <v/>
      </c>
      <c r="D1946" s="82">
        <f>IF('3mB'!B46&lt;&gt;"",'3mB'!D46,"")</f>
        <v/>
      </c>
      <c r="E1946" s="82">
        <f>IF('3mB'!B46&lt;&gt;"",'3mB'!E46,"")</f>
        <v/>
      </c>
      <c r="F1946" s="82">
        <f>IF('3mB'!B46&lt;&gt;"",'3mB'!F46,"")</f>
        <v/>
      </c>
      <c r="G1946" s="82">
        <f>IF('3mB'!B46&lt;&gt;"",'3mB'!G46,"")</f>
        <v/>
      </c>
      <c r="H1946" s="92">
        <f>IF('3mB'!B46&lt;&gt;"",'3mB'!H46,"")</f>
        <v/>
      </c>
      <c r="I1946" s="92">
        <f>IF('3mB'!B46&lt;&gt;"",'3mB'!I46,"")</f>
        <v/>
      </c>
      <c r="J1946" s="82">
        <f>IF('3mB'!B46&lt;&gt;"",'3mB'!J46,"")</f>
        <v/>
      </c>
    </row>
    <row r="1947" ht="15.75" customHeight="1" s="52">
      <c r="A1947" s="97">
        <f>IF('3mB'!B47&lt;&gt;"","3mB","")</f>
        <v/>
      </c>
      <c r="B1947" s="78">
        <f>IF('3mB'!B47&lt;&gt;"",'3mB'!B47,"")</f>
        <v/>
      </c>
      <c r="C1947" s="78">
        <f>IF('3mB'!B47&lt;&gt;"",'3mB'!C47,"")</f>
        <v/>
      </c>
      <c r="D1947" s="78">
        <f>IF('3mB'!B47&lt;&gt;"",'3mB'!D47,"")</f>
        <v/>
      </c>
      <c r="E1947" s="78">
        <f>IF('3mB'!B47&lt;&gt;"",'3mB'!E47,"")</f>
        <v/>
      </c>
      <c r="F1947" s="78">
        <f>IF('3mB'!B47&lt;&gt;"",'3mB'!F47,"")</f>
        <v/>
      </c>
      <c r="G1947" s="78">
        <f>IF('3mB'!B47&lt;&gt;"",'3mB'!G47,"")</f>
        <v/>
      </c>
      <c r="H1947" s="97">
        <f>IF('3mB'!B47&lt;&gt;"",'3mB'!H47,"")</f>
        <v/>
      </c>
      <c r="I1947" s="97">
        <f>IF('3mB'!B47&lt;&gt;"",'3mB'!I47,"")</f>
        <v/>
      </c>
      <c r="J1947" s="78">
        <f>IF('3mB'!B47&lt;&gt;"",'3mB'!J47,"")</f>
        <v/>
      </c>
    </row>
    <row r="1948" ht="15.75" customHeight="1" s="52">
      <c r="A1948" s="92">
        <f>IF('3mB'!B48&lt;&gt;"","3mB","")</f>
        <v/>
      </c>
      <c r="B1948" s="82">
        <f>IF('3mB'!B48&lt;&gt;"",'3mB'!B48,"")</f>
        <v/>
      </c>
      <c r="C1948" s="82">
        <f>IF('3mB'!B48&lt;&gt;"",'3mB'!C48,"")</f>
        <v/>
      </c>
      <c r="D1948" s="82">
        <f>IF('3mB'!B48&lt;&gt;"",'3mB'!D48,"")</f>
        <v/>
      </c>
      <c r="E1948" s="82">
        <f>IF('3mB'!B48&lt;&gt;"",'3mB'!E48,"")</f>
        <v/>
      </c>
      <c r="F1948" s="82">
        <f>IF('3mB'!B48&lt;&gt;"",'3mB'!F48,"")</f>
        <v/>
      </c>
      <c r="G1948" s="82">
        <f>IF('3mB'!B48&lt;&gt;"",'3mB'!G48,"")</f>
        <v/>
      </c>
      <c r="H1948" s="92">
        <f>IF('3mB'!B48&lt;&gt;"",'3mB'!H48,"")</f>
        <v/>
      </c>
      <c r="I1948" s="92">
        <f>IF('3mB'!B48&lt;&gt;"",'3mB'!I48,"")</f>
        <v/>
      </c>
      <c r="J1948" s="82">
        <f>IF('3mB'!B48&lt;&gt;"",'3mB'!J48,"")</f>
        <v/>
      </c>
    </row>
    <row r="1949" ht="15.75" customHeight="1" s="52">
      <c r="A1949" s="97">
        <f>IF('3mB'!B49&lt;&gt;"","3mB","")</f>
        <v/>
      </c>
      <c r="B1949" s="78">
        <f>IF('3mB'!B49&lt;&gt;"",'3mB'!B49,"")</f>
        <v/>
      </c>
      <c r="C1949" s="78">
        <f>IF('3mB'!B49&lt;&gt;"",'3mB'!C49,"")</f>
        <v/>
      </c>
      <c r="D1949" s="78">
        <f>IF('3mB'!B49&lt;&gt;"",'3mB'!D49,"")</f>
        <v/>
      </c>
      <c r="E1949" s="78">
        <f>IF('3mB'!B49&lt;&gt;"",'3mB'!E49,"")</f>
        <v/>
      </c>
      <c r="F1949" s="78">
        <f>IF('3mB'!B49&lt;&gt;"",'3mB'!F49,"")</f>
        <v/>
      </c>
      <c r="G1949" s="78">
        <f>IF('3mB'!B49&lt;&gt;"",'3mB'!G49,"")</f>
        <v/>
      </c>
      <c r="H1949" s="97">
        <f>IF('3mB'!B49&lt;&gt;"",'3mB'!H49,"")</f>
        <v/>
      </c>
      <c r="I1949" s="97">
        <f>IF('3mB'!B49&lt;&gt;"",'3mB'!I49,"")</f>
        <v/>
      </c>
      <c r="J1949" s="78">
        <f>IF('3mB'!B49&lt;&gt;"",'3mB'!J49,"")</f>
        <v/>
      </c>
    </row>
    <row r="1950" ht="15.75" customHeight="1" s="52">
      <c r="A1950" s="92">
        <f>IF('3mB'!B50&lt;&gt;"","3mB","")</f>
        <v/>
      </c>
      <c r="B1950" s="82">
        <f>IF('3mB'!B50&lt;&gt;"",'3mB'!B50,"")</f>
        <v/>
      </c>
      <c r="C1950" s="82">
        <f>IF('3mB'!B50&lt;&gt;"",'3mB'!C50,"")</f>
        <v/>
      </c>
      <c r="D1950" s="82">
        <f>IF('3mB'!B50&lt;&gt;"",'3mB'!D50,"")</f>
        <v/>
      </c>
      <c r="E1950" s="82">
        <f>IF('3mB'!B50&lt;&gt;"",'3mB'!E50,"")</f>
        <v/>
      </c>
      <c r="F1950" s="82">
        <f>IF('3mB'!B50&lt;&gt;"",'3mB'!F50,"")</f>
        <v/>
      </c>
      <c r="G1950" s="82">
        <f>IF('3mB'!B50&lt;&gt;"",'3mB'!G50,"")</f>
        <v/>
      </c>
      <c r="H1950" s="92">
        <f>IF('3mB'!B50&lt;&gt;"",'3mB'!H50,"")</f>
        <v/>
      </c>
      <c r="I1950" s="92">
        <f>IF('3mB'!B50&lt;&gt;"",'3mB'!I50,"")</f>
        <v/>
      </c>
      <c r="J1950" s="82">
        <f>IF('3mB'!B50&lt;&gt;"",'3mB'!J50,"")</f>
        <v/>
      </c>
    </row>
    <row r="1951" ht="15.75" customHeight="1" s="52">
      <c r="A1951" s="97">
        <f>IF('3mB'!B51&lt;&gt;"","3mB","")</f>
        <v/>
      </c>
      <c r="B1951" s="78">
        <f>IF('3mB'!B51&lt;&gt;"",'3mB'!B51,"")</f>
        <v/>
      </c>
      <c r="C1951" s="78">
        <f>IF('3mB'!B51&lt;&gt;"",'3mB'!C51,"")</f>
        <v/>
      </c>
      <c r="D1951" s="78">
        <f>IF('3mB'!B51&lt;&gt;"",'3mB'!D51,"")</f>
        <v/>
      </c>
      <c r="E1951" s="78">
        <f>IF('3mB'!B51&lt;&gt;"",'3mB'!E51,"")</f>
        <v/>
      </c>
      <c r="F1951" s="78">
        <f>IF('3mB'!B51&lt;&gt;"",'3mB'!F51,"")</f>
        <v/>
      </c>
      <c r="G1951" s="78">
        <f>IF('3mB'!B51&lt;&gt;"",'3mB'!G51,"")</f>
        <v/>
      </c>
      <c r="H1951" s="97">
        <f>IF('3mB'!B51&lt;&gt;"",'3mB'!H51,"")</f>
        <v/>
      </c>
      <c r="I1951" s="97">
        <f>IF('3mB'!B51&lt;&gt;"",'3mB'!I51,"")</f>
        <v/>
      </c>
      <c r="J1951" s="78">
        <f>IF('3mB'!B51&lt;&gt;"",'3mB'!J51,"")</f>
        <v/>
      </c>
    </row>
    <row r="1952" ht="15.75" customHeight="1" s="52">
      <c r="A1952" s="92">
        <f>IF('3mB'!B52&lt;&gt;"","3mB","")</f>
        <v/>
      </c>
      <c r="B1952" s="82">
        <f>IF('3mB'!B52&lt;&gt;"",'3mB'!B52,"")</f>
        <v/>
      </c>
      <c r="C1952" s="82">
        <f>IF('3mB'!B52&lt;&gt;"",'3mB'!C52,"")</f>
        <v/>
      </c>
      <c r="D1952" s="82">
        <f>IF('3mB'!B52&lt;&gt;"",'3mB'!D52,"")</f>
        <v/>
      </c>
      <c r="E1952" s="82">
        <f>IF('3mB'!B52&lt;&gt;"",'3mB'!E52,"")</f>
        <v/>
      </c>
      <c r="F1952" s="82">
        <f>IF('3mB'!B52&lt;&gt;"",'3mB'!F52,"")</f>
        <v/>
      </c>
      <c r="G1952" s="82">
        <f>IF('3mB'!B52&lt;&gt;"",'3mB'!G52,"")</f>
        <v/>
      </c>
      <c r="H1952" s="92">
        <f>IF('3mB'!B52&lt;&gt;"",'3mB'!H52,"")</f>
        <v/>
      </c>
      <c r="I1952" s="92">
        <f>IF('3mB'!B52&lt;&gt;"",'3mB'!I52,"")</f>
        <v/>
      </c>
      <c r="J1952" s="82">
        <f>IF('3mB'!B52&lt;&gt;"",'3mB'!J52,"")</f>
        <v/>
      </c>
    </row>
    <row r="1953" ht="15.75" customHeight="1" s="52">
      <c r="A1953" s="97">
        <f>IF('3mB'!B53&lt;&gt;"","3mB","")</f>
        <v/>
      </c>
      <c r="B1953" s="78">
        <f>IF('3mB'!B53&lt;&gt;"",'3mB'!B53,"")</f>
        <v/>
      </c>
      <c r="C1953" s="78">
        <f>IF('3mB'!B53&lt;&gt;"",'3mB'!C53,"")</f>
        <v/>
      </c>
      <c r="D1953" s="78">
        <f>IF('3mB'!B53&lt;&gt;"",'3mB'!D53,"")</f>
        <v/>
      </c>
      <c r="E1953" s="78">
        <f>IF('3mB'!B53&lt;&gt;"",'3mB'!E53,"")</f>
        <v/>
      </c>
      <c r="F1953" s="78">
        <f>IF('3mB'!B53&lt;&gt;"",'3mB'!F53,"")</f>
        <v/>
      </c>
      <c r="G1953" s="78">
        <f>IF('3mB'!B53&lt;&gt;"",'3mB'!G53,"")</f>
        <v/>
      </c>
      <c r="H1953" s="97">
        <f>IF('3mB'!B53&lt;&gt;"",'3mB'!H53,"")</f>
        <v/>
      </c>
      <c r="I1953" s="97">
        <f>IF('3mB'!B53&lt;&gt;"",'3mB'!I53,"")</f>
        <v/>
      </c>
      <c r="J1953" s="78">
        <f>IF('3mB'!B53&lt;&gt;"",'3mB'!J53,"")</f>
        <v/>
      </c>
    </row>
    <row r="1954" ht="15.75" customHeight="1" s="52">
      <c r="A1954" s="92">
        <f>IF('3mB'!B54&lt;&gt;"","3mB","")</f>
        <v/>
      </c>
      <c r="B1954" s="82">
        <f>IF('3mB'!B54&lt;&gt;"",'3mB'!B54,"")</f>
        <v/>
      </c>
      <c r="C1954" s="82">
        <f>IF('3mB'!B54&lt;&gt;"",'3mB'!C54,"")</f>
        <v/>
      </c>
      <c r="D1954" s="82">
        <f>IF('3mB'!B54&lt;&gt;"",'3mB'!D54,"")</f>
        <v/>
      </c>
      <c r="E1954" s="82">
        <f>IF('3mB'!B54&lt;&gt;"",'3mB'!E54,"")</f>
        <v/>
      </c>
      <c r="F1954" s="82">
        <f>IF('3mB'!B54&lt;&gt;"",'3mB'!F54,"")</f>
        <v/>
      </c>
      <c r="G1954" s="82">
        <f>IF('3mB'!B54&lt;&gt;"",'3mB'!G54,"")</f>
        <v/>
      </c>
      <c r="H1954" s="92">
        <f>IF('3mB'!B54&lt;&gt;"",'3mB'!H54,"")</f>
        <v/>
      </c>
      <c r="I1954" s="92">
        <f>IF('3mB'!B54&lt;&gt;"",'3mB'!I54,"")</f>
        <v/>
      </c>
      <c r="J1954" s="82">
        <f>IF('3mB'!B54&lt;&gt;"",'3mB'!J54,"")</f>
        <v/>
      </c>
    </row>
    <row r="1955" ht="15.75" customHeight="1" s="52">
      <c r="A1955" s="97">
        <f>IF('3mC'!B5&lt;&gt;"","3mC","")</f>
        <v/>
      </c>
      <c r="B1955" s="78">
        <f>IF('3mC'!B5&lt;&gt;"",'3mC'!B5,"")</f>
        <v/>
      </c>
      <c r="C1955" s="78">
        <f>IF('3mC'!B5&lt;&gt;"",'3mC'!C5,"")</f>
        <v/>
      </c>
      <c r="D1955" s="78">
        <f>IF('3mC'!B5&lt;&gt;"",'3mC'!D5,"")</f>
        <v/>
      </c>
      <c r="E1955" s="78">
        <f>IF('3mC'!B5&lt;&gt;"",'3mC'!E5,"")</f>
        <v/>
      </c>
      <c r="F1955" s="78">
        <f>IF('3mC'!B5&lt;&gt;"",'3mC'!F5,"")</f>
        <v/>
      </c>
      <c r="G1955" s="78">
        <f>IF('3mC'!B5&lt;&gt;"",'3mC'!G5,"")</f>
        <v/>
      </c>
      <c r="H1955" s="97">
        <f>IF('3mC'!B5&lt;&gt;"",'3mC'!H5,"")</f>
        <v/>
      </c>
      <c r="I1955" s="97">
        <f>IF('3mC'!B5&lt;&gt;"",'3mC'!I5,"")</f>
        <v/>
      </c>
      <c r="J1955" s="78">
        <f>IF('3mC'!B5&lt;&gt;"",'3mC'!J5,"")</f>
        <v/>
      </c>
    </row>
    <row r="1956" ht="15.75" customHeight="1" s="52">
      <c r="A1956" s="92">
        <f>IF('3mC'!B6&lt;&gt;"","3mC","")</f>
        <v/>
      </c>
      <c r="B1956" s="82">
        <f>IF('3mC'!B6&lt;&gt;"",'3mC'!B6,"")</f>
        <v/>
      </c>
      <c r="C1956" s="82">
        <f>IF('3mC'!B6&lt;&gt;"",'3mC'!C6,"")</f>
        <v/>
      </c>
      <c r="D1956" s="82">
        <f>IF('3mC'!B6&lt;&gt;"",'3mC'!D6,"")</f>
        <v/>
      </c>
      <c r="E1956" s="82">
        <f>IF('3mC'!B6&lt;&gt;"",'3mC'!E6,"")</f>
        <v/>
      </c>
      <c r="F1956" s="82">
        <f>IF('3mC'!B6&lt;&gt;"",'3mC'!F6,"")</f>
        <v/>
      </c>
      <c r="G1956" s="82">
        <f>IF('3mC'!B6&lt;&gt;"",'3mC'!G6,"")</f>
        <v/>
      </c>
      <c r="H1956" s="92">
        <f>IF('3mC'!B6&lt;&gt;"",'3mC'!H6,"")</f>
        <v/>
      </c>
      <c r="I1956" s="92">
        <f>IF('3mC'!B6&lt;&gt;"",'3mC'!I6,"")</f>
        <v/>
      </c>
      <c r="J1956" s="82">
        <f>IF('3mC'!B6&lt;&gt;"",'3mC'!J6,"")</f>
        <v/>
      </c>
    </row>
    <row r="1957" ht="15.75" customHeight="1" s="52">
      <c r="A1957" s="97">
        <f>IF('3mC'!B7&lt;&gt;"","3mC","")</f>
        <v/>
      </c>
      <c r="B1957" s="78">
        <f>IF('3mC'!B7&lt;&gt;"",'3mC'!B7,"")</f>
        <v/>
      </c>
      <c r="C1957" s="78">
        <f>IF('3mC'!B7&lt;&gt;"",'3mC'!C7,"")</f>
        <v/>
      </c>
      <c r="D1957" s="78">
        <f>IF('3mC'!B7&lt;&gt;"",'3mC'!D7,"")</f>
        <v/>
      </c>
      <c r="E1957" s="78">
        <f>IF('3mC'!B7&lt;&gt;"",'3mC'!E7,"")</f>
        <v/>
      </c>
      <c r="F1957" s="78">
        <f>IF('3mC'!B7&lt;&gt;"",'3mC'!F7,"")</f>
        <v/>
      </c>
      <c r="G1957" s="78">
        <f>IF('3mC'!B7&lt;&gt;"",'3mC'!G7,"")</f>
        <v/>
      </c>
      <c r="H1957" s="97">
        <f>IF('3mC'!B7&lt;&gt;"",'3mC'!H7,"")</f>
        <v/>
      </c>
      <c r="I1957" s="97">
        <f>IF('3mC'!B7&lt;&gt;"",'3mC'!I7,"")</f>
        <v/>
      </c>
      <c r="J1957" s="78">
        <f>IF('3mC'!B7&lt;&gt;"",'3mC'!J7,"")</f>
        <v/>
      </c>
    </row>
    <row r="1958" ht="15.75" customHeight="1" s="52">
      <c r="A1958" s="92">
        <f>IF('3mC'!B8&lt;&gt;"","3mC","")</f>
        <v/>
      </c>
      <c r="B1958" s="82">
        <f>IF('3mC'!B8&lt;&gt;"",'3mC'!B8,"")</f>
        <v/>
      </c>
      <c r="C1958" s="82">
        <f>IF('3mC'!B8&lt;&gt;"",'3mC'!C8,"")</f>
        <v/>
      </c>
      <c r="D1958" s="82">
        <f>IF('3mC'!B8&lt;&gt;"",'3mC'!D8,"")</f>
        <v/>
      </c>
      <c r="E1958" s="82">
        <f>IF('3mC'!B8&lt;&gt;"",'3mC'!E8,"")</f>
        <v/>
      </c>
      <c r="F1958" s="82">
        <f>IF('3mC'!B8&lt;&gt;"",'3mC'!F8,"")</f>
        <v/>
      </c>
      <c r="G1958" s="82">
        <f>IF('3mC'!B8&lt;&gt;"",'3mC'!G8,"")</f>
        <v/>
      </c>
      <c r="H1958" s="92">
        <f>IF('3mC'!B8&lt;&gt;"",'3mC'!H8,"")</f>
        <v/>
      </c>
      <c r="I1958" s="92">
        <f>IF('3mC'!B8&lt;&gt;"",'3mC'!I8,"")</f>
        <v/>
      </c>
      <c r="J1958" s="82">
        <f>IF('3mC'!B8&lt;&gt;"",'3mC'!J8,"")</f>
        <v/>
      </c>
    </row>
    <row r="1959" ht="15.75" customHeight="1" s="52">
      <c r="A1959" s="97">
        <f>IF('3mC'!B9&lt;&gt;"","3mC","")</f>
        <v/>
      </c>
      <c r="B1959" s="78">
        <f>IF('3mC'!B9&lt;&gt;"",'3mC'!B9,"")</f>
        <v/>
      </c>
      <c r="C1959" s="78">
        <f>IF('3mC'!B9&lt;&gt;"",'3mC'!C9,"")</f>
        <v/>
      </c>
      <c r="D1959" s="78">
        <f>IF('3mC'!B9&lt;&gt;"",'3mC'!D9,"")</f>
        <v/>
      </c>
      <c r="E1959" s="78">
        <f>IF('3mC'!B9&lt;&gt;"",'3mC'!E9,"")</f>
        <v/>
      </c>
      <c r="F1959" s="78">
        <f>IF('3mC'!B9&lt;&gt;"",'3mC'!F9,"")</f>
        <v/>
      </c>
      <c r="G1959" s="78">
        <f>IF('3mC'!B9&lt;&gt;"",'3mC'!G9,"")</f>
        <v/>
      </c>
      <c r="H1959" s="97">
        <f>IF('3mC'!B9&lt;&gt;"",'3mC'!H9,"")</f>
        <v/>
      </c>
      <c r="I1959" s="97">
        <f>IF('3mC'!B9&lt;&gt;"",'3mC'!I9,"")</f>
        <v/>
      </c>
      <c r="J1959" s="78">
        <f>IF('3mC'!B9&lt;&gt;"",'3mC'!J9,"")</f>
        <v/>
      </c>
    </row>
    <row r="1960" ht="15.75" customHeight="1" s="52">
      <c r="A1960" s="92">
        <f>IF('3mC'!B10&lt;&gt;"","3mC","")</f>
        <v/>
      </c>
      <c r="B1960" s="82">
        <f>IF('3mC'!B10&lt;&gt;"",'3mC'!B10,"")</f>
        <v/>
      </c>
      <c r="C1960" s="82">
        <f>IF('3mC'!B10&lt;&gt;"",'3mC'!C10,"")</f>
        <v/>
      </c>
      <c r="D1960" s="82">
        <f>IF('3mC'!B10&lt;&gt;"",'3mC'!D10,"")</f>
        <v/>
      </c>
      <c r="E1960" s="82">
        <f>IF('3mC'!B10&lt;&gt;"",'3mC'!E10,"")</f>
        <v/>
      </c>
      <c r="F1960" s="82">
        <f>IF('3mC'!B10&lt;&gt;"",'3mC'!F10,"")</f>
        <v/>
      </c>
      <c r="G1960" s="82">
        <f>IF('3mC'!B10&lt;&gt;"",'3mC'!G10,"")</f>
        <v/>
      </c>
      <c r="H1960" s="92">
        <f>IF('3mC'!B10&lt;&gt;"",'3mC'!H10,"")</f>
        <v/>
      </c>
      <c r="I1960" s="92">
        <f>IF('3mC'!B10&lt;&gt;"",'3mC'!I10,"")</f>
        <v/>
      </c>
      <c r="J1960" s="82">
        <f>IF('3mC'!B10&lt;&gt;"",'3mC'!J10,"")</f>
        <v/>
      </c>
    </row>
    <row r="1961" ht="15.75" customHeight="1" s="52">
      <c r="A1961" s="97">
        <f>IF('3mC'!B11&lt;&gt;"","3mC","")</f>
        <v/>
      </c>
      <c r="B1961" s="78">
        <f>IF('3mC'!B11&lt;&gt;"",'3mC'!B11,"")</f>
        <v/>
      </c>
      <c r="C1961" s="78">
        <f>IF('3mC'!B11&lt;&gt;"",'3mC'!C11,"")</f>
        <v/>
      </c>
      <c r="D1961" s="78">
        <f>IF('3mC'!B11&lt;&gt;"",'3mC'!D11,"")</f>
        <v/>
      </c>
      <c r="E1961" s="78">
        <f>IF('3mC'!B11&lt;&gt;"",'3mC'!E11,"")</f>
        <v/>
      </c>
      <c r="F1961" s="78">
        <f>IF('3mC'!B11&lt;&gt;"",'3mC'!F11,"")</f>
        <v/>
      </c>
      <c r="G1961" s="78">
        <f>IF('3mC'!B11&lt;&gt;"",'3mC'!G11,"")</f>
        <v/>
      </c>
      <c r="H1961" s="97">
        <f>IF('3mC'!B11&lt;&gt;"",'3mC'!H11,"")</f>
        <v/>
      </c>
      <c r="I1961" s="97">
        <f>IF('3mC'!B11&lt;&gt;"",'3mC'!I11,"")</f>
        <v/>
      </c>
      <c r="J1961" s="78">
        <f>IF('3mC'!B11&lt;&gt;"",'3mC'!J11,"")</f>
        <v/>
      </c>
    </row>
    <row r="1962" ht="15.75" customHeight="1" s="52">
      <c r="A1962" s="92">
        <f>IF('3mC'!B12&lt;&gt;"","3mC","")</f>
        <v/>
      </c>
      <c r="B1962" s="82">
        <f>IF('3mC'!B12&lt;&gt;"",'3mC'!B12,"")</f>
        <v/>
      </c>
      <c r="C1962" s="82">
        <f>IF('3mC'!B12&lt;&gt;"",'3mC'!C12,"")</f>
        <v/>
      </c>
      <c r="D1962" s="82">
        <f>IF('3mC'!B12&lt;&gt;"",'3mC'!D12,"")</f>
        <v/>
      </c>
      <c r="E1962" s="82">
        <f>IF('3mC'!B12&lt;&gt;"",'3mC'!E12,"")</f>
        <v/>
      </c>
      <c r="F1962" s="82">
        <f>IF('3mC'!B12&lt;&gt;"",'3mC'!F12,"")</f>
        <v/>
      </c>
      <c r="G1962" s="82">
        <f>IF('3mC'!B12&lt;&gt;"",'3mC'!G12,"")</f>
        <v/>
      </c>
      <c r="H1962" s="92">
        <f>IF('3mC'!B12&lt;&gt;"",'3mC'!H12,"")</f>
        <v/>
      </c>
      <c r="I1962" s="92">
        <f>IF('3mC'!B12&lt;&gt;"",'3mC'!I12,"")</f>
        <v/>
      </c>
      <c r="J1962" s="82">
        <f>IF('3mC'!B12&lt;&gt;"",'3mC'!J12,"")</f>
        <v/>
      </c>
    </row>
    <row r="1963" ht="15.75" customHeight="1" s="52">
      <c r="A1963" s="97">
        <f>IF('3mC'!B13&lt;&gt;"","3mC","")</f>
        <v/>
      </c>
      <c r="B1963" s="78">
        <f>IF('3mC'!B13&lt;&gt;"",'3mC'!B13,"")</f>
        <v/>
      </c>
      <c r="C1963" s="78">
        <f>IF('3mC'!B13&lt;&gt;"",'3mC'!C13,"")</f>
        <v/>
      </c>
      <c r="D1963" s="78">
        <f>IF('3mC'!B13&lt;&gt;"",'3mC'!D13,"")</f>
        <v/>
      </c>
      <c r="E1963" s="78">
        <f>IF('3mC'!B13&lt;&gt;"",'3mC'!E13,"")</f>
        <v/>
      </c>
      <c r="F1963" s="78">
        <f>IF('3mC'!B13&lt;&gt;"",'3mC'!F13,"")</f>
        <v/>
      </c>
      <c r="G1963" s="78">
        <f>IF('3mC'!B13&lt;&gt;"",'3mC'!G13,"")</f>
        <v/>
      </c>
      <c r="H1963" s="97">
        <f>IF('3mC'!B13&lt;&gt;"",'3mC'!H13,"")</f>
        <v/>
      </c>
      <c r="I1963" s="97">
        <f>IF('3mC'!B13&lt;&gt;"",'3mC'!I13,"")</f>
        <v/>
      </c>
      <c r="J1963" s="78">
        <f>IF('3mC'!B13&lt;&gt;"",'3mC'!J13,"")</f>
        <v/>
      </c>
    </row>
    <row r="1964" ht="15.75" customHeight="1" s="52">
      <c r="A1964" s="92">
        <f>IF('3mC'!B14&lt;&gt;"","3mC","")</f>
        <v/>
      </c>
      <c r="B1964" s="82">
        <f>IF('3mC'!B14&lt;&gt;"",'3mC'!B14,"")</f>
        <v/>
      </c>
      <c r="C1964" s="82">
        <f>IF('3mC'!B14&lt;&gt;"",'3mC'!C14,"")</f>
        <v/>
      </c>
      <c r="D1964" s="82">
        <f>IF('3mC'!B14&lt;&gt;"",'3mC'!D14,"")</f>
        <v/>
      </c>
      <c r="E1964" s="82">
        <f>IF('3mC'!B14&lt;&gt;"",'3mC'!E14,"")</f>
        <v/>
      </c>
      <c r="F1964" s="82">
        <f>IF('3mC'!B14&lt;&gt;"",'3mC'!F14,"")</f>
        <v/>
      </c>
      <c r="G1964" s="82">
        <f>IF('3mC'!B14&lt;&gt;"",'3mC'!G14,"")</f>
        <v/>
      </c>
      <c r="H1964" s="92">
        <f>IF('3mC'!B14&lt;&gt;"",'3mC'!H14,"")</f>
        <v/>
      </c>
      <c r="I1964" s="92">
        <f>IF('3mC'!B14&lt;&gt;"",'3mC'!I14,"")</f>
        <v/>
      </c>
      <c r="J1964" s="82">
        <f>IF('3mC'!B14&lt;&gt;"",'3mC'!J14,"")</f>
        <v/>
      </c>
    </row>
    <row r="1965" ht="15.75" customHeight="1" s="52">
      <c r="A1965" s="97">
        <f>IF('3mC'!B15&lt;&gt;"","3mC","")</f>
        <v/>
      </c>
      <c r="B1965" s="78">
        <f>IF('3mC'!B15&lt;&gt;"",'3mC'!B15,"")</f>
        <v/>
      </c>
      <c r="C1965" s="78">
        <f>IF('3mC'!B15&lt;&gt;"",'3mC'!C15,"")</f>
        <v/>
      </c>
      <c r="D1965" s="78">
        <f>IF('3mC'!B15&lt;&gt;"",'3mC'!D15,"")</f>
        <v/>
      </c>
      <c r="E1965" s="78">
        <f>IF('3mC'!B15&lt;&gt;"",'3mC'!E15,"")</f>
        <v/>
      </c>
      <c r="F1965" s="78">
        <f>IF('3mC'!B15&lt;&gt;"",'3mC'!F15,"")</f>
        <v/>
      </c>
      <c r="G1965" s="78">
        <f>IF('3mC'!B15&lt;&gt;"",'3mC'!G15,"")</f>
        <v/>
      </c>
      <c r="H1965" s="97">
        <f>IF('3mC'!B15&lt;&gt;"",'3mC'!H15,"")</f>
        <v/>
      </c>
      <c r="I1965" s="97">
        <f>IF('3mC'!B15&lt;&gt;"",'3mC'!I15,"")</f>
        <v/>
      </c>
      <c r="J1965" s="78">
        <f>IF('3mC'!B15&lt;&gt;"",'3mC'!J15,"")</f>
        <v/>
      </c>
    </row>
    <row r="1966" ht="15.75" customHeight="1" s="52">
      <c r="A1966" s="92">
        <f>IF('3mC'!B16&lt;&gt;"","3mC","")</f>
        <v/>
      </c>
      <c r="B1966" s="82">
        <f>IF('3mC'!B16&lt;&gt;"",'3mC'!B16,"")</f>
        <v/>
      </c>
      <c r="C1966" s="82">
        <f>IF('3mC'!B16&lt;&gt;"",'3mC'!C16,"")</f>
        <v/>
      </c>
      <c r="D1966" s="82">
        <f>IF('3mC'!B16&lt;&gt;"",'3mC'!D16,"")</f>
        <v/>
      </c>
      <c r="E1966" s="82">
        <f>IF('3mC'!B16&lt;&gt;"",'3mC'!E16,"")</f>
        <v/>
      </c>
      <c r="F1966" s="82">
        <f>IF('3mC'!B16&lt;&gt;"",'3mC'!F16,"")</f>
        <v/>
      </c>
      <c r="G1966" s="82">
        <f>IF('3mC'!B16&lt;&gt;"",'3mC'!G16,"")</f>
        <v/>
      </c>
      <c r="H1966" s="92">
        <f>IF('3mC'!B16&lt;&gt;"",'3mC'!H16,"")</f>
        <v/>
      </c>
      <c r="I1966" s="92">
        <f>IF('3mC'!B16&lt;&gt;"",'3mC'!I16,"")</f>
        <v/>
      </c>
      <c r="J1966" s="82">
        <f>IF('3mC'!B16&lt;&gt;"",'3mC'!J16,"")</f>
        <v/>
      </c>
    </row>
    <row r="1967" ht="15.75" customHeight="1" s="52">
      <c r="A1967" s="97">
        <f>IF('3mC'!B17&lt;&gt;"","3mC","")</f>
        <v/>
      </c>
      <c r="B1967" s="78">
        <f>IF('3mC'!B17&lt;&gt;"",'3mC'!B17,"")</f>
        <v/>
      </c>
      <c r="C1967" s="78">
        <f>IF('3mC'!B17&lt;&gt;"",'3mC'!C17,"")</f>
        <v/>
      </c>
      <c r="D1967" s="78">
        <f>IF('3mC'!B17&lt;&gt;"",'3mC'!D17,"")</f>
        <v/>
      </c>
      <c r="E1967" s="78">
        <f>IF('3mC'!B17&lt;&gt;"",'3mC'!E17,"")</f>
        <v/>
      </c>
      <c r="F1967" s="78">
        <f>IF('3mC'!B17&lt;&gt;"",'3mC'!F17,"")</f>
        <v/>
      </c>
      <c r="G1967" s="78">
        <f>IF('3mC'!B17&lt;&gt;"",'3mC'!G17,"")</f>
        <v/>
      </c>
      <c r="H1967" s="97">
        <f>IF('3mC'!B17&lt;&gt;"",'3mC'!H17,"")</f>
        <v/>
      </c>
      <c r="I1967" s="97">
        <f>IF('3mC'!B17&lt;&gt;"",'3mC'!I17,"")</f>
        <v/>
      </c>
      <c r="J1967" s="78">
        <f>IF('3mC'!B17&lt;&gt;"",'3mC'!J17,"")</f>
        <v/>
      </c>
    </row>
    <row r="1968" ht="15.75" customHeight="1" s="52">
      <c r="A1968" s="92">
        <f>IF('3mC'!B18&lt;&gt;"","3mC","")</f>
        <v/>
      </c>
      <c r="B1968" s="82">
        <f>IF('3mC'!B18&lt;&gt;"",'3mC'!B18,"")</f>
        <v/>
      </c>
      <c r="C1968" s="82">
        <f>IF('3mC'!B18&lt;&gt;"",'3mC'!C18,"")</f>
        <v/>
      </c>
      <c r="D1968" s="82">
        <f>IF('3mC'!B18&lt;&gt;"",'3mC'!D18,"")</f>
        <v/>
      </c>
      <c r="E1968" s="82">
        <f>IF('3mC'!B18&lt;&gt;"",'3mC'!E18,"")</f>
        <v/>
      </c>
      <c r="F1968" s="82">
        <f>IF('3mC'!B18&lt;&gt;"",'3mC'!F18,"")</f>
        <v/>
      </c>
      <c r="G1968" s="82">
        <f>IF('3mC'!B18&lt;&gt;"",'3mC'!G18,"")</f>
        <v/>
      </c>
      <c r="H1968" s="92">
        <f>IF('3mC'!B18&lt;&gt;"",'3mC'!H18,"")</f>
        <v/>
      </c>
      <c r="I1968" s="92">
        <f>IF('3mC'!B18&lt;&gt;"",'3mC'!I18,"")</f>
        <v/>
      </c>
      <c r="J1968" s="82">
        <f>IF('3mC'!B18&lt;&gt;"",'3mC'!J18,"")</f>
        <v/>
      </c>
    </row>
    <row r="1969" ht="15.75" customHeight="1" s="52">
      <c r="A1969" s="97">
        <f>IF('3mC'!B19&lt;&gt;"","3mC","")</f>
        <v/>
      </c>
      <c r="B1969" s="78">
        <f>IF('3mC'!B19&lt;&gt;"",'3mC'!B19,"")</f>
        <v/>
      </c>
      <c r="C1969" s="78">
        <f>IF('3mC'!B19&lt;&gt;"",'3mC'!C19,"")</f>
        <v/>
      </c>
      <c r="D1969" s="78">
        <f>IF('3mC'!B19&lt;&gt;"",'3mC'!D19,"")</f>
        <v/>
      </c>
      <c r="E1969" s="78">
        <f>IF('3mC'!B19&lt;&gt;"",'3mC'!E19,"")</f>
        <v/>
      </c>
      <c r="F1969" s="78">
        <f>IF('3mC'!B19&lt;&gt;"",'3mC'!F19,"")</f>
        <v/>
      </c>
      <c r="G1969" s="78">
        <f>IF('3mC'!B19&lt;&gt;"",'3mC'!G19,"")</f>
        <v/>
      </c>
      <c r="H1969" s="97">
        <f>IF('3mC'!B19&lt;&gt;"",'3mC'!H19,"")</f>
        <v/>
      </c>
      <c r="I1969" s="97">
        <f>IF('3mC'!B19&lt;&gt;"",'3mC'!I19,"")</f>
        <v/>
      </c>
      <c r="J1969" s="78">
        <f>IF('3mC'!B19&lt;&gt;"",'3mC'!J19,"")</f>
        <v/>
      </c>
    </row>
    <row r="1970" ht="15.75" customHeight="1" s="52">
      <c r="A1970" s="92">
        <f>IF('3mC'!B20&lt;&gt;"","3mC","")</f>
        <v/>
      </c>
      <c r="B1970" s="82">
        <f>IF('3mC'!B20&lt;&gt;"",'3mC'!B20,"")</f>
        <v/>
      </c>
      <c r="C1970" s="82">
        <f>IF('3mC'!B20&lt;&gt;"",'3mC'!C20,"")</f>
        <v/>
      </c>
      <c r="D1970" s="82">
        <f>IF('3mC'!B20&lt;&gt;"",'3mC'!D20,"")</f>
        <v/>
      </c>
      <c r="E1970" s="82">
        <f>IF('3mC'!B20&lt;&gt;"",'3mC'!E20,"")</f>
        <v/>
      </c>
      <c r="F1970" s="82">
        <f>IF('3mC'!B20&lt;&gt;"",'3mC'!F20,"")</f>
        <v/>
      </c>
      <c r="G1970" s="82">
        <f>IF('3mC'!B20&lt;&gt;"",'3mC'!G20,"")</f>
        <v/>
      </c>
      <c r="H1970" s="92">
        <f>IF('3mC'!B20&lt;&gt;"",'3mC'!H20,"")</f>
        <v/>
      </c>
      <c r="I1970" s="92">
        <f>IF('3mC'!B20&lt;&gt;"",'3mC'!I20,"")</f>
        <v/>
      </c>
      <c r="J1970" s="82">
        <f>IF('3mC'!B20&lt;&gt;"",'3mC'!J20,"")</f>
        <v/>
      </c>
    </row>
    <row r="1971" ht="15.75" customHeight="1" s="52">
      <c r="A1971" s="97">
        <f>IF('3mC'!B21&lt;&gt;"","3mC","")</f>
        <v/>
      </c>
      <c r="B1971" s="78">
        <f>IF('3mC'!B21&lt;&gt;"",'3mC'!B21,"")</f>
        <v/>
      </c>
      <c r="C1971" s="78">
        <f>IF('3mC'!B21&lt;&gt;"",'3mC'!C21,"")</f>
        <v/>
      </c>
      <c r="D1971" s="78">
        <f>IF('3mC'!B21&lt;&gt;"",'3mC'!D21,"")</f>
        <v/>
      </c>
      <c r="E1971" s="78">
        <f>IF('3mC'!B21&lt;&gt;"",'3mC'!E21,"")</f>
        <v/>
      </c>
      <c r="F1971" s="78">
        <f>IF('3mC'!B21&lt;&gt;"",'3mC'!F21,"")</f>
        <v/>
      </c>
      <c r="G1971" s="78">
        <f>IF('3mC'!B21&lt;&gt;"",'3mC'!G21,"")</f>
        <v/>
      </c>
      <c r="H1971" s="97">
        <f>IF('3mC'!B21&lt;&gt;"",'3mC'!H21,"")</f>
        <v/>
      </c>
      <c r="I1971" s="97">
        <f>IF('3mC'!B21&lt;&gt;"",'3mC'!I21,"")</f>
        <v/>
      </c>
      <c r="J1971" s="78">
        <f>IF('3mC'!B21&lt;&gt;"",'3mC'!J21,"")</f>
        <v/>
      </c>
    </row>
    <row r="1972" ht="15.75" customHeight="1" s="52">
      <c r="A1972" s="92">
        <f>IF('3mC'!B22&lt;&gt;"","3mC","")</f>
        <v/>
      </c>
      <c r="B1972" s="82">
        <f>IF('3mC'!B22&lt;&gt;"",'3mC'!B22,"")</f>
        <v/>
      </c>
      <c r="C1972" s="82">
        <f>IF('3mC'!B22&lt;&gt;"",'3mC'!C22,"")</f>
        <v/>
      </c>
      <c r="D1972" s="82">
        <f>IF('3mC'!B22&lt;&gt;"",'3mC'!D22,"")</f>
        <v/>
      </c>
      <c r="E1972" s="82">
        <f>IF('3mC'!B22&lt;&gt;"",'3mC'!E22,"")</f>
        <v/>
      </c>
      <c r="F1972" s="82">
        <f>IF('3mC'!B22&lt;&gt;"",'3mC'!F22,"")</f>
        <v/>
      </c>
      <c r="G1972" s="82">
        <f>IF('3mC'!B22&lt;&gt;"",'3mC'!G22,"")</f>
        <v/>
      </c>
      <c r="H1972" s="92">
        <f>IF('3mC'!B22&lt;&gt;"",'3mC'!H22,"")</f>
        <v/>
      </c>
      <c r="I1972" s="92">
        <f>IF('3mC'!B22&lt;&gt;"",'3mC'!I22,"")</f>
        <v/>
      </c>
      <c r="J1972" s="82">
        <f>IF('3mC'!B22&lt;&gt;"",'3mC'!J22,"")</f>
        <v/>
      </c>
    </row>
    <row r="1973" ht="15.75" customHeight="1" s="52">
      <c r="A1973" s="97">
        <f>IF('3mC'!B23&lt;&gt;"","3mC","")</f>
        <v/>
      </c>
      <c r="B1973" s="78">
        <f>IF('3mC'!B23&lt;&gt;"",'3mC'!B23,"")</f>
        <v/>
      </c>
      <c r="C1973" s="78">
        <f>IF('3mC'!B23&lt;&gt;"",'3mC'!C23,"")</f>
        <v/>
      </c>
      <c r="D1973" s="78">
        <f>IF('3mC'!B23&lt;&gt;"",'3mC'!D23,"")</f>
        <v/>
      </c>
      <c r="E1973" s="78">
        <f>IF('3mC'!B23&lt;&gt;"",'3mC'!E23,"")</f>
        <v/>
      </c>
      <c r="F1973" s="78">
        <f>IF('3mC'!B23&lt;&gt;"",'3mC'!F23,"")</f>
        <v/>
      </c>
      <c r="G1973" s="78">
        <f>IF('3mC'!B23&lt;&gt;"",'3mC'!G23,"")</f>
        <v/>
      </c>
      <c r="H1973" s="97">
        <f>IF('3mC'!B23&lt;&gt;"",'3mC'!H23,"")</f>
        <v/>
      </c>
      <c r="I1973" s="97">
        <f>IF('3mC'!B23&lt;&gt;"",'3mC'!I23,"")</f>
        <v/>
      </c>
      <c r="J1973" s="78">
        <f>IF('3mC'!B23&lt;&gt;"",'3mC'!J23,"")</f>
        <v/>
      </c>
    </row>
    <row r="1974" ht="15.75" customHeight="1" s="52">
      <c r="A1974" s="92">
        <f>IF('3mC'!B24&lt;&gt;"","3mC","")</f>
        <v/>
      </c>
      <c r="B1974" s="82">
        <f>IF('3mC'!B24&lt;&gt;"",'3mC'!B24,"")</f>
        <v/>
      </c>
      <c r="C1974" s="82">
        <f>IF('3mC'!B24&lt;&gt;"",'3mC'!C24,"")</f>
        <v/>
      </c>
      <c r="D1974" s="82">
        <f>IF('3mC'!B24&lt;&gt;"",'3mC'!D24,"")</f>
        <v/>
      </c>
      <c r="E1974" s="82">
        <f>IF('3mC'!B24&lt;&gt;"",'3mC'!E24,"")</f>
        <v/>
      </c>
      <c r="F1974" s="82">
        <f>IF('3mC'!B24&lt;&gt;"",'3mC'!F24,"")</f>
        <v/>
      </c>
      <c r="G1974" s="82">
        <f>IF('3mC'!B24&lt;&gt;"",'3mC'!G24,"")</f>
        <v/>
      </c>
      <c r="H1974" s="92">
        <f>IF('3mC'!B24&lt;&gt;"",'3mC'!H24,"")</f>
        <v/>
      </c>
      <c r="I1974" s="92">
        <f>IF('3mC'!B24&lt;&gt;"",'3mC'!I24,"")</f>
        <v/>
      </c>
      <c r="J1974" s="82">
        <f>IF('3mC'!B24&lt;&gt;"",'3mC'!J24,"")</f>
        <v/>
      </c>
    </row>
    <row r="1975" ht="15.75" customHeight="1" s="52">
      <c r="A1975" s="97">
        <f>IF('3mC'!B25&lt;&gt;"","3mC","")</f>
        <v/>
      </c>
      <c r="B1975" s="78">
        <f>IF('3mC'!B25&lt;&gt;"",'3mC'!B25,"")</f>
        <v/>
      </c>
      <c r="C1975" s="78">
        <f>IF('3mC'!B25&lt;&gt;"",'3mC'!C25,"")</f>
        <v/>
      </c>
      <c r="D1975" s="78">
        <f>IF('3mC'!B25&lt;&gt;"",'3mC'!D25,"")</f>
        <v/>
      </c>
      <c r="E1975" s="78">
        <f>IF('3mC'!B25&lt;&gt;"",'3mC'!E25,"")</f>
        <v/>
      </c>
      <c r="F1975" s="78">
        <f>IF('3mC'!B25&lt;&gt;"",'3mC'!F25,"")</f>
        <v/>
      </c>
      <c r="G1975" s="78">
        <f>IF('3mC'!B25&lt;&gt;"",'3mC'!G25,"")</f>
        <v/>
      </c>
      <c r="H1975" s="97">
        <f>IF('3mC'!B25&lt;&gt;"",'3mC'!H25,"")</f>
        <v/>
      </c>
      <c r="I1975" s="97">
        <f>IF('3mC'!B25&lt;&gt;"",'3mC'!I25,"")</f>
        <v/>
      </c>
      <c r="J1975" s="78">
        <f>IF('3mC'!B25&lt;&gt;"",'3mC'!J25,"")</f>
        <v/>
      </c>
    </row>
    <row r="1976" ht="15.75" customHeight="1" s="52">
      <c r="A1976" s="92">
        <f>IF('3mC'!B26&lt;&gt;"","3mC","")</f>
        <v/>
      </c>
      <c r="B1976" s="82">
        <f>IF('3mC'!B26&lt;&gt;"",'3mC'!B26,"")</f>
        <v/>
      </c>
      <c r="C1976" s="82">
        <f>IF('3mC'!B26&lt;&gt;"",'3mC'!C26,"")</f>
        <v/>
      </c>
      <c r="D1976" s="82">
        <f>IF('3mC'!B26&lt;&gt;"",'3mC'!D26,"")</f>
        <v/>
      </c>
      <c r="E1976" s="82">
        <f>IF('3mC'!B26&lt;&gt;"",'3mC'!E26,"")</f>
        <v/>
      </c>
      <c r="F1976" s="82">
        <f>IF('3mC'!B26&lt;&gt;"",'3mC'!F26,"")</f>
        <v/>
      </c>
      <c r="G1976" s="82">
        <f>IF('3mC'!B26&lt;&gt;"",'3mC'!G26,"")</f>
        <v/>
      </c>
      <c r="H1976" s="92">
        <f>IF('3mC'!B26&lt;&gt;"",'3mC'!H26,"")</f>
        <v/>
      </c>
      <c r="I1976" s="92">
        <f>IF('3mC'!B26&lt;&gt;"",'3mC'!I26,"")</f>
        <v/>
      </c>
      <c r="J1976" s="82">
        <f>IF('3mC'!B26&lt;&gt;"",'3mC'!J26,"")</f>
        <v/>
      </c>
    </row>
    <row r="1977" ht="15.75" customHeight="1" s="52">
      <c r="A1977" s="97">
        <f>IF('3mC'!B27&lt;&gt;"","3mC","")</f>
        <v/>
      </c>
      <c r="B1977" s="78">
        <f>IF('3mC'!B27&lt;&gt;"",'3mC'!B27,"")</f>
        <v/>
      </c>
      <c r="C1977" s="78">
        <f>IF('3mC'!B27&lt;&gt;"",'3mC'!C27,"")</f>
        <v/>
      </c>
      <c r="D1977" s="78">
        <f>IF('3mC'!B27&lt;&gt;"",'3mC'!D27,"")</f>
        <v/>
      </c>
      <c r="E1977" s="78">
        <f>IF('3mC'!B27&lt;&gt;"",'3mC'!E27,"")</f>
        <v/>
      </c>
      <c r="F1977" s="78">
        <f>IF('3mC'!B27&lt;&gt;"",'3mC'!F27,"")</f>
        <v/>
      </c>
      <c r="G1977" s="78">
        <f>IF('3mC'!B27&lt;&gt;"",'3mC'!G27,"")</f>
        <v/>
      </c>
      <c r="H1977" s="97">
        <f>IF('3mC'!B27&lt;&gt;"",'3mC'!H27,"")</f>
        <v/>
      </c>
      <c r="I1977" s="97">
        <f>IF('3mC'!B27&lt;&gt;"",'3mC'!I27,"")</f>
        <v/>
      </c>
      <c r="J1977" s="78">
        <f>IF('3mC'!B27&lt;&gt;"",'3mC'!J27,"")</f>
        <v/>
      </c>
    </row>
    <row r="1978" ht="15.75" customHeight="1" s="52">
      <c r="A1978" s="92">
        <f>IF('3mC'!B28&lt;&gt;"","3mC","")</f>
        <v/>
      </c>
      <c r="B1978" s="82">
        <f>IF('3mC'!B28&lt;&gt;"",'3mC'!B28,"")</f>
        <v/>
      </c>
      <c r="C1978" s="82">
        <f>IF('3mC'!B28&lt;&gt;"",'3mC'!C28,"")</f>
        <v/>
      </c>
      <c r="D1978" s="82">
        <f>IF('3mC'!B28&lt;&gt;"",'3mC'!D28,"")</f>
        <v/>
      </c>
      <c r="E1978" s="82">
        <f>IF('3mC'!B28&lt;&gt;"",'3mC'!E28,"")</f>
        <v/>
      </c>
      <c r="F1978" s="82">
        <f>IF('3mC'!B28&lt;&gt;"",'3mC'!F28,"")</f>
        <v/>
      </c>
      <c r="G1978" s="82">
        <f>IF('3mC'!B28&lt;&gt;"",'3mC'!G28,"")</f>
        <v/>
      </c>
      <c r="H1978" s="92">
        <f>IF('3mC'!B28&lt;&gt;"",'3mC'!H28,"")</f>
        <v/>
      </c>
      <c r="I1978" s="92">
        <f>IF('3mC'!B28&lt;&gt;"",'3mC'!I28,"")</f>
        <v/>
      </c>
      <c r="J1978" s="82">
        <f>IF('3mC'!B28&lt;&gt;"",'3mC'!J28,"")</f>
        <v/>
      </c>
    </row>
    <row r="1979" ht="15.75" customHeight="1" s="52">
      <c r="A1979" s="97">
        <f>IF('3mC'!B29&lt;&gt;"","3mC","")</f>
        <v/>
      </c>
      <c r="B1979" s="78">
        <f>IF('3mC'!B29&lt;&gt;"",'3mC'!B29,"")</f>
        <v/>
      </c>
      <c r="C1979" s="78">
        <f>IF('3mC'!B29&lt;&gt;"",'3mC'!C29,"")</f>
        <v/>
      </c>
      <c r="D1979" s="78">
        <f>IF('3mC'!B29&lt;&gt;"",'3mC'!D29,"")</f>
        <v/>
      </c>
      <c r="E1979" s="78">
        <f>IF('3mC'!B29&lt;&gt;"",'3mC'!E29,"")</f>
        <v/>
      </c>
      <c r="F1979" s="78">
        <f>IF('3mC'!B29&lt;&gt;"",'3mC'!F29,"")</f>
        <v/>
      </c>
      <c r="G1979" s="78">
        <f>IF('3mC'!B29&lt;&gt;"",'3mC'!G29,"")</f>
        <v/>
      </c>
      <c r="H1979" s="97">
        <f>IF('3mC'!B29&lt;&gt;"",'3mC'!H29,"")</f>
        <v/>
      </c>
      <c r="I1979" s="97">
        <f>IF('3mC'!B29&lt;&gt;"",'3mC'!I29,"")</f>
        <v/>
      </c>
      <c r="J1979" s="78">
        <f>IF('3mC'!B29&lt;&gt;"",'3mC'!J29,"")</f>
        <v/>
      </c>
    </row>
    <row r="1980" ht="15.75" customHeight="1" s="52">
      <c r="A1980" s="92">
        <f>IF('3mC'!B30&lt;&gt;"","3mC","")</f>
        <v/>
      </c>
      <c r="B1980" s="82">
        <f>IF('3mC'!B30&lt;&gt;"",'3mC'!B30,"")</f>
        <v/>
      </c>
      <c r="C1980" s="82">
        <f>IF('3mC'!B30&lt;&gt;"",'3mC'!C30,"")</f>
        <v/>
      </c>
      <c r="D1980" s="82">
        <f>IF('3mC'!B30&lt;&gt;"",'3mC'!D30,"")</f>
        <v/>
      </c>
      <c r="E1980" s="82">
        <f>IF('3mC'!B30&lt;&gt;"",'3mC'!E30,"")</f>
        <v/>
      </c>
      <c r="F1980" s="82">
        <f>IF('3mC'!B30&lt;&gt;"",'3mC'!F30,"")</f>
        <v/>
      </c>
      <c r="G1980" s="82">
        <f>IF('3mC'!B30&lt;&gt;"",'3mC'!G30,"")</f>
        <v/>
      </c>
      <c r="H1980" s="92">
        <f>IF('3mC'!B30&lt;&gt;"",'3mC'!H30,"")</f>
        <v/>
      </c>
      <c r="I1980" s="92">
        <f>IF('3mC'!B30&lt;&gt;"",'3mC'!I30,"")</f>
        <v/>
      </c>
      <c r="J1980" s="82">
        <f>IF('3mC'!B30&lt;&gt;"",'3mC'!J30,"")</f>
        <v/>
      </c>
    </row>
    <row r="1981" ht="15.75" customHeight="1" s="52">
      <c r="A1981" s="97">
        <f>IF('3mC'!B31&lt;&gt;"","3mC","")</f>
        <v/>
      </c>
      <c r="B1981" s="78">
        <f>IF('3mC'!B31&lt;&gt;"",'3mC'!B31,"")</f>
        <v/>
      </c>
      <c r="C1981" s="78">
        <f>IF('3mC'!B31&lt;&gt;"",'3mC'!C31,"")</f>
        <v/>
      </c>
      <c r="D1981" s="78">
        <f>IF('3mC'!B31&lt;&gt;"",'3mC'!D31,"")</f>
        <v/>
      </c>
      <c r="E1981" s="78">
        <f>IF('3mC'!B31&lt;&gt;"",'3mC'!E31,"")</f>
        <v/>
      </c>
      <c r="F1981" s="78">
        <f>IF('3mC'!B31&lt;&gt;"",'3mC'!F31,"")</f>
        <v/>
      </c>
      <c r="G1981" s="78">
        <f>IF('3mC'!B31&lt;&gt;"",'3mC'!G31,"")</f>
        <v/>
      </c>
      <c r="H1981" s="97">
        <f>IF('3mC'!B31&lt;&gt;"",'3mC'!H31,"")</f>
        <v/>
      </c>
      <c r="I1981" s="97">
        <f>IF('3mC'!B31&lt;&gt;"",'3mC'!I31,"")</f>
        <v/>
      </c>
      <c r="J1981" s="78">
        <f>IF('3mC'!B31&lt;&gt;"",'3mC'!J31,"")</f>
        <v/>
      </c>
    </row>
    <row r="1982" ht="15.75" customHeight="1" s="52">
      <c r="A1982" s="92">
        <f>IF('3mC'!B32&lt;&gt;"","3mC","")</f>
        <v/>
      </c>
      <c r="B1982" s="82">
        <f>IF('3mC'!B32&lt;&gt;"",'3mC'!B32,"")</f>
        <v/>
      </c>
      <c r="C1982" s="82">
        <f>IF('3mC'!B32&lt;&gt;"",'3mC'!C32,"")</f>
        <v/>
      </c>
      <c r="D1982" s="82">
        <f>IF('3mC'!B32&lt;&gt;"",'3mC'!D32,"")</f>
        <v/>
      </c>
      <c r="E1982" s="82">
        <f>IF('3mC'!B32&lt;&gt;"",'3mC'!E32,"")</f>
        <v/>
      </c>
      <c r="F1982" s="82">
        <f>IF('3mC'!B32&lt;&gt;"",'3mC'!F32,"")</f>
        <v/>
      </c>
      <c r="G1982" s="82">
        <f>IF('3mC'!B32&lt;&gt;"",'3mC'!G32,"")</f>
        <v/>
      </c>
      <c r="H1982" s="92">
        <f>IF('3mC'!B32&lt;&gt;"",'3mC'!H32,"")</f>
        <v/>
      </c>
      <c r="I1982" s="92">
        <f>IF('3mC'!B32&lt;&gt;"",'3mC'!I32,"")</f>
        <v/>
      </c>
      <c r="J1982" s="82">
        <f>IF('3mC'!B32&lt;&gt;"",'3mC'!J32,"")</f>
        <v/>
      </c>
    </row>
    <row r="1983" ht="15.75" customHeight="1" s="52">
      <c r="A1983" s="97">
        <f>IF('3mC'!B33&lt;&gt;"","3mC","")</f>
        <v/>
      </c>
      <c r="B1983" s="78">
        <f>IF('3mC'!B33&lt;&gt;"",'3mC'!B33,"")</f>
        <v/>
      </c>
      <c r="C1983" s="78">
        <f>IF('3mC'!B33&lt;&gt;"",'3mC'!C33,"")</f>
        <v/>
      </c>
      <c r="D1983" s="78">
        <f>IF('3mC'!B33&lt;&gt;"",'3mC'!D33,"")</f>
        <v/>
      </c>
      <c r="E1983" s="78">
        <f>IF('3mC'!B33&lt;&gt;"",'3mC'!E33,"")</f>
        <v/>
      </c>
      <c r="F1983" s="78">
        <f>IF('3mC'!B33&lt;&gt;"",'3mC'!F33,"")</f>
        <v/>
      </c>
      <c r="G1983" s="78">
        <f>IF('3mC'!B33&lt;&gt;"",'3mC'!G33,"")</f>
        <v/>
      </c>
      <c r="H1983" s="97">
        <f>IF('3mC'!B33&lt;&gt;"",'3mC'!H33,"")</f>
        <v/>
      </c>
      <c r="I1983" s="97">
        <f>IF('3mC'!B33&lt;&gt;"",'3mC'!I33,"")</f>
        <v/>
      </c>
      <c r="J1983" s="78">
        <f>IF('3mC'!B33&lt;&gt;"",'3mC'!J33,"")</f>
        <v/>
      </c>
    </row>
    <row r="1984" ht="15.75" customHeight="1" s="52">
      <c r="A1984" s="92">
        <f>IF('3mC'!B34&lt;&gt;"","3mC","")</f>
        <v/>
      </c>
      <c r="B1984" s="82">
        <f>IF('3mC'!B34&lt;&gt;"",'3mC'!B34,"")</f>
        <v/>
      </c>
      <c r="C1984" s="82">
        <f>IF('3mC'!B34&lt;&gt;"",'3mC'!C34,"")</f>
        <v/>
      </c>
      <c r="D1984" s="82">
        <f>IF('3mC'!B34&lt;&gt;"",'3mC'!D34,"")</f>
        <v/>
      </c>
      <c r="E1984" s="82">
        <f>IF('3mC'!B34&lt;&gt;"",'3mC'!E34,"")</f>
        <v/>
      </c>
      <c r="F1984" s="82">
        <f>IF('3mC'!B34&lt;&gt;"",'3mC'!F34,"")</f>
        <v/>
      </c>
      <c r="G1984" s="82">
        <f>IF('3mC'!B34&lt;&gt;"",'3mC'!G34,"")</f>
        <v/>
      </c>
      <c r="H1984" s="92">
        <f>IF('3mC'!B34&lt;&gt;"",'3mC'!H34,"")</f>
        <v/>
      </c>
      <c r="I1984" s="92">
        <f>IF('3mC'!B34&lt;&gt;"",'3mC'!I34,"")</f>
        <v/>
      </c>
      <c r="J1984" s="82">
        <f>IF('3mC'!B34&lt;&gt;"",'3mC'!J34,"")</f>
        <v/>
      </c>
    </row>
    <row r="1985" ht="15.75" customHeight="1" s="52">
      <c r="A1985" s="97">
        <f>IF('3mC'!B35&lt;&gt;"","3mC","")</f>
        <v/>
      </c>
      <c r="B1985" s="78">
        <f>IF('3mC'!B35&lt;&gt;"",'3mC'!B35,"")</f>
        <v/>
      </c>
      <c r="C1985" s="78">
        <f>IF('3mC'!B35&lt;&gt;"",'3mC'!C35,"")</f>
        <v/>
      </c>
      <c r="D1985" s="78">
        <f>IF('3mC'!B35&lt;&gt;"",'3mC'!D35,"")</f>
        <v/>
      </c>
      <c r="E1985" s="78">
        <f>IF('3mC'!B35&lt;&gt;"",'3mC'!E35,"")</f>
        <v/>
      </c>
      <c r="F1985" s="78">
        <f>IF('3mC'!B35&lt;&gt;"",'3mC'!F35,"")</f>
        <v/>
      </c>
      <c r="G1985" s="78">
        <f>IF('3mC'!B35&lt;&gt;"",'3mC'!G35,"")</f>
        <v/>
      </c>
      <c r="H1985" s="97">
        <f>IF('3mC'!B35&lt;&gt;"",'3mC'!H35,"")</f>
        <v/>
      </c>
      <c r="I1985" s="97">
        <f>IF('3mC'!B35&lt;&gt;"",'3mC'!I35,"")</f>
        <v/>
      </c>
      <c r="J1985" s="78">
        <f>IF('3mC'!B35&lt;&gt;"",'3mC'!J35,"")</f>
        <v/>
      </c>
    </row>
    <row r="1986" ht="15.75" customHeight="1" s="52">
      <c r="A1986" s="92">
        <f>IF('3mC'!B36&lt;&gt;"","3mC","")</f>
        <v/>
      </c>
      <c r="B1986" s="82">
        <f>IF('3mC'!B36&lt;&gt;"",'3mC'!B36,"")</f>
        <v/>
      </c>
      <c r="C1986" s="82">
        <f>IF('3mC'!B36&lt;&gt;"",'3mC'!C36,"")</f>
        <v/>
      </c>
      <c r="D1986" s="82">
        <f>IF('3mC'!B36&lt;&gt;"",'3mC'!D36,"")</f>
        <v/>
      </c>
      <c r="E1986" s="82">
        <f>IF('3mC'!B36&lt;&gt;"",'3mC'!E36,"")</f>
        <v/>
      </c>
      <c r="F1986" s="82">
        <f>IF('3mC'!B36&lt;&gt;"",'3mC'!F36,"")</f>
        <v/>
      </c>
      <c r="G1986" s="82">
        <f>IF('3mC'!B36&lt;&gt;"",'3mC'!G36,"")</f>
        <v/>
      </c>
      <c r="H1986" s="92">
        <f>IF('3mC'!B36&lt;&gt;"",'3mC'!H36,"")</f>
        <v/>
      </c>
      <c r="I1986" s="92">
        <f>IF('3mC'!B36&lt;&gt;"",'3mC'!I36,"")</f>
        <v/>
      </c>
      <c r="J1986" s="82">
        <f>IF('3mC'!B36&lt;&gt;"",'3mC'!J36,"")</f>
        <v/>
      </c>
    </row>
    <row r="1987" ht="15.75" customHeight="1" s="52">
      <c r="A1987" s="97">
        <f>IF('3mC'!B37&lt;&gt;"","3mC","")</f>
        <v/>
      </c>
      <c r="B1987" s="78">
        <f>IF('3mC'!B37&lt;&gt;"",'3mC'!B37,"")</f>
        <v/>
      </c>
      <c r="C1987" s="78">
        <f>IF('3mC'!B37&lt;&gt;"",'3mC'!C37,"")</f>
        <v/>
      </c>
      <c r="D1987" s="78">
        <f>IF('3mC'!B37&lt;&gt;"",'3mC'!D37,"")</f>
        <v/>
      </c>
      <c r="E1987" s="78">
        <f>IF('3mC'!B37&lt;&gt;"",'3mC'!E37,"")</f>
        <v/>
      </c>
      <c r="F1987" s="78">
        <f>IF('3mC'!B37&lt;&gt;"",'3mC'!F37,"")</f>
        <v/>
      </c>
      <c r="G1987" s="78">
        <f>IF('3mC'!B37&lt;&gt;"",'3mC'!G37,"")</f>
        <v/>
      </c>
      <c r="H1987" s="97">
        <f>IF('3mC'!B37&lt;&gt;"",'3mC'!H37,"")</f>
        <v/>
      </c>
      <c r="I1987" s="97">
        <f>IF('3mC'!B37&lt;&gt;"",'3mC'!I37,"")</f>
        <v/>
      </c>
      <c r="J1987" s="78">
        <f>IF('3mC'!B37&lt;&gt;"",'3mC'!J37,"")</f>
        <v/>
      </c>
    </row>
    <row r="1988" ht="15.75" customHeight="1" s="52">
      <c r="A1988" s="92">
        <f>IF('3mC'!B38&lt;&gt;"","3mC","")</f>
        <v/>
      </c>
      <c r="B1988" s="82">
        <f>IF('3mC'!B38&lt;&gt;"",'3mC'!B38,"")</f>
        <v/>
      </c>
      <c r="C1988" s="82">
        <f>IF('3mC'!B38&lt;&gt;"",'3mC'!C38,"")</f>
        <v/>
      </c>
      <c r="D1988" s="82">
        <f>IF('3mC'!B38&lt;&gt;"",'3mC'!D38,"")</f>
        <v/>
      </c>
      <c r="E1988" s="82">
        <f>IF('3mC'!B38&lt;&gt;"",'3mC'!E38,"")</f>
        <v/>
      </c>
      <c r="F1988" s="82">
        <f>IF('3mC'!B38&lt;&gt;"",'3mC'!F38,"")</f>
        <v/>
      </c>
      <c r="G1988" s="82">
        <f>IF('3mC'!B38&lt;&gt;"",'3mC'!G38,"")</f>
        <v/>
      </c>
      <c r="H1988" s="92">
        <f>IF('3mC'!B38&lt;&gt;"",'3mC'!H38,"")</f>
        <v/>
      </c>
      <c r="I1988" s="92">
        <f>IF('3mC'!B38&lt;&gt;"",'3mC'!I38,"")</f>
        <v/>
      </c>
      <c r="J1988" s="82">
        <f>IF('3mC'!B38&lt;&gt;"",'3mC'!J38,"")</f>
        <v/>
      </c>
    </row>
    <row r="1989" ht="15.75" customHeight="1" s="52">
      <c r="A1989" s="97">
        <f>IF('3mC'!B39&lt;&gt;"","3mC","")</f>
        <v/>
      </c>
      <c r="B1989" s="78">
        <f>IF('3mC'!B39&lt;&gt;"",'3mC'!B39,"")</f>
        <v/>
      </c>
      <c r="C1989" s="78">
        <f>IF('3mC'!B39&lt;&gt;"",'3mC'!C39,"")</f>
        <v/>
      </c>
      <c r="D1989" s="78">
        <f>IF('3mC'!B39&lt;&gt;"",'3mC'!D39,"")</f>
        <v/>
      </c>
      <c r="E1989" s="78">
        <f>IF('3mC'!B39&lt;&gt;"",'3mC'!E39,"")</f>
        <v/>
      </c>
      <c r="F1989" s="78">
        <f>IF('3mC'!B39&lt;&gt;"",'3mC'!F39,"")</f>
        <v/>
      </c>
      <c r="G1989" s="78">
        <f>IF('3mC'!B39&lt;&gt;"",'3mC'!G39,"")</f>
        <v/>
      </c>
      <c r="H1989" s="97">
        <f>IF('3mC'!B39&lt;&gt;"",'3mC'!H39,"")</f>
        <v/>
      </c>
      <c r="I1989" s="97">
        <f>IF('3mC'!B39&lt;&gt;"",'3mC'!I39,"")</f>
        <v/>
      </c>
      <c r="J1989" s="78">
        <f>IF('3mC'!B39&lt;&gt;"",'3mC'!J39,"")</f>
        <v/>
      </c>
    </row>
    <row r="1990" ht="15.75" customHeight="1" s="52">
      <c r="A1990" s="92">
        <f>IF('3mC'!B40&lt;&gt;"","3mC","")</f>
        <v/>
      </c>
      <c r="B1990" s="82">
        <f>IF('3mC'!B40&lt;&gt;"",'3mC'!B40,"")</f>
        <v/>
      </c>
      <c r="C1990" s="82">
        <f>IF('3mC'!B40&lt;&gt;"",'3mC'!C40,"")</f>
        <v/>
      </c>
      <c r="D1990" s="82">
        <f>IF('3mC'!B40&lt;&gt;"",'3mC'!D40,"")</f>
        <v/>
      </c>
      <c r="E1990" s="82">
        <f>IF('3mC'!B40&lt;&gt;"",'3mC'!E40,"")</f>
        <v/>
      </c>
      <c r="F1990" s="82">
        <f>IF('3mC'!B40&lt;&gt;"",'3mC'!F40,"")</f>
        <v/>
      </c>
      <c r="G1990" s="82">
        <f>IF('3mC'!B40&lt;&gt;"",'3mC'!G40,"")</f>
        <v/>
      </c>
      <c r="H1990" s="92">
        <f>IF('3mC'!B40&lt;&gt;"",'3mC'!H40,"")</f>
        <v/>
      </c>
      <c r="I1990" s="92">
        <f>IF('3mC'!B40&lt;&gt;"",'3mC'!I40,"")</f>
        <v/>
      </c>
      <c r="J1990" s="82">
        <f>IF('3mC'!B40&lt;&gt;"",'3mC'!J40,"")</f>
        <v/>
      </c>
    </row>
    <row r="1991" ht="15.75" customHeight="1" s="52">
      <c r="A1991" s="97">
        <f>IF('3mC'!B41&lt;&gt;"","3mC","")</f>
        <v/>
      </c>
      <c r="B1991" s="78">
        <f>IF('3mC'!B41&lt;&gt;"",'3mC'!B41,"")</f>
        <v/>
      </c>
      <c r="C1991" s="78">
        <f>IF('3mC'!B41&lt;&gt;"",'3mC'!C41,"")</f>
        <v/>
      </c>
      <c r="D1991" s="78">
        <f>IF('3mC'!B41&lt;&gt;"",'3mC'!D41,"")</f>
        <v/>
      </c>
      <c r="E1991" s="78">
        <f>IF('3mC'!B41&lt;&gt;"",'3mC'!E41,"")</f>
        <v/>
      </c>
      <c r="F1991" s="78">
        <f>IF('3mC'!B41&lt;&gt;"",'3mC'!F41,"")</f>
        <v/>
      </c>
      <c r="G1991" s="78">
        <f>IF('3mC'!B41&lt;&gt;"",'3mC'!G41,"")</f>
        <v/>
      </c>
      <c r="H1991" s="97">
        <f>IF('3mC'!B41&lt;&gt;"",'3mC'!H41,"")</f>
        <v/>
      </c>
      <c r="I1991" s="97">
        <f>IF('3mC'!B41&lt;&gt;"",'3mC'!I41,"")</f>
        <v/>
      </c>
      <c r="J1991" s="78">
        <f>IF('3mC'!B41&lt;&gt;"",'3mC'!J41,"")</f>
        <v/>
      </c>
    </row>
    <row r="1992" ht="15.75" customHeight="1" s="52">
      <c r="A1992" s="92">
        <f>IF('3mC'!B42&lt;&gt;"","3mC","")</f>
        <v/>
      </c>
      <c r="B1992" s="82">
        <f>IF('3mC'!B42&lt;&gt;"",'3mC'!B42,"")</f>
        <v/>
      </c>
      <c r="C1992" s="82">
        <f>IF('3mC'!B42&lt;&gt;"",'3mC'!C42,"")</f>
        <v/>
      </c>
      <c r="D1992" s="82">
        <f>IF('3mC'!B42&lt;&gt;"",'3mC'!D42,"")</f>
        <v/>
      </c>
      <c r="E1992" s="82">
        <f>IF('3mC'!B42&lt;&gt;"",'3mC'!E42,"")</f>
        <v/>
      </c>
      <c r="F1992" s="82">
        <f>IF('3mC'!B42&lt;&gt;"",'3mC'!F42,"")</f>
        <v/>
      </c>
      <c r="G1992" s="82">
        <f>IF('3mC'!B42&lt;&gt;"",'3mC'!G42,"")</f>
        <v/>
      </c>
      <c r="H1992" s="92">
        <f>IF('3mC'!B42&lt;&gt;"",'3mC'!H42,"")</f>
        <v/>
      </c>
      <c r="I1992" s="92">
        <f>IF('3mC'!B42&lt;&gt;"",'3mC'!I42,"")</f>
        <v/>
      </c>
      <c r="J1992" s="82">
        <f>IF('3mC'!B42&lt;&gt;"",'3mC'!J42,"")</f>
        <v/>
      </c>
    </row>
    <row r="1993" ht="15.75" customHeight="1" s="52">
      <c r="A1993" s="97">
        <f>IF('3mC'!B43&lt;&gt;"","3mC","")</f>
        <v/>
      </c>
      <c r="B1993" s="78">
        <f>IF('3mC'!B43&lt;&gt;"",'3mC'!B43,"")</f>
        <v/>
      </c>
      <c r="C1993" s="78">
        <f>IF('3mC'!B43&lt;&gt;"",'3mC'!C43,"")</f>
        <v/>
      </c>
      <c r="D1993" s="78">
        <f>IF('3mC'!B43&lt;&gt;"",'3mC'!D43,"")</f>
        <v/>
      </c>
      <c r="E1993" s="78">
        <f>IF('3mC'!B43&lt;&gt;"",'3mC'!E43,"")</f>
        <v/>
      </c>
      <c r="F1993" s="78">
        <f>IF('3mC'!B43&lt;&gt;"",'3mC'!F43,"")</f>
        <v/>
      </c>
      <c r="G1993" s="78">
        <f>IF('3mC'!B43&lt;&gt;"",'3mC'!G43,"")</f>
        <v/>
      </c>
      <c r="H1993" s="97">
        <f>IF('3mC'!B43&lt;&gt;"",'3mC'!H43,"")</f>
        <v/>
      </c>
      <c r="I1993" s="97">
        <f>IF('3mC'!B43&lt;&gt;"",'3mC'!I43,"")</f>
        <v/>
      </c>
      <c r="J1993" s="78">
        <f>IF('3mC'!B43&lt;&gt;"",'3mC'!J43,"")</f>
        <v/>
      </c>
    </row>
    <row r="1994" ht="15.75" customHeight="1" s="52">
      <c r="A1994" s="92">
        <f>IF('3mC'!B44&lt;&gt;"","3mC","")</f>
        <v/>
      </c>
      <c r="B1994" s="82">
        <f>IF('3mC'!B44&lt;&gt;"",'3mC'!B44,"")</f>
        <v/>
      </c>
      <c r="C1994" s="82">
        <f>IF('3mC'!B44&lt;&gt;"",'3mC'!C44,"")</f>
        <v/>
      </c>
      <c r="D1994" s="82">
        <f>IF('3mC'!B44&lt;&gt;"",'3mC'!D44,"")</f>
        <v/>
      </c>
      <c r="E1994" s="82">
        <f>IF('3mC'!B44&lt;&gt;"",'3mC'!E44,"")</f>
        <v/>
      </c>
      <c r="F1994" s="82">
        <f>IF('3mC'!B44&lt;&gt;"",'3mC'!F44,"")</f>
        <v/>
      </c>
      <c r="G1994" s="82">
        <f>IF('3mC'!B44&lt;&gt;"",'3mC'!G44,"")</f>
        <v/>
      </c>
      <c r="H1994" s="92">
        <f>IF('3mC'!B44&lt;&gt;"",'3mC'!H44,"")</f>
        <v/>
      </c>
      <c r="I1994" s="92">
        <f>IF('3mC'!B44&lt;&gt;"",'3mC'!I44,"")</f>
        <v/>
      </c>
      <c r="J1994" s="82">
        <f>IF('3mC'!B44&lt;&gt;"",'3mC'!J44,"")</f>
        <v/>
      </c>
    </row>
    <row r="1995" ht="15.75" customHeight="1" s="52">
      <c r="A1995" s="97">
        <f>IF('3mC'!B45&lt;&gt;"","3mC","")</f>
        <v/>
      </c>
      <c r="B1995" s="78">
        <f>IF('3mC'!B45&lt;&gt;"",'3mC'!B45,"")</f>
        <v/>
      </c>
      <c r="C1995" s="78">
        <f>IF('3mC'!B45&lt;&gt;"",'3mC'!C45,"")</f>
        <v/>
      </c>
      <c r="D1995" s="78">
        <f>IF('3mC'!B45&lt;&gt;"",'3mC'!D45,"")</f>
        <v/>
      </c>
      <c r="E1995" s="78">
        <f>IF('3mC'!B45&lt;&gt;"",'3mC'!E45,"")</f>
        <v/>
      </c>
      <c r="F1995" s="78">
        <f>IF('3mC'!B45&lt;&gt;"",'3mC'!F45,"")</f>
        <v/>
      </c>
      <c r="G1995" s="78">
        <f>IF('3mC'!B45&lt;&gt;"",'3mC'!G45,"")</f>
        <v/>
      </c>
      <c r="H1995" s="97">
        <f>IF('3mC'!B45&lt;&gt;"",'3mC'!H45,"")</f>
        <v/>
      </c>
      <c r="I1995" s="97">
        <f>IF('3mC'!B45&lt;&gt;"",'3mC'!I45,"")</f>
        <v/>
      </c>
      <c r="J1995" s="78">
        <f>IF('3mC'!B45&lt;&gt;"",'3mC'!J45,"")</f>
        <v/>
      </c>
    </row>
    <row r="1996" ht="15.75" customHeight="1" s="52">
      <c r="A1996" s="92">
        <f>IF('3mC'!B46&lt;&gt;"","3mC","")</f>
        <v/>
      </c>
      <c r="B1996" s="82">
        <f>IF('3mC'!B46&lt;&gt;"",'3mC'!B46,"")</f>
        <v/>
      </c>
      <c r="C1996" s="82">
        <f>IF('3mC'!B46&lt;&gt;"",'3mC'!C46,"")</f>
        <v/>
      </c>
      <c r="D1996" s="82">
        <f>IF('3mC'!B46&lt;&gt;"",'3mC'!D46,"")</f>
        <v/>
      </c>
      <c r="E1996" s="82">
        <f>IF('3mC'!B46&lt;&gt;"",'3mC'!E46,"")</f>
        <v/>
      </c>
      <c r="F1996" s="82">
        <f>IF('3mC'!B46&lt;&gt;"",'3mC'!F46,"")</f>
        <v/>
      </c>
      <c r="G1996" s="82">
        <f>IF('3mC'!B46&lt;&gt;"",'3mC'!G46,"")</f>
        <v/>
      </c>
      <c r="H1996" s="92">
        <f>IF('3mC'!B46&lt;&gt;"",'3mC'!H46,"")</f>
        <v/>
      </c>
      <c r="I1996" s="92">
        <f>IF('3mC'!B46&lt;&gt;"",'3mC'!I46,"")</f>
        <v/>
      </c>
      <c r="J1996" s="82">
        <f>IF('3mC'!B46&lt;&gt;"",'3mC'!J46,"")</f>
        <v/>
      </c>
    </row>
    <row r="1997" ht="15.75" customHeight="1" s="52">
      <c r="A1997" s="97">
        <f>IF('3mC'!B47&lt;&gt;"","3mC","")</f>
        <v/>
      </c>
      <c r="B1997" s="78">
        <f>IF('3mC'!B47&lt;&gt;"",'3mC'!B47,"")</f>
        <v/>
      </c>
      <c r="C1997" s="78">
        <f>IF('3mC'!B47&lt;&gt;"",'3mC'!C47,"")</f>
        <v/>
      </c>
      <c r="D1997" s="78">
        <f>IF('3mC'!B47&lt;&gt;"",'3mC'!D47,"")</f>
        <v/>
      </c>
      <c r="E1997" s="78">
        <f>IF('3mC'!B47&lt;&gt;"",'3mC'!E47,"")</f>
        <v/>
      </c>
      <c r="F1997" s="78">
        <f>IF('3mC'!B47&lt;&gt;"",'3mC'!F47,"")</f>
        <v/>
      </c>
      <c r="G1997" s="78">
        <f>IF('3mC'!B47&lt;&gt;"",'3mC'!G47,"")</f>
        <v/>
      </c>
      <c r="H1997" s="97">
        <f>IF('3mC'!B47&lt;&gt;"",'3mC'!H47,"")</f>
        <v/>
      </c>
      <c r="I1997" s="97">
        <f>IF('3mC'!B47&lt;&gt;"",'3mC'!I47,"")</f>
        <v/>
      </c>
      <c r="J1997" s="78">
        <f>IF('3mC'!B47&lt;&gt;"",'3mC'!J47,"")</f>
        <v/>
      </c>
    </row>
    <row r="1998" ht="15.75" customHeight="1" s="52">
      <c r="A1998" s="92">
        <f>IF('3mC'!B48&lt;&gt;"","3mC","")</f>
        <v/>
      </c>
      <c r="B1998" s="82">
        <f>IF('3mC'!B48&lt;&gt;"",'3mC'!B48,"")</f>
        <v/>
      </c>
      <c r="C1998" s="82">
        <f>IF('3mC'!B48&lt;&gt;"",'3mC'!C48,"")</f>
        <v/>
      </c>
      <c r="D1998" s="82">
        <f>IF('3mC'!B48&lt;&gt;"",'3mC'!D48,"")</f>
        <v/>
      </c>
      <c r="E1998" s="82">
        <f>IF('3mC'!B48&lt;&gt;"",'3mC'!E48,"")</f>
        <v/>
      </c>
      <c r="F1998" s="82">
        <f>IF('3mC'!B48&lt;&gt;"",'3mC'!F48,"")</f>
        <v/>
      </c>
      <c r="G1998" s="82">
        <f>IF('3mC'!B48&lt;&gt;"",'3mC'!G48,"")</f>
        <v/>
      </c>
      <c r="H1998" s="92">
        <f>IF('3mC'!B48&lt;&gt;"",'3mC'!H48,"")</f>
        <v/>
      </c>
      <c r="I1998" s="92">
        <f>IF('3mC'!B48&lt;&gt;"",'3mC'!I48,"")</f>
        <v/>
      </c>
      <c r="J1998" s="82">
        <f>IF('3mC'!B48&lt;&gt;"",'3mC'!J48,"")</f>
        <v/>
      </c>
    </row>
    <row r="1999" ht="15.75" customHeight="1" s="52">
      <c r="A1999" s="97">
        <f>IF('3mC'!B49&lt;&gt;"","3mC","")</f>
        <v/>
      </c>
      <c r="B1999" s="78">
        <f>IF('3mC'!B49&lt;&gt;"",'3mC'!B49,"")</f>
        <v/>
      </c>
      <c r="C1999" s="78">
        <f>IF('3mC'!B49&lt;&gt;"",'3mC'!C49,"")</f>
        <v/>
      </c>
      <c r="D1999" s="78">
        <f>IF('3mC'!B49&lt;&gt;"",'3mC'!D49,"")</f>
        <v/>
      </c>
      <c r="E1999" s="78">
        <f>IF('3mC'!B49&lt;&gt;"",'3mC'!E49,"")</f>
        <v/>
      </c>
      <c r="F1999" s="78">
        <f>IF('3mC'!B49&lt;&gt;"",'3mC'!F49,"")</f>
        <v/>
      </c>
      <c r="G1999" s="78">
        <f>IF('3mC'!B49&lt;&gt;"",'3mC'!G49,"")</f>
        <v/>
      </c>
      <c r="H1999" s="97">
        <f>IF('3mC'!B49&lt;&gt;"",'3mC'!H49,"")</f>
        <v/>
      </c>
      <c r="I1999" s="97">
        <f>IF('3mC'!B49&lt;&gt;"",'3mC'!I49,"")</f>
        <v/>
      </c>
      <c r="J1999" s="78">
        <f>IF('3mC'!B49&lt;&gt;"",'3mC'!J49,"")</f>
        <v/>
      </c>
    </row>
    <row r="2000" ht="15.75" customHeight="1" s="52">
      <c r="A2000" s="92">
        <f>IF('3mC'!B50&lt;&gt;"","3mC","")</f>
        <v/>
      </c>
      <c r="B2000" s="82">
        <f>IF('3mC'!B50&lt;&gt;"",'3mC'!B50,"")</f>
        <v/>
      </c>
      <c r="C2000" s="82">
        <f>IF('3mC'!B50&lt;&gt;"",'3mC'!C50,"")</f>
        <v/>
      </c>
      <c r="D2000" s="82">
        <f>IF('3mC'!B50&lt;&gt;"",'3mC'!D50,"")</f>
        <v/>
      </c>
      <c r="E2000" s="82">
        <f>IF('3mC'!B50&lt;&gt;"",'3mC'!E50,"")</f>
        <v/>
      </c>
      <c r="F2000" s="82">
        <f>IF('3mC'!B50&lt;&gt;"",'3mC'!F50,"")</f>
        <v/>
      </c>
      <c r="G2000" s="82">
        <f>IF('3mC'!B50&lt;&gt;"",'3mC'!G50,"")</f>
        <v/>
      </c>
      <c r="H2000" s="92">
        <f>IF('3mC'!B50&lt;&gt;"",'3mC'!H50,"")</f>
        <v/>
      </c>
      <c r="I2000" s="92">
        <f>IF('3mC'!B50&lt;&gt;"",'3mC'!I50,"")</f>
        <v/>
      </c>
      <c r="J2000" s="82">
        <f>IF('3mC'!B50&lt;&gt;"",'3mC'!J50,"")</f>
        <v/>
      </c>
    </row>
    <row r="2001" ht="15.75" customHeight="1" s="52">
      <c r="A2001" s="97">
        <f>IF('3mC'!B51&lt;&gt;"","3mC","")</f>
        <v/>
      </c>
      <c r="B2001" s="78">
        <f>IF('3mC'!B51&lt;&gt;"",'3mC'!B51,"")</f>
        <v/>
      </c>
      <c r="C2001" s="78">
        <f>IF('3mC'!B51&lt;&gt;"",'3mC'!C51,"")</f>
        <v/>
      </c>
      <c r="D2001" s="78">
        <f>IF('3mC'!B51&lt;&gt;"",'3mC'!D51,"")</f>
        <v/>
      </c>
      <c r="E2001" s="78">
        <f>IF('3mC'!B51&lt;&gt;"",'3mC'!E51,"")</f>
        <v/>
      </c>
      <c r="F2001" s="78">
        <f>IF('3mC'!B51&lt;&gt;"",'3mC'!F51,"")</f>
        <v/>
      </c>
      <c r="G2001" s="78">
        <f>IF('3mC'!B51&lt;&gt;"",'3mC'!G51,"")</f>
        <v/>
      </c>
      <c r="H2001" s="97">
        <f>IF('3mC'!B51&lt;&gt;"",'3mC'!H51,"")</f>
        <v/>
      </c>
      <c r="I2001" s="97">
        <f>IF('3mC'!B51&lt;&gt;"",'3mC'!I51,"")</f>
        <v/>
      </c>
      <c r="J2001" s="78">
        <f>IF('3mC'!B51&lt;&gt;"",'3mC'!J51,"")</f>
        <v/>
      </c>
    </row>
    <row r="2002" ht="15.75" customHeight="1" s="52">
      <c r="A2002" s="92">
        <f>IF('3mC'!B52&lt;&gt;"","3mC","")</f>
        <v/>
      </c>
      <c r="B2002" s="82">
        <f>IF('3mC'!B52&lt;&gt;"",'3mC'!B52,"")</f>
        <v/>
      </c>
      <c r="C2002" s="82">
        <f>IF('3mC'!B52&lt;&gt;"",'3mC'!C52,"")</f>
        <v/>
      </c>
      <c r="D2002" s="82">
        <f>IF('3mC'!B52&lt;&gt;"",'3mC'!D52,"")</f>
        <v/>
      </c>
      <c r="E2002" s="82">
        <f>IF('3mC'!B52&lt;&gt;"",'3mC'!E52,"")</f>
        <v/>
      </c>
      <c r="F2002" s="82">
        <f>IF('3mC'!B52&lt;&gt;"",'3mC'!F52,"")</f>
        <v/>
      </c>
      <c r="G2002" s="82">
        <f>IF('3mC'!B52&lt;&gt;"",'3mC'!G52,"")</f>
        <v/>
      </c>
      <c r="H2002" s="92">
        <f>IF('3mC'!B52&lt;&gt;"",'3mC'!H52,"")</f>
        <v/>
      </c>
      <c r="I2002" s="92">
        <f>IF('3mC'!B52&lt;&gt;"",'3mC'!I52,"")</f>
        <v/>
      </c>
      <c r="J2002" s="82">
        <f>IF('3mC'!B52&lt;&gt;"",'3mC'!J52,"")</f>
        <v/>
      </c>
    </row>
    <row r="2003" ht="15.75" customHeight="1" s="52">
      <c r="A2003" s="97">
        <f>IF('3mC'!B53&lt;&gt;"","3mC","")</f>
        <v/>
      </c>
      <c r="B2003" s="78">
        <f>IF('3mC'!B53&lt;&gt;"",'3mC'!B53,"")</f>
        <v/>
      </c>
      <c r="C2003" s="78">
        <f>IF('3mC'!B53&lt;&gt;"",'3mC'!C53,"")</f>
        <v/>
      </c>
      <c r="D2003" s="78">
        <f>IF('3mC'!B53&lt;&gt;"",'3mC'!D53,"")</f>
        <v/>
      </c>
      <c r="E2003" s="78">
        <f>IF('3mC'!B53&lt;&gt;"",'3mC'!E53,"")</f>
        <v/>
      </c>
      <c r="F2003" s="78">
        <f>IF('3mC'!B53&lt;&gt;"",'3mC'!F53,"")</f>
        <v/>
      </c>
      <c r="G2003" s="78">
        <f>IF('3mC'!B53&lt;&gt;"",'3mC'!G53,"")</f>
        <v/>
      </c>
      <c r="H2003" s="97">
        <f>IF('3mC'!B53&lt;&gt;"",'3mC'!H53,"")</f>
        <v/>
      </c>
      <c r="I2003" s="97">
        <f>IF('3mC'!B53&lt;&gt;"",'3mC'!I53,"")</f>
        <v/>
      </c>
      <c r="J2003" s="78">
        <f>IF('3mC'!B53&lt;&gt;"",'3mC'!J53,"")</f>
        <v/>
      </c>
    </row>
    <row r="2004" ht="15.75" customHeight="1" s="52">
      <c r="A2004" s="92">
        <f>IF('3mC'!B54&lt;&gt;"","3mC","")</f>
        <v/>
      </c>
      <c r="B2004" s="82">
        <f>IF('3mC'!B54&lt;&gt;"",'3mC'!B54,"")</f>
        <v/>
      </c>
      <c r="C2004" s="82">
        <f>IF('3mC'!B54&lt;&gt;"",'3mC'!C54,"")</f>
        <v/>
      </c>
      <c r="D2004" s="82">
        <f>IF('3mC'!B54&lt;&gt;"",'3mC'!D54,"")</f>
        <v/>
      </c>
      <c r="E2004" s="82">
        <f>IF('3mC'!B54&lt;&gt;"",'3mC'!E54,"")</f>
        <v/>
      </c>
      <c r="F2004" s="82">
        <f>IF('3mC'!B54&lt;&gt;"",'3mC'!F54,"")</f>
        <v/>
      </c>
      <c r="G2004" s="82">
        <f>IF('3mC'!B54&lt;&gt;"",'3mC'!G54,"")</f>
        <v/>
      </c>
      <c r="H2004" s="92">
        <f>IF('3mC'!B54&lt;&gt;"",'3mC'!H54,"")</f>
        <v/>
      </c>
      <c r="I2004" s="92">
        <f>IF('3mC'!B54&lt;&gt;"",'3mC'!I54,"")</f>
        <v/>
      </c>
      <c r="J2004" s="82">
        <f>IF('3mC'!B54&lt;&gt;"",'3mC'!J54,"")</f>
        <v/>
      </c>
    </row>
    <row r="2005" ht="15.75" customHeight="1" s="52">
      <c r="A2005" s="97">
        <f>IF('3mD'!B5&lt;&gt;"","3mD","")</f>
        <v/>
      </c>
      <c r="B2005" s="78">
        <f>IF('3mD'!B5&lt;&gt;"",'3mD'!B5,"")</f>
        <v/>
      </c>
      <c r="C2005" s="78">
        <f>IF('3mD'!B5&lt;&gt;"",'3mD'!C5,"")</f>
        <v/>
      </c>
      <c r="D2005" s="78">
        <f>IF('3mD'!B5&lt;&gt;"",'3mD'!D5,"")</f>
        <v/>
      </c>
      <c r="E2005" s="78">
        <f>IF('3mD'!B5&lt;&gt;"",'3mD'!E5,"")</f>
        <v/>
      </c>
      <c r="F2005" s="78">
        <f>IF('3mD'!B5&lt;&gt;"",'3mD'!F5,"")</f>
        <v/>
      </c>
      <c r="G2005" s="78">
        <f>IF('3mD'!B5&lt;&gt;"",'3mD'!G5,"")</f>
        <v/>
      </c>
      <c r="H2005" s="97">
        <f>IF('3mD'!B5&lt;&gt;"",'3mD'!H5,"")</f>
        <v/>
      </c>
      <c r="I2005" s="97">
        <f>IF('3mD'!B5&lt;&gt;"",'3mD'!I5,"")</f>
        <v/>
      </c>
      <c r="J2005" s="78">
        <f>IF('3mD'!B5&lt;&gt;"",'3mD'!J5,"")</f>
        <v/>
      </c>
    </row>
    <row r="2006" ht="15.75" customHeight="1" s="52">
      <c r="A2006" s="92">
        <f>IF('3mD'!B6&lt;&gt;"","3mD","")</f>
        <v/>
      </c>
      <c r="B2006" s="82">
        <f>IF('3mD'!B6&lt;&gt;"",'3mD'!B6,"")</f>
        <v/>
      </c>
      <c r="C2006" s="82">
        <f>IF('3mD'!B6&lt;&gt;"",'3mD'!C6,"")</f>
        <v/>
      </c>
      <c r="D2006" s="82">
        <f>IF('3mD'!B6&lt;&gt;"",'3mD'!D6,"")</f>
        <v/>
      </c>
      <c r="E2006" s="82">
        <f>IF('3mD'!B6&lt;&gt;"",'3mD'!E6,"")</f>
        <v/>
      </c>
      <c r="F2006" s="82">
        <f>IF('3mD'!B6&lt;&gt;"",'3mD'!F6,"")</f>
        <v/>
      </c>
      <c r="G2006" s="82">
        <f>IF('3mD'!B6&lt;&gt;"",'3mD'!G6,"")</f>
        <v/>
      </c>
      <c r="H2006" s="92">
        <f>IF('3mD'!B6&lt;&gt;"",'3mD'!H6,"")</f>
        <v/>
      </c>
      <c r="I2006" s="92">
        <f>IF('3mD'!B6&lt;&gt;"",'3mD'!I6,"")</f>
        <v/>
      </c>
      <c r="J2006" s="82">
        <f>IF('3mD'!B6&lt;&gt;"",'3mD'!J6,"")</f>
        <v/>
      </c>
    </row>
    <row r="2007" ht="15.75" customHeight="1" s="52">
      <c r="A2007" s="97">
        <f>IF('3mD'!B7&lt;&gt;"","3mD","")</f>
        <v/>
      </c>
      <c r="B2007" s="78">
        <f>IF('3mD'!B7&lt;&gt;"",'3mD'!B7,"")</f>
        <v/>
      </c>
      <c r="C2007" s="78">
        <f>IF('3mD'!B7&lt;&gt;"",'3mD'!C7,"")</f>
        <v/>
      </c>
      <c r="D2007" s="78">
        <f>IF('3mD'!B7&lt;&gt;"",'3mD'!D7,"")</f>
        <v/>
      </c>
      <c r="E2007" s="78">
        <f>IF('3mD'!B7&lt;&gt;"",'3mD'!E7,"")</f>
        <v/>
      </c>
      <c r="F2007" s="78">
        <f>IF('3mD'!B7&lt;&gt;"",'3mD'!F7,"")</f>
        <v/>
      </c>
      <c r="G2007" s="78">
        <f>IF('3mD'!B7&lt;&gt;"",'3mD'!G7,"")</f>
        <v/>
      </c>
      <c r="H2007" s="97">
        <f>IF('3mD'!B7&lt;&gt;"",'3mD'!H7,"")</f>
        <v/>
      </c>
      <c r="I2007" s="97">
        <f>IF('3mD'!B7&lt;&gt;"",'3mD'!I7,"")</f>
        <v/>
      </c>
      <c r="J2007" s="78">
        <f>IF('3mD'!B7&lt;&gt;"",'3mD'!J7,"")</f>
        <v/>
      </c>
    </row>
    <row r="2008" ht="15.75" customHeight="1" s="52">
      <c r="A2008" s="92">
        <f>IF('3mD'!B8&lt;&gt;"","3mD","")</f>
        <v/>
      </c>
      <c r="B2008" s="82">
        <f>IF('3mD'!B8&lt;&gt;"",'3mD'!B8,"")</f>
        <v/>
      </c>
      <c r="C2008" s="82">
        <f>IF('3mD'!B8&lt;&gt;"",'3mD'!C8,"")</f>
        <v/>
      </c>
      <c r="D2008" s="82">
        <f>IF('3mD'!B8&lt;&gt;"",'3mD'!D8,"")</f>
        <v/>
      </c>
      <c r="E2008" s="82">
        <f>IF('3mD'!B8&lt;&gt;"",'3mD'!E8,"")</f>
        <v/>
      </c>
      <c r="F2008" s="82">
        <f>IF('3mD'!B8&lt;&gt;"",'3mD'!F8,"")</f>
        <v/>
      </c>
      <c r="G2008" s="82">
        <f>IF('3mD'!B8&lt;&gt;"",'3mD'!G8,"")</f>
        <v/>
      </c>
      <c r="H2008" s="92">
        <f>IF('3mD'!B8&lt;&gt;"",'3mD'!H8,"")</f>
        <v/>
      </c>
      <c r="I2008" s="92">
        <f>IF('3mD'!B8&lt;&gt;"",'3mD'!I8,"")</f>
        <v/>
      </c>
      <c r="J2008" s="82">
        <f>IF('3mD'!B8&lt;&gt;"",'3mD'!J8,"")</f>
        <v/>
      </c>
    </row>
    <row r="2009" ht="15.75" customHeight="1" s="52">
      <c r="A2009" s="97">
        <f>IF('3mD'!B9&lt;&gt;"","3mD","")</f>
        <v/>
      </c>
      <c r="B2009" s="78">
        <f>IF('3mD'!B9&lt;&gt;"",'3mD'!B9,"")</f>
        <v/>
      </c>
      <c r="C2009" s="78">
        <f>IF('3mD'!B9&lt;&gt;"",'3mD'!C9,"")</f>
        <v/>
      </c>
      <c r="D2009" s="78">
        <f>IF('3mD'!B9&lt;&gt;"",'3mD'!D9,"")</f>
        <v/>
      </c>
      <c r="E2009" s="78">
        <f>IF('3mD'!B9&lt;&gt;"",'3mD'!E9,"")</f>
        <v/>
      </c>
      <c r="F2009" s="78">
        <f>IF('3mD'!B9&lt;&gt;"",'3mD'!F9,"")</f>
        <v/>
      </c>
      <c r="G2009" s="78">
        <f>IF('3mD'!B9&lt;&gt;"",'3mD'!G9,"")</f>
        <v/>
      </c>
      <c r="H2009" s="97">
        <f>IF('3mD'!B9&lt;&gt;"",'3mD'!H9,"")</f>
        <v/>
      </c>
      <c r="I2009" s="97">
        <f>IF('3mD'!B9&lt;&gt;"",'3mD'!I9,"")</f>
        <v/>
      </c>
      <c r="J2009" s="78">
        <f>IF('3mD'!B9&lt;&gt;"",'3mD'!J9,"")</f>
        <v/>
      </c>
    </row>
    <row r="2010" ht="15.75" customHeight="1" s="52">
      <c r="A2010" s="92">
        <f>IF('3mD'!B10&lt;&gt;"","3mD","")</f>
        <v/>
      </c>
      <c r="B2010" s="82">
        <f>IF('3mD'!B10&lt;&gt;"",'3mD'!B10,"")</f>
        <v/>
      </c>
      <c r="C2010" s="82">
        <f>IF('3mD'!B10&lt;&gt;"",'3mD'!C10,"")</f>
        <v/>
      </c>
      <c r="D2010" s="82">
        <f>IF('3mD'!B10&lt;&gt;"",'3mD'!D10,"")</f>
        <v/>
      </c>
      <c r="E2010" s="82">
        <f>IF('3mD'!B10&lt;&gt;"",'3mD'!E10,"")</f>
        <v/>
      </c>
      <c r="F2010" s="82">
        <f>IF('3mD'!B10&lt;&gt;"",'3mD'!F10,"")</f>
        <v/>
      </c>
      <c r="G2010" s="82">
        <f>IF('3mD'!B10&lt;&gt;"",'3mD'!G10,"")</f>
        <v/>
      </c>
      <c r="H2010" s="92">
        <f>IF('3mD'!B10&lt;&gt;"",'3mD'!H10,"")</f>
        <v/>
      </c>
      <c r="I2010" s="92">
        <f>IF('3mD'!B10&lt;&gt;"",'3mD'!I10,"")</f>
        <v/>
      </c>
      <c r="J2010" s="82">
        <f>IF('3mD'!B10&lt;&gt;"",'3mD'!J10,"")</f>
        <v/>
      </c>
    </row>
    <row r="2011" ht="15.75" customHeight="1" s="52">
      <c r="A2011" s="97">
        <f>IF('3mD'!B11&lt;&gt;"","3mD","")</f>
        <v/>
      </c>
      <c r="B2011" s="78">
        <f>IF('3mD'!B11&lt;&gt;"",'3mD'!B11,"")</f>
        <v/>
      </c>
      <c r="C2011" s="78">
        <f>IF('3mD'!B11&lt;&gt;"",'3mD'!C11,"")</f>
        <v/>
      </c>
      <c r="D2011" s="78">
        <f>IF('3mD'!B11&lt;&gt;"",'3mD'!D11,"")</f>
        <v/>
      </c>
      <c r="E2011" s="78">
        <f>IF('3mD'!B11&lt;&gt;"",'3mD'!E11,"")</f>
        <v/>
      </c>
      <c r="F2011" s="78">
        <f>IF('3mD'!B11&lt;&gt;"",'3mD'!F11,"")</f>
        <v/>
      </c>
      <c r="G2011" s="78">
        <f>IF('3mD'!B11&lt;&gt;"",'3mD'!G11,"")</f>
        <v/>
      </c>
      <c r="H2011" s="97">
        <f>IF('3mD'!B11&lt;&gt;"",'3mD'!H11,"")</f>
        <v/>
      </c>
      <c r="I2011" s="97">
        <f>IF('3mD'!B11&lt;&gt;"",'3mD'!I11,"")</f>
        <v/>
      </c>
      <c r="J2011" s="78">
        <f>IF('3mD'!B11&lt;&gt;"",'3mD'!J11,"")</f>
        <v/>
      </c>
    </row>
    <row r="2012" ht="15.75" customHeight="1" s="52">
      <c r="A2012" s="92">
        <f>IF('3mD'!B12&lt;&gt;"","3mD","")</f>
        <v/>
      </c>
      <c r="B2012" s="82">
        <f>IF('3mD'!B12&lt;&gt;"",'3mD'!B12,"")</f>
        <v/>
      </c>
      <c r="C2012" s="82">
        <f>IF('3mD'!B12&lt;&gt;"",'3mD'!C12,"")</f>
        <v/>
      </c>
      <c r="D2012" s="82">
        <f>IF('3mD'!B12&lt;&gt;"",'3mD'!D12,"")</f>
        <v/>
      </c>
      <c r="E2012" s="82">
        <f>IF('3mD'!B12&lt;&gt;"",'3mD'!E12,"")</f>
        <v/>
      </c>
      <c r="F2012" s="82">
        <f>IF('3mD'!B12&lt;&gt;"",'3mD'!F12,"")</f>
        <v/>
      </c>
      <c r="G2012" s="82">
        <f>IF('3mD'!B12&lt;&gt;"",'3mD'!G12,"")</f>
        <v/>
      </c>
      <c r="H2012" s="92">
        <f>IF('3mD'!B12&lt;&gt;"",'3mD'!H12,"")</f>
        <v/>
      </c>
      <c r="I2012" s="92">
        <f>IF('3mD'!B12&lt;&gt;"",'3mD'!I12,"")</f>
        <v/>
      </c>
      <c r="J2012" s="82">
        <f>IF('3mD'!B12&lt;&gt;"",'3mD'!J12,"")</f>
        <v/>
      </c>
    </row>
    <row r="2013" ht="15.75" customHeight="1" s="52">
      <c r="A2013" s="97">
        <f>IF('3mD'!B13&lt;&gt;"","3mD","")</f>
        <v/>
      </c>
      <c r="B2013" s="78">
        <f>IF('3mD'!B13&lt;&gt;"",'3mD'!B13,"")</f>
        <v/>
      </c>
      <c r="C2013" s="78">
        <f>IF('3mD'!B13&lt;&gt;"",'3mD'!C13,"")</f>
        <v/>
      </c>
      <c r="D2013" s="78">
        <f>IF('3mD'!B13&lt;&gt;"",'3mD'!D13,"")</f>
        <v/>
      </c>
      <c r="E2013" s="78">
        <f>IF('3mD'!B13&lt;&gt;"",'3mD'!E13,"")</f>
        <v/>
      </c>
      <c r="F2013" s="78">
        <f>IF('3mD'!B13&lt;&gt;"",'3mD'!F13,"")</f>
        <v/>
      </c>
      <c r="G2013" s="78">
        <f>IF('3mD'!B13&lt;&gt;"",'3mD'!G13,"")</f>
        <v/>
      </c>
      <c r="H2013" s="97">
        <f>IF('3mD'!B13&lt;&gt;"",'3mD'!H13,"")</f>
        <v/>
      </c>
      <c r="I2013" s="97">
        <f>IF('3mD'!B13&lt;&gt;"",'3mD'!I13,"")</f>
        <v/>
      </c>
      <c r="J2013" s="78">
        <f>IF('3mD'!B13&lt;&gt;"",'3mD'!J13,"")</f>
        <v/>
      </c>
    </row>
    <row r="2014" ht="15.75" customHeight="1" s="52">
      <c r="A2014" s="92">
        <f>IF('3mD'!B14&lt;&gt;"","3mD","")</f>
        <v/>
      </c>
      <c r="B2014" s="82">
        <f>IF('3mD'!B14&lt;&gt;"",'3mD'!B14,"")</f>
        <v/>
      </c>
      <c r="C2014" s="82">
        <f>IF('3mD'!B14&lt;&gt;"",'3mD'!C14,"")</f>
        <v/>
      </c>
      <c r="D2014" s="82">
        <f>IF('3mD'!B14&lt;&gt;"",'3mD'!D14,"")</f>
        <v/>
      </c>
      <c r="E2014" s="82">
        <f>IF('3mD'!B14&lt;&gt;"",'3mD'!E14,"")</f>
        <v/>
      </c>
      <c r="F2014" s="82">
        <f>IF('3mD'!B14&lt;&gt;"",'3mD'!F14,"")</f>
        <v/>
      </c>
      <c r="G2014" s="82">
        <f>IF('3mD'!B14&lt;&gt;"",'3mD'!G14,"")</f>
        <v/>
      </c>
      <c r="H2014" s="92">
        <f>IF('3mD'!B14&lt;&gt;"",'3mD'!H14,"")</f>
        <v/>
      </c>
      <c r="I2014" s="92">
        <f>IF('3mD'!B14&lt;&gt;"",'3mD'!I14,"")</f>
        <v/>
      </c>
      <c r="J2014" s="82">
        <f>IF('3mD'!B14&lt;&gt;"",'3mD'!J14,"")</f>
        <v/>
      </c>
    </row>
    <row r="2015" ht="15.75" customHeight="1" s="52">
      <c r="A2015" s="97">
        <f>IF('3mD'!B15&lt;&gt;"","3mD","")</f>
        <v/>
      </c>
      <c r="B2015" s="78">
        <f>IF('3mD'!B15&lt;&gt;"",'3mD'!B15,"")</f>
        <v/>
      </c>
      <c r="C2015" s="78">
        <f>IF('3mD'!B15&lt;&gt;"",'3mD'!C15,"")</f>
        <v/>
      </c>
      <c r="D2015" s="78">
        <f>IF('3mD'!B15&lt;&gt;"",'3mD'!D15,"")</f>
        <v/>
      </c>
      <c r="E2015" s="78">
        <f>IF('3mD'!B15&lt;&gt;"",'3mD'!E15,"")</f>
        <v/>
      </c>
      <c r="F2015" s="78">
        <f>IF('3mD'!B15&lt;&gt;"",'3mD'!F15,"")</f>
        <v/>
      </c>
      <c r="G2015" s="78">
        <f>IF('3mD'!B15&lt;&gt;"",'3mD'!G15,"")</f>
        <v/>
      </c>
      <c r="H2015" s="97">
        <f>IF('3mD'!B15&lt;&gt;"",'3mD'!H15,"")</f>
        <v/>
      </c>
      <c r="I2015" s="97">
        <f>IF('3mD'!B15&lt;&gt;"",'3mD'!I15,"")</f>
        <v/>
      </c>
      <c r="J2015" s="78">
        <f>IF('3mD'!B15&lt;&gt;"",'3mD'!J15,"")</f>
        <v/>
      </c>
    </row>
    <row r="2016" ht="15.75" customHeight="1" s="52">
      <c r="A2016" s="92">
        <f>IF('3mD'!B16&lt;&gt;"","3mD","")</f>
        <v/>
      </c>
      <c r="B2016" s="82">
        <f>IF('3mD'!B16&lt;&gt;"",'3mD'!B16,"")</f>
        <v/>
      </c>
      <c r="C2016" s="82">
        <f>IF('3mD'!B16&lt;&gt;"",'3mD'!C16,"")</f>
        <v/>
      </c>
      <c r="D2016" s="82">
        <f>IF('3mD'!B16&lt;&gt;"",'3mD'!D16,"")</f>
        <v/>
      </c>
      <c r="E2016" s="82">
        <f>IF('3mD'!B16&lt;&gt;"",'3mD'!E16,"")</f>
        <v/>
      </c>
      <c r="F2016" s="82">
        <f>IF('3mD'!B16&lt;&gt;"",'3mD'!F16,"")</f>
        <v/>
      </c>
      <c r="G2016" s="82">
        <f>IF('3mD'!B16&lt;&gt;"",'3mD'!G16,"")</f>
        <v/>
      </c>
      <c r="H2016" s="92">
        <f>IF('3mD'!B16&lt;&gt;"",'3mD'!H16,"")</f>
        <v/>
      </c>
      <c r="I2016" s="92">
        <f>IF('3mD'!B16&lt;&gt;"",'3mD'!I16,"")</f>
        <v/>
      </c>
      <c r="J2016" s="82">
        <f>IF('3mD'!B16&lt;&gt;"",'3mD'!J16,"")</f>
        <v/>
      </c>
    </row>
    <row r="2017" ht="15.75" customHeight="1" s="52">
      <c r="A2017" s="97">
        <f>IF('3mD'!B17&lt;&gt;"","3mD","")</f>
        <v/>
      </c>
      <c r="B2017" s="78">
        <f>IF('3mD'!B17&lt;&gt;"",'3mD'!B17,"")</f>
        <v/>
      </c>
      <c r="C2017" s="78">
        <f>IF('3mD'!B17&lt;&gt;"",'3mD'!C17,"")</f>
        <v/>
      </c>
      <c r="D2017" s="78">
        <f>IF('3mD'!B17&lt;&gt;"",'3mD'!D17,"")</f>
        <v/>
      </c>
      <c r="E2017" s="78">
        <f>IF('3mD'!B17&lt;&gt;"",'3mD'!E17,"")</f>
        <v/>
      </c>
      <c r="F2017" s="78">
        <f>IF('3mD'!B17&lt;&gt;"",'3mD'!F17,"")</f>
        <v/>
      </c>
      <c r="G2017" s="78">
        <f>IF('3mD'!B17&lt;&gt;"",'3mD'!G17,"")</f>
        <v/>
      </c>
      <c r="H2017" s="97">
        <f>IF('3mD'!B17&lt;&gt;"",'3mD'!H17,"")</f>
        <v/>
      </c>
      <c r="I2017" s="97">
        <f>IF('3mD'!B17&lt;&gt;"",'3mD'!I17,"")</f>
        <v/>
      </c>
      <c r="J2017" s="78">
        <f>IF('3mD'!B17&lt;&gt;"",'3mD'!J17,"")</f>
        <v/>
      </c>
    </row>
    <row r="2018" ht="15.75" customHeight="1" s="52">
      <c r="A2018" s="92">
        <f>IF('3mD'!B18&lt;&gt;"","3mD","")</f>
        <v/>
      </c>
      <c r="B2018" s="82">
        <f>IF('3mD'!B18&lt;&gt;"",'3mD'!B18,"")</f>
        <v/>
      </c>
      <c r="C2018" s="82">
        <f>IF('3mD'!B18&lt;&gt;"",'3mD'!C18,"")</f>
        <v/>
      </c>
      <c r="D2018" s="82">
        <f>IF('3mD'!B18&lt;&gt;"",'3mD'!D18,"")</f>
        <v/>
      </c>
      <c r="E2018" s="82">
        <f>IF('3mD'!B18&lt;&gt;"",'3mD'!E18,"")</f>
        <v/>
      </c>
      <c r="F2018" s="82">
        <f>IF('3mD'!B18&lt;&gt;"",'3mD'!F18,"")</f>
        <v/>
      </c>
      <c r="G2018" s="82">
        <f>IF('3mD'!B18&lt;&gt;"",'3mD'!G18,"")</f>
        <v/>
      </c>
      <c r="H2018" s="92">
        <f>IF('3mD'!B18&lt;&gt;"",'3mD'!H18,"")</f>
        <v/>
      </c>
      <c r="I2018" s="92">
        <f>IF('3mD'!B18&lt;&gt;"",'3mD'!I18,"")</f>
        <v/>
      </c>
      <c r="J2018" s="82">
        <f>IF('3mD'!B18&lt;&gt;"",'3mD'!J18,"")</f>
        <v/>
      </c>
    </row>
    <row r="2019" ht="15.75" customHeight="1" s="52">
      <c r="A2019" s="97">
        <f>IF('3mD'!B19&lt;&gt;"","3mD","")</f>
        <v/>
      </c>
      <c r="B2019" s="78">
        <f>IF('3mD'!B19&lt;&gt;"",'3mD'!B19,"")</f>
        <v/>
      </c>
      <c r="C2019" s="78">
        <f>IF('3mD'!B19&lt;&gt;"",'3mD'!C19,"")</f>
        <v/>
      </c>
      <c r="D2019" s="78">
        <f>IF('3mD'!B19&lt;&gt;"",'3mD'!D19,"")</f>
        <v/>
      </c>
      <c r="E2019" s="78">
        <f>IF('3mD'!B19&lt;&gt;"",'3mD'!E19,"")</f>
        <v/>
      </c>
      <c r="F2019" s="78">
        <f>IF('3mD'!B19&lt;&gt;"",'3mD'!F19,"")</f>
        <v/>
      </c>
      <c r="G2019" s="78">
        <f>IF('3mD'!B19&lt;&gt;"",'3mD'!G19,"")</f>
        <v/>
      </c>
      <c r="H2019" s="97">
        <f>IF('3mD'!B19&lt;&gt;"",'3mD'!H19,"")</f>
        <v/>
      </c>
      <c r="I2019" s="97">
        <f>IF('3mD'!B19&lt;&gt;"",'3mD'!I19,"")</f>
        <v/>
      </c>
      <c r="J2019" s="78">
        <f>IF('3mD'!B19&lt;&gt;"",'3mD'!J19,"")</f>
        <v/>
      </c>
    </row>
    <row r="2020" ht="15.75" customHeight="1" s="52">
      <c r="A2020" s="92">
        <f>IF('3mD'!B20&lt;&gt;"","3mD","")</f>
        <v/>
      </c>
      <c r="B2020" s="82">
        <f>IF('3mD'!B20&lt;&gt;"",'3mD'!B20,"")</f>
        <v/>
      </c>
      <c r="C2020" s="82">
        <f>IF('3mD'!B20&lt;&gt;"",'3mD'!C20,"")</f>
        <v/>
      </c>
      <c r="D2020" s="82">
        <f>IF('3mD'!B20&lt;&gt;"",'3mD'!D20,"")</f>
        <v/>
      </c>
      <c r="E2020" s="82">
        <f>IF('3mD'!B20&lt;&gt;"",'3mD'!E20,"")</f>
        <v/>
      </c>
      <c r="F2020" s="82">
        <f>IF('3mD'!B20&lt;&gt;"",'3mD'!F20,"")</f>
        <v/>
      </c>
      <c r="G2020" s="82">
        <f>IF('3mD'!B20&lt;&gt;"",'3mD'!G20,"")</f>
        <v/>
      </c>
      <c r="H2020" s="92">
        <f>IF('3mD'!B20&lt;&gt;"",'3mD'!H20,"")</f>
        <v/>
      </c>
      <c r="I2020" s="92">
        <f>IF('3mD'!B20&lt;&gt;"",'3mD'!I20,"")</f>
        <v/>
      </c>
      <c r="J2020" s="82">
        <f>IF('3mD'!B20&lt;&gt;"",'3mD'!J20,"")</f>
        <v/>
      </c>
    </row>
    <row r="2021" ht="15.75" customHeight="1" s="52">
      <c r="A2021" s="97">
        <f>IF('3mD'!B21&lt;&gt;"","3mD","")</f>
        <v/>
      </c>
      <c r="B2021" s="78">
        <f>IF('3mD'!B21&lt;&gt;"",'3mD'!B21,"")</f>
        <v/>
      </c>
      <c r="C2021" s="78">
        <f>IF('3mD'!B21&lt;&gt;"",'3mD'!C21,"")</f>
        <v/>
      </c>
      <c r="D2021" s="78">
        <f>IF('3mD'!B21&lt;&gt;"",'3mD'!D21,"")</f>
        <v/>
      </c>
      <c r="E2021" s="78">
        <f>IF('3mD'!B21&lt;&gt;"",'3mD'!E21,"")</f>
        <v/>
      </c>
      <c r="F2021" s="78">
        <f>IF('3mD'!B21&lt;&gt;"",'3mD'!F21,"")</f>
        <v/>
      </c>
      <c r="G2021" s="78">
        <f>IF('3mD'!B21&lt;&gt;"",'3mD'!G21,"")</f>
        <v/>
      </c>
      <c r="H2021" s="97">
        <f>IF('3mD'!B21&lt;&gt;"",'3mD'!H21,"")</f>
        <v/>
      </c>
      <c r="I2021" s="97">
        <f>IF('3mD'!B21&lt;&gt;"",'3mD'!I21,"")</f>
        <v/>
      </c>
      <c r="J2021" s="78">
        <f>IF('3mD'!B21&lt;&gt;"",'3mD'!J21,"")</f>
        <v/>
      </c>
    </row>
    <row r="2022" ht="15.75" customHeight="1" s="52">
      <c r="A2022" s="92">
        <f>IF('3mD'!B22&lt;&gt;"","3mD","")</f>
        <v/>
      </c>
      <c r="B2022" s="82">
        <f>IF('3mD'!B22&lt;&gt;"",'3mD'!B22,"")</f>
        <v/>
      </c>
      <c r="C2022" s="82">
        <f>IF('3mD'!B22&lt;&gt;"",'3mD'!C22,"")</f>
        <v/>
      </c>
      <c r="D2022" s="82">
        <f>IF('3mD'!B22&lt;&gt;"",'3mD'!D22,"")</f>
        <v/>
      </c>
      <c r="E2022" s="82">
        <f>IF('3mD'!B22&lt;&gt;"",'3mD'!E22,"")</f>
        <v/>
      </c>
      <c r="F2022" s="82">
        <f>IF('3mD'!B22&lt;&gt;"",'3mD'!F22,"")</f>
        <v/>
      </c>
      <c r="G2022" s="82">
        <f>IF('3mD'!B22&lt;&gt;"",'3mD'!G22,"")</f>
        <v/>
      </c>
      <c r="H2022" s="92">
        <f>IF('3mD'!B22&lt;&gt;"",'3mD'!H22,"")</f>
        <v/>
      </c>
      <c r="I2022" s="92">
        <f>IF('3mD'!B22&lt;&gt;"",'3mD'!I22,"")</f>
        <v/>
      </c>
      <c r="J2022" s="82">
        <f>IF('3mD'!B22&lt;&gt;"",'3mD'!J22,"")</f>
        <v/>
      </c>
    </row>
    <row r="2023" ht="15.75" customHeight="1" s="52">
      <c r="A2023" s="97">
        <f>IF('3mD'!B23&lt;&gt;"","3mD","")</f>
        <v/>
      </c>
      <c r="B2023" s="78">
        <f>IF('3mD'!B23&lt;&gt;"",'3mD'!B23,"")</f>
        <v/>
      </c>
      <c r="C2023" s="78">
        <f>IF('3mD'!B23&lt;&gt;"",'3mD'!C23,"")</f>
        <v/>
      </c>
      <c r="D2023" s="78">
        <f>IF('3mD'!B23&lt;&gt;"",'3mD'!D23,"")</f>
        <v/>
      </c>
      <c r="E2023" s="78">
        <f>IF('3mD'!B23&lt;&gt;"",'3mD'!E23,"")</f>
        <v/>
      </c>
      <c r="F2023" s="78">
        <f>IF('3mD'!B23&lt;&gt;"",'3mD'!F23,"")</f>
        <v/>
      </c>
      <c r="G2023" s="78">
        <f>IF('3mD'!B23&lt;&gt;"",'3mD'!G23,"")</f>
        <v/>
      </c>
      <c r="H2023" s="97">
        <f>IF('3mD'!B23&lt;&gt;"",'3mD'!H23,"")</f>
        <v/>
      </c>
      <c r="I2023" s="97">
        <f>IF('3mD'!B23&lt;&gt;"",'3mD'!I23,"")</f>
        <v/>
      </c>
      <c r="J2023" s="78">
        <f>IF('3mD'!B23&lt;&gt;"",'3mD'!J23,"")</f>
        <v/>
      </c>
    </row>
    <row r="2024" ht="15.75" customHeight="1" s="52">
      <c r="A2024" s="92">
        <f>IF('3mD'!B24&lt;&gt;"","3mD","")</f>
        <v/>
      </c>
      <c r="B2024" s="82">
        <f>IF('3mD'!B24&lt;&gt;"",'3mD'!B24,"")</f>
        <v/>
      </c>
      <c r="C2024" s="82">
        <f>IF('3mD'!B24&lt;&gt;"",'3mD'!C24,"")</f>
        <v/>
      </c>
      <c r="D2024" s="82">
        <f>IF('3mD'!B24&lt;&gt;"",'3mD'!D24,"")</f>
        <v/>
      </c>
      <c r="E2024" s="82">
        <f>IF('3mD'!B24&lt;&gt;"",'3mD'!E24,"")</f>
        <v/>
      </c>
      <c r="F2024" s="82">
        <f>IF('3mD'!B24&lt;&gt;"",'3mD'!F24,"")</f>
        <v/>
      </c>
      <c r="G2024" s="82">
        <f>IF('3mD'!B24&lt;&gt;"",'3mD'!G24,"")</f>
        <v/>
      </c>
      <c r="H2024" s="92">
        <f>IF('3mD'!B24&lt;&gt;"",'3mD'!H24,"")</f>
        <v/>
      </c>
      <c r="I2024" s="92">
        <f>IF('3mD'!B24&lt;&gt;"",'3mD'!I24,"")</f>
        <v/>
      </c>
      <c r="J2024" s="82">
        <f>IF('3mD'!B24&lt;&gt;"",'3mD'!J24,"")</f>
        <v/>
      </c>
    </row>
    <row r="2025" ht="15.75" customHeight="1" s="52">
      <c r="A2025" s="97">
        <f>IF('3mD'!B25&lt;&gt;"","3mD","")</f>
        <v/>
      </c>
      <c r="B2025" s="78">
        <f>IF('3mD'!B25&lt;&gt;"",'3mD'!B25,"")</f>
        <v/>
      </c>
      <c r="C2025" s="78">
        <f>IF('3mD'!B25&lt;&gt;"",'3mD'!C25,"")</f>
        <v/>
      </c>
      <c r="D2025" s="78">
        <f>IF('3mD'!B25&lt;&gt;"",'3mD'!D25,"")</f>
        <v/>
      </c>
      <c r="E2025" s="78">
        <f>IF('3mD'!B25&lt;&gt;"",'3mD'!E25,"")</f>
        <v/>
      </c>
      <c r="F2025" s="78">
        <f>IF('3mD'!B25&lt;&gt;"",'3mD'!F25,"")</f>
        <v/>
      </c>
      <c r="G2025" s="78">
        <f>IF('3mD'!B25&lt;&gt;"",'3mD'!G25,"")</f>
        <v/>
      </c>
      <c r="H2025" s="97">
        <f>IF('3mD'!B25&lt;&gt;"",'3mD'!H25,"")</f>
        <v/>
      </c>
      <c r="I2025" s="97">
        <f>IF('3mD'!B25&lt;&gt;"",'3mD'!I25,"")</f>
        <v/>
      </c>
      <c r="J2025" s="78">
        <f>IF('3mD'!B25&lt;&gt;"",'3mD'!J25,"")</f>
        <v/>
      </c>
    </row>
    <row r="2026" ht="15.75" customHeight="1" s="52">
      <c r="A2026" s="92">
        <f>IF('3mD'!B26&lt;&gt;"","3mD","")</f>
        <v/>
      </c>
      <c r="B2026" s="82">
        <f>IF('3mD'!B26&lt;&gt;"",'3mD'!B26,"")</f>
        <v/>
      </c>
      <c r="C2026" s="82">
        <f>IF('3mD'!B26&lt;&gt;"",'3mD'!C26,"")</f>
        <v/>
      </c>
      <c r="D2026" s="82">
        <f>IF('3mD'!B26&lt;&gt;"",'3mD'!D26,"")</f>
        <v/>
      </c>
      <c r="E2026" s="82">
        <f>IF('3mD'!B26&lt;&gt;"",'3mD'!E26,"")</f>
        <v/>
      </c>
      <c r="F2026" s="82">
        <f>IF('3mD'!B26&lt;&gt;"",'3mD'!F26,"")</f>
        <v/>
      </c>
      <c r="G2026" s="82">
        <f>IF('3mD'!B26&lt;&gt;"",'3mD'!G26,"")</f>
        <v/>
      </c>
      <c r="H2026" s="92">
        <f>IF('3mD'!B26&lt;&gt;"",'3mD'!H26,"")</f>
        <v/>
      </c>
      <c r="I2026" s="92">
        <f>IF('3mD'!B26&lt;&gt;"",'3mD'!I26,"")</f>
        <v/>
      </c>
      <c r="J2026" s="82">
        <f>IF('3mD'!B26&lt;&gt;"",'3mD'!J26,"")</f>
        <v/>
      </c>
    </row>
    <row r="2027" ht="15.75" customHeight="1" s="52">
      <c r="A2027" s="97">
        <f>IF('3mD'!B27&lt;&gt;"","3mD","")</f>
        <v/>
      </c>
      <c r="B2027" s="78">
        <f>IF('3mD'!B27&lt;&gt;"",'3mD'!B27,"")</f>
        <v/>
      </c>
      <c r="C2027" s="78">
        <f>IF('3mD'!B27&lt;&gt;"",'3mD'!C27,"")</f>
        <v/>
      </c>
      <c r="D2027" s="78">
        <f>IF('3mD'!B27&lt;&gt;"",'3mD'!D27,"")</f>
        <v/>
      </c>
      <c r="E2027" s="78">
        <f>IF('3mD'!B27&lt;&gt;"",'3mD'!E27,"")</f>
        <v/>
      </c>
      <c r="F2027" s="78">
        <f>IF('3mD'!B27&lt;&gt;"",'3mD'!F27,"")</f>
        <v/>
      </c>
      <c r="G2027" s="78">
        <f>IF('3mD'!B27&lt;&gt;"",'3mD'!G27,"")</f>
        <v/>
      </c>
      <c r="H2027" s="97">
        <f>IF('3mD'!B27&lt;&gt;"",'3mD'!H27,"")</f>
        <v/>
      </c>
      <c r="I2027" s="97">
        <f>IF('3mD'!B27&lt;&gt;"",'3mD'!I27,"")</f>
        <v/>
      </c>
      <c r="J2027" s="78">
        <f>IF('3mD'!B27&lt;&gt;"",'3mD'!J27,"")</f>
        <v/>
      </c>
    </row>
    <row r="2028" ht="15.75" customHeight="1" s="52">
      <c r="A2028" s="92">
        <f>IF('3mD'!B28&lt;&gt;"","3mD","")</f>
        <v/>
      </c>
      <c r="B2028" s="82">
        <f>IF('3mD'!B28&lt;&gt;"",'3mD'!B28,"")</f>
        <v/>
      </c>
      <c r="C2028" s="82">
        <f>IF('3mD'!B28&lt;&gt;"",'3mD'!C28,"")</f>
        <v/>
      </c>
      <c r="D2028" s="82">
        <f>IF('3mD'!B28&lt;&gt;"",'3mD'!D28,"")</f>
        <v/>
      </c>
      <c r="E2028" s="82">
        <f>IF('3mD'!B28&lt;&gt;"",'3mD'!E28,"")</f>
        <v/>
      </c>
      <c r="F2028" s="82">
        <f>IF('3mD'!B28&lt;&gt;"",'3mD'!F28,"")</f>
        <v/>
      </c>
      <c r="G2028" s="82">
        <f>IF('3mD'!B28&lt;&gt;"",'3mD'!G28,"")</f>
        <v/>
      </c>
      <c r="H2028" s="92">
        <f>IF('3mD'!B28&lt;&gt;"",'3mD'!H28,"")</f>
        <v/>
      </c>
      <c r="I2028" s="92">
        <f>IF('3mD'!B28&lt;&gt;"",'3mD'!I28,"")</f>
        <v/>
      </c>
      <c r="J2028" s="82">
        <f>IF('3mD'!B28&lt;&gt;"",'3mD'!J28,"")</f>
        <v/>
      </c>
    </row>
    <row r="2029" ht="15.75" customHeight="1" s="52">
      <c r="A2029" s="97">
        <f>IF('3mD'!B29&lt;&gt;"","3mD","")</f>
        <v/>
      </c>
      <c r="B2029" s="78">
        <f>IF('3mD'!B29&lt;&gt;"",'3mD'!B29,"")</f>
        <v/>
      </c>
      <c r="C2029" s="78">
        <f>IF('3mD'!B29&lt;&gt;"",'3mD'!C29,"")</f>
        <v/>
      </c>
      <c r="D2029" s="78">
        <f>IF('3mD'!B29&lt;&gt;"",'3mD'!D29,"")</f>
        <v/>
      </c>
      <c r="E2029" s="78">
        <f>IF('3mD'!B29&lt;&gt;"",'3mD'!E29,"")</f>
        <v/>
      </c>
      <c r="F2029" s="78">
        <f>IF('3mD'!B29&lt;&gt;"",'3mD'!F29,"")</f>
        <v/>
      </c>
      <c r="G2029" s="78">
        <f>IF('3mD'!B29&lt;&gt;"",'3mD'!G29,"")</f>
        <v/>
      </c>
      <c r="H2029" s="97">
        <f>IF('3mD'!B29&lt;&gt;"",'3mD'!H29,"")</f>
        <v/>
      </c>
      <c r="I2029" s="97">
        <f>IF('3mD'!B29&lt;&gt;"",'3mD'!I29,"")</f>
        <v/>
      </c>
      <c r="J2029" s="78">
        <f>IF('3mD'!B29&lt;&gt;"",'3mD'!J29,"")</f>
        <v/>
      </c>
    </row>
    <row r="2030" ht="15.75" customHeight="1" s="52">
      <c r="A2030" s="92">
        <f>IF('3mD'!B30&lt;&gt;"","3mD","")</f>
        <v/>
      </c>
      <c r="B2030" s="82">
        <f>IF('3mD'!B30&lt;&gt;"",'3mD'!B30,"")</f>
        <v/>
      </c>
      <c r="C2030" s="82">
        <f>IF('3mD'!B30&lt;&gt;"",'3mD'!C30,"")</f>
        <v/>
      </c>
      <c r="D2030" s="82">
        <f>IF('3mD'!B30&lt;&gt;"",'3mD'!D30,"")</f>
        <v/>
      </c>
      <c r="E2030" s="82">
        <f>IF('3mD'!B30&lt;&gt;"",'3mD'!E30,"")</f>
        <v/>
      </c>
      <c r="F2030" s="82">
        <f>IF('3mD'!B30&lt;&gt;"",'3mD'!F30,"")</f>
        <v/>
      </c>
      <c r="G2030" s="82">
        <f>IF('3mD'!B30&lt;&gt;"",'3mD'!G30,"")</f>
        <v/>
      </c>
      <c r="H2030" s="92">
        <f>IF('3mD'!B30&lt;&gt;"",'3mD'!H30,"")</f>
        <v/>
      </c>
      <c r="I2030" s="92">
        <f>IF('3mD'!B30&lt;&gt;"",'3mD'!I30,"")</f>
        <v/>
      </c>
      <c r="J2030" s="82">
        <f>IF('3mD'!B30&lt;&gt;"",'3mD'!J30,"")</f>
        <v/>
      </c>
    </row>
    <row r="2031" ht="15.75" customHeight="1" s="52">
      <c r="A2031" s="97">
        <f>IF('3mD'!B31&lt;&gt;"","3mD","")</f>
        <v/>
      </c>
      <c r="B2031" s="78">
        <f>IF('3mD'!B31&lt;&gt;"",'3mD'!B31,"")</f>
        <v/>
      </c>
      <c r="C2031" s="78">
        <f>IF('3mD'!B31&lt;&gt;"",'3mD'!C31,"")</f>
        <v/>
      </c>
      <c r="D2031" s="78">
        <f>IF('3mD'!B31&lt;&gt;"",'3mD'!D31,"")</f>
        <v/>
      </c>
      <c r="E2031" s="78">
        <f>IF('3mD'!B31&lt;&gt;"",'3mD'!E31,"")</f>
        <v/>
      </c>
      <c r="F2031" s="78">
        <f>IF('3mD'!B31&lt;&gt;"",'3mD'!F31,"")</f>
        <v/>
      </c>
      <c r="G2031" s="78">
        <f>IF('3mD'!B31&lt;&gt;"",'3mD'!G31,"")</f>
        <v/>
      </c>
      <c r="H2031" s="97">
        <f>IF('3mD'!B31&lt;&gt;"",'3mD'!H31,"")</f>
        <v/>
      </c>
      <c r="I2031" s="97">
        <f>IF('3mD'!B31&lt;&gt;"",'3mD'!I31,"")</f>
        <v/>
      </c>
      <c r="J2031" s="78">
        <f>IF('3mD'!B31&lt;&gt;"",'3mD'!J31,"")</f>
        <v/>
      </c>
    </row>
    <row r="2032" ht="15.75" customHeight="1" s="52">
      <c r="A2032" s="92">
        <f>IF('3mD'!B32&lt;&gt;"","3mD","")</f>
        <v/>
      </c>
      <c r="B2032" s="82">
        <f>IF('3mD'!B32&lt;&gt;"",'3mD'!B32,"")</f>
        <v/>
      </c>
      <c r="C2032" s="82">
        <f>IF('3mD'!B32&lt;&gt;"",'3mD'!C32,"")</f>
        <v/>
      </c>
      <c r="D2032" s="82">
        <f>IF('3mD'!B32&lt;&gt;"",'3mD'!D32,"")</f>
        <v/>
      </c>
      <c r="E2032" s="82">
        <f>IF('3mD'!B32&lt;&gt;"",'3mD'!E32,"")</f>
        <v/>
      </c>
      <c r="F2032" s="82">
        <f>IF('3mD'!B32&lt;&gt;"",'3mD'!F32,"")</f>
        <v/>
      </c>
      <c r="G2032" s="82">
        <f>IF('3mD'!B32&lt;&gt;"",'3mD'!G32,"")</f>
        <v/>
      </c>
      <c r="H2032" s="92">
        <f>IF('3mD'!B32&lt;&gt;"",'3mD'!H32,"")</f>
        <v/>
      </c>
      <c r="I2032" s="92">
        <f>IF('3mD'!B32&lt;&gt;"",'3mD'!I32,"")</f>
        <v/>
      </c>
      <c r="J2032" s="82">
        <f>IF('3mD'!B32&lt;&gt;"",'3mD'!J32,"")</f>
        <v/>
      </c>
    </row>
    <row r="2033" ht="15.75" customHeight="1" s="52">
      <c r="A2033" s="97">
        <f>IF('3mD'!B33&lt;&gt;"","3mD","")</f>
        <v/>
      </c>
      <c r="B2033" s="78">
        <f>IF('3mD'!B33&lt;&gt;"",'3mD'!B33,"")</f>
        <v/>
      </c>
      <c r="C2033" s="78">
        <f>IF('3mD'!B33&lt;&gt;"",'3mD'!C33,"")</f>
        <v/>
      </c>
      <c r="D2033" s="78">
        <f>IF('3mD'!B33&lt;&gt;"",'3mD'!D33,"")</f>
        <v/>
      </c>
      <c r="E2033" s="78">
        <f>IF('3mD'!B33&lt;&gt;"",'3mD'!E33,"")</f>
        <v/>
      </c>
      <c r="F2033" s="78">
        <f>IF('3mD'!B33&lt;&gt;"",'3mD'!F33,"")</f>
        <v/>
      </c>
      <c r="G2033" s="78">
        <f>IF('3mD'!B33&lt;&gt;"",'3mD'!G33,"")</f>
        <v/>
      </c>
      <c r="H2033" s="97">
        <f>IF('3mD'!B33&lt;&gt;"",'3mD'!H33,"")</f>
        <v/>
      </c>
      <c r="I2033" s="97">
        <f>IF('3mD'!B33&lt;&gt;"",'3mD'!I33,"")</f>
        <v/>
      </c>
      <c r="J2033" s="78">
        <f>IF('3mD'!B33&lt;&gt;"",'3mD'!J33,"")</f>
        <v/>
      </c>
    </row>
    <row r="2034" ht="15.75" customHeight="1" s="52">
      <c r="A2034" s="92">
        <f>IF('3mD'!B34&lt;&gt;"","3mD","")</f>
        <v/>
      </c>
      <c r="B2034" s="82">
        <f>IF('3mD'!B34&lt;&gt;"",'3mD'!B34,"")</f>
        <v/>
      </c>
      <c r="C2034" s="82">
        <f>IF('3mD'!B34&lt;&gt;"",'3mD'!C34,"")</f>
        <v/>
      </c>
      <c r="D2034" s="82">
        <f>IF('3mD'!B34&lt;&gt;"",'3mD'!D34,"")</f>
        <v/>
      </c>
      <c r="E2034" s="82">
        <f>IF('3mD'!B34&lt;&gt;"",'3mD'!E34,"")</f>
        <v/>
      </c>
      <c r="F2034" s="82">
        <f>IF('3mD'!B34&lt;&gt;"",'3mD'!F34,"")</f>
        <v/>
      </c>
      <c r="G2034" s="82">
        <f>IF('3mD'!B34&lt;&gt;"",'3mD'!G34,"")</f>
        <v/>
      </c>
      <c r="H2034" s="92">
        <f>IF('3mD'!B34&lt;&gt;"",'3mD'!H34,"")</f>
        <v/>
      </c>
      <c r="I2034" s="92">
        <f>IF('3mD'!B34&lt;&gt;"",'3mD'!I34,"")</f>
        <v/>
      </c>
      <c r="J2034" s="82">
        <f>IF('3mD'!B34&lt;&gt;"",'3mD'!J34,"")</f>
        <v/>
      </c>
    </row>
    <row r="2035" ht="15.75" customHeight="1" s="52">
      <c r="A2035" s="97">
        <f>IF('3mD'!B35&lt;&gt;"","3mD","")</f>
        <v/>
      </c>
      <c r="B2035" s="78">
        <f>IF('3mD'!B35&lt;&gt;"",'3mD'!B35,"")</f>
        <v/>
      </c>
      <c r="C2035" s="78">
        <f>IF('3mD'!B35&lt;&gt;"",'3mD'!C35,"")</f>
        <v/>
      </c>
      <c r="D2035" s="78">
        <f>IF('3mD'!B35&lt;&gt;"",'3mD'!D35,"")</f>
        <v/>
      </c>
      <c r="E2035" s="78">
        <f>IF('3mD'!B35&lt;&gt;"",'3mD'!E35,"")</f>
        <v/>
      </c>
      <c r="F2035" s="78">
        <f>IF('3mD'!B35&lt;&gt;"",'3mD'!F35,"")</f>
        <v/>
      </c>
      <c r="G2035" s="78">
        <f>IF('3mD'!B35&lt;&gt;"",'3mD'!G35,"")</f>
        <v/>
      </c>
      <c r="H2035" s="97">
        <f>IF('3mD'!B35&lt;&gt;"",'3mD'!H35,"")</f>
        <v/>
      </c>
      <c r="I2035" s="97">
        <f>IF('3mD'!B35&lt;&gt;"",'3mD'!I35,"")</f>
        <v/>
      </c>
      <c r="J2035" s="78">
        <f>IF('3mD'!B35&lt;&gt;"",'3mD'!J35,"")</f>
        <v/>
      </c>
    </row>
    <row r="2036" ht="15.75" customHeight="1" s="52">
      <c r="A2036" s="92">
        <f>IF('3mD'!B36&lt;&gt;"","3mD","")</f>
        <v/>
      </c>
      <c r="B2036" s="82">
        <f>IF('3mD'!B36&lt;&gt;"",'3mD'!B36,"")</f>
        <v/>
      </c>
      <c r="C2036" s="82">
        <f>IF('3mD'!B36&lt;&gt;"",'3mD'!C36,"")</f>
        <v/>
      </c>
      <c r="D2036" s="82">
        <f>IF('3mD'!B36&lt;&gt;"",'3mD'!D36,"")</f>
        <v/>
      </c>
      <c r="E2036" s="82">
        <f>IF('3mD'!B36&lt;&gt;"",'3mD'!E36,"")</f>
        <v/>
      </c>
      <c r="F2036" s="82">
        <f>IF('3mD'!B36&lt;&gt;"",'3mD'!F36,"")</f>
        <v/>
      </c>
      <c r="G2036" s="82">
        <f>IF('3mD'!B36&lt;&gt;"",'3mD'!G36,"")</f>
        <v/>
      </c>
      <c r="H2036" s="92">
        <f>IF('3mD'!B36&lt;&gt;"",'3mD'!H36,"")</f>
        <v/>
      </c>
      <c r="I2036" s="92">
        <f>IF('3mD'!B36&lt;&gt;"",'3mD'!I36,"")</f>
        <v/>
      </c>
      <c r="J2036" s="82">
        <f>IF('3mD'!B36&lt;&gt;"",'3mD'!J36,"")</f>
        <v/>
      </c>
    </row>
    <row r="2037" ht="15.75" customHeight="1" s="52">
      <c r="A2037" s="97">
        <f>IF('3mD'!B37&lt;&gt;"","3mD","")</f>
        <v/>
      </c>
      <c r="B2037" s="78">
        <f>IF('3mD'!B37&lt;&gt;"",'3mD'!B37,"")</f>
        <v/>
      </c>
      <c r="C2037" s="78">
        <f>IF('3mD'!B37&lt;&gt;"",'3mD'!C37,"")</f>
        <v/>
      </c>
      <c r="D2037" s="78">
        <f>IF('3mD'!B37&lt;&gt;"",'3mD'!D37,"")</f>
        <v/>
      </c>
      <c r="E2037" s="78">
        <f>IF('3mD'!B37&lt;&gt;"",'3mD'!E37,"")</f>
        <v/>
      </c>
      <c r="F2037" s="78">
        <f>IF('3mD'!B37&lt;&gt;"",'3mD'!F37,"")</f>
        <v/>
      </c>
      <c r="G2037" s="78">
        <f>IF('3mD'!B37&lt;&gt;"",'3mD'!G37,"")</f>
        <v/>
      </c>
      <c r="H2037" s="97">
        <f>IF('3mD'!B37&lt;&gt;"",'3mD'!H37,"")</f>
        <v/>
      </c>
      <c r="I2037" s="97">
        <f>IF('3mD'!B37&lt;&gt;"",'3mD'!I37,"")</f>
        <v/>
      </c>
      <c r="J2037" s="78">
        <f>IF('3mD'!B37&lt;&gt;"",'3mD'!J37,"")</f>
        <v/>
      </c>
    </row>
    <row r="2038" ht="15.75" customHeight="1" s="52">
      <c r="A2038" s="92">
        <f>IF('3mD'!B38&lt;&gt;"","3mD","")</f>
        <v/>
      </c>
      <c r="B2038" s="82">
        <f>IF('3mD'!B38&lt;&gt;"",'3mD'!B38,"")</f>
        <v/>
      </c>
      <c r="C2038" s="82">
        <f>IF('3mD'!B38&lt;&gt;"",'3mD'!C38,"")</f>
        <v/>
      </c>
      <c r="D2038" s="82">
        <f>IF('3mD'!B38&lt;&gt;"",'3mD'!D38,"")</f>
        <v/>
      </c>
      <c r="E2038" s="82">
        <f>IF('3mD'!B38&lt;&gt;"",'3mD'!E38,"")</f>
        <v/>
      </c>
      <c r="F2038" s="82">
        <f>IF('3mD'!B38&lt;&gt;"",'3mD'!F38,"")</f>
        <v/>
      </c>
      <c r="G2038" s="82">
        <f>IF('3mD'!B38&lt;&gt;"",'3mD'!G38,"")</f>
        <v/>
      </c>
      <c r="H2038" s="92">
        <f>IF('3mD'!B38&lt;&gt;"",'3mD'!H38,"")</f>
        <v/>
      </c>
      <c r="I2038" s="92">
        <f>IF('3mD'!B38&lt;&gt;"",'3mD'!I38,"")</f>
        <v/>
      </c>
      <c r="J2038" s="82">
        <f>IF('3mD'!B38&lt;&gt;"",'3mD'!J38,"")</f>
        <v/>
      </c>
    </row>
    <row r="2039" ht="15.75" customHeight="1" s="52">
      <c r="A2039" s="97">
        <f>IF('3mD'!B39&lt;&gt;"","3mD","")</f>
        <v/>
      </c>
      <c r="B2039" s="78">
        <f>IF('3mD'!B39&lt;&gt;"",'3mD'!B39,"")</f>
        <v/>
      </c>
      <c r="C2039" s="78">
        <f>IF('3mD'!B39&lt;&gt;"",'3mD'!C39,"")</f>
        <v/>
      </c>
      <c r="D2039" s="78">
        <f>IF('3mD'!B39&lt;&gt;"",'3mD'!D39,"")</f>
        <v/>
      </c>
      <c r="E2039" s="78">
        <f>IF('3mD'!B39&lt;&gt;"",'3mD'!E39,"")</f>
        <v/>
      </c>
      <c r="F2039" s="78">
        <f>IF('3mD'!B39&lt;&gt;"",'3mD'!F39,"")</f>
        <v/>
      </c>
      <c r="G2039" s="78">
        <f>IF('3mD'!B39&lt;&gt;"",'3mD'!G39,"")</f>
        <v/>
      </c>
      <c r="H2039" s="97">
        <f>IF('3mD'!B39&lt;&gt;"",'3mD'!H39,"")</f>
        <v/>
      </c>
      <c r="I2039" s="97">
        <f>IF('3mD'!B39&lt;&gt;"",'3mD'!I39,"")</f>
        <v/>
      </c>
      <c r="J2039" s="78">
        <f>IF('3mD'!B39&lt;&gt;"",'3mD'!J39,"")</f>
        <v/>
      </c>
    </row>
    <row r="2040" ht="15.75" customHeight="1" s="52">
      <c r="A2040" s="92">
        <f>IF('3mD'!B40&lt;&gt;"","3mD","")</f>
        <v/>
      </c>
      <c r="B2040" s="82">
        <f>IF('3mD'!B40&lt;&gt;"",'3mD'!B40,"")</f>
        <v/>
      </c>
      <c r="C2040" s="82">
        <f>IF('3mD'!B40&lt;&gt;"",'3mD'!C40,"")</f>
        <v/>
      </c>
      <c r="D2040" s="82">
        <f>IF('3mD'!B40&lt;&gt;"",'3mD'!D40,"")</f>
        <v/>
      </c>
      <c r="E2040" s="82">
        <f>IF('3mD'!B40&lt;&gt;"",'3mD'!E40,"")</f>
        <v/>
      </c>
      <c r="F2040" s="82">
        <f>IF('3mD'!B40&lt;&gt;"",'3mD'!F40,"")</f>
        <v/>
      </c>
      <c r="G2040" s="82">
        <f>IF('3mD'!B40&lt;&gt;"",'3mD'!G40,"")</f>
        <v/>
      </c>
      <c r="H2040" s="92">
        <f>IF('3mD'!B40&lt;&gt;"",'3mD'!H40,"")</f>
        <v/>
      </c>
      <c r="I2040" s="92">
        <f>IF('3mD'!B40&lt;&gt;"",'3mD'!I40,"")</f>
        <v/>
      </c>
      <c r="J2040" s="82">
        <f>IF('3mD'!B40&lt;&gt;"",'3mD'!J40,"")</f>
        <v/>
      </c>
    </row>
    <row r="2041" ht="15.75" customHeight="1" s="52">
      <c r="A2041" s="97">
        <f>IF('3mD'!B41&lt;&gt;"","3mD","")</f>
        <v/>
      </c>
      <c r="B2041" s="78">
        <f>IF('3mD'!B41&lt;&gt;"",'3mD'!B41,"")</f>
        <v/>
      </c>
      <c r="C2041" s="78">
        <f>IF('3mD'!B41&lt;&gt;"",'3mD'!C41,"")</f>
        <v/>
      </c>
      <c r="D2041" s="78">
        <f>IF('3mD'!B41&lt;&gt;"",'3mD'!D41,"")</f>
        <v/>
      </c>
      <c r="E2041" s="78">
        <f>IF('3mD'!B41&lt;&gt;"",'3mD'!E41,"")</f>
        <v/>
      </c>
      <c r="F2041" s="78">
        <f>IF('3mD'!B41&lt;&gt;"",'3mD'!F41,"")</f>
        <v/>
      </c>
      <c r="G2041" s="78">
        <f>IF('3mD'!B41&lt;&gt;"",'3mD'!G41,"")</f>
        <v/>
      </c>
      <c r="H2041" s="97">
        <f>IF('3mD'!B41&lt;&gt;"",'3mD'!H41,"")</f>
        <v/>
      </c>
      <c r="I2041" s="97">
        <f>IF('3mD'!B41&lt;&gt;"",'3mD'!I41,"")</f>
        <v/>
      </c>
      <c r="J2041" s="78">
        <f>IF('3mD'!B41&lt;&gt;"",'3mD'!J41,"")</f>
        <v/>
      </c>
    </row>
    <row r="2042" ht="15.75" customHeight="1" s="52">
      <c r="A2042" s="92">
        <f>IF('3mD'!B42&lt;&gt;"","3mD","")</f>
        <v/>
      </c>
      <c r="B2042" s="82">
        <f>IF('3mD'!B42&lt;&gt;"",'3mD'!B42,"")</f>
        <v/>
      </c>
      <c r="C2042" s="82">
        <f>IF('3mD'!B42&lt;&gt;"",'3mD'!C42,"")</f>
        <v/>
      </c>
      <c r="D2042" s="82">
        <f>IF('3mD'!B42&lt;&gt;"",'3mD'!D42,"")</f>
        <v/>
      </c>
      <c r="E2042" s="82">
        <f>IF('3mD'!B42&lt;&gt;"",'3mD'!E42,"")</f>
        <v/>
      </c>
      <c r="F2042" s="82">
        <f>IF('3mD'!B42&lt;&gt;"",'3mD'!F42,"")</f>
        <v/>
      </c>
      <c r="G2042" s="82">
        <f>IF('3mD'!B42&lt;&gt;"",'3mD'!G42,"")</f>
        <v/>
      </c>
      <c r="H2042" s="92">
        <f>IF('3mD'!B42&lt;&gt;"",'3mD'!H42,"")</f>
        <v/>
      </c>
      <c r="I2042" s="92">
        <f>IF('3mD'!B42&lt;&gt;"",'3mD'!I42,"")</f>
        <v/>
      </c>
      <c r="J2042" s="82">
        <f>IF('3mD'!B42&lt;&gt;"",'3mD'!J42,"")</f>
        <v/>
      </c>
    </row>
    <row r="2043" ht="15.75" customHeight="1" s="52">
      <c r="A2043" s="97">
        <f>IF('3mD'!B43&lt;&gt;"","3mD","")</f>
        <v/>
      </c>
      <c r="B2043" s="78">
        <f>IF('3mD'!B43&lt;&gt;"",'3mD'!B43,"")</f>
        <v/>
      </c>
      <c r="C2043" s="78">
        <f>IF('3mD'!B43&lt;&gt;"",'3mD'!C43,"")</f>
        <v/>
      </c>
      <c r="D2043" s="78">
        <f>IF('3mD'!B43&lt;&gt;"",'3mD'!D43,"")</f>
        <v/>
      </c>
      <c r="E2043" s="78">
        <f>IF('3mD'!B43&lt;&gt;"",'3mD'!E43,"")</f>
        <v/>
      </c>
      <c r="F2043" s="78">
        <f>IF('3mD'!B43&lt;&gt;"",'3mD'!F43,"")</f>
        <v/>
      </c>
      <c r="G2043" s="78">
        <f>IF('3mD'!B43&lt;&gt;"",'3mD'!G43,"")</f>
        <v/>
      </c>
      <c r="H2043" s="97">
        <f>IF('3mD'!B43&lt;&gt;"",'3mD'!H43,"")</f>
        <v/>
      </c>
      <c r="I2043" s="97">
        <f>IF('3mD'!B43&lt;&gt;"",'3mD'!I43,"")</f>
        <v/>
      </c>
      <c r="J2043" s="78">
        <f>IF('3mD'!B43&lt;&gt;"",'3mD'!J43,"")</f>
        <v/>
      </c>
    </row>
    <row r="2044" ht="15.75" customHeight="1" s="52">
      <c r="A2044" s="92">
        <f>IF('3mD'!B44&lt;&gt;"","3mD","")</f>
        <v/>
      </c>
      <c r="B2044" s="82">
        <f>IF('3mD'!B44&lt;&gt;"",'3mD'!B44,"")</f>
        <v/>
      </c>
      <c r="C2044" s="82">
        <f>IF('3mD'!B44&lt;&gt;"",'3mD'!C44,"")</f>
        <v/>
      </c>
      <c r="D2044" s="82">
        <f>IF('3mD'!B44&lt;&gt;"",'3mD'!D44,"")</f>
        <v/>
      </c>
      <c r="E2044" s="82">
        <f>IF('3mD'!B44&lt;&gt;"",'3mD'!E44,"")</f>
        <v/>
      </c>
      <c r="F2044" s="82">
        <f>IF('3mD'!B44&lt;&gt;"",'3mD'!F44,"")</f>
        <v/>
      </c>
      <c r="G2044" s="82">
        <f>IF('3mD'!B44&lt;&gt;"",'3mD'!G44,"")</f>
        <v/>
      </c>
      <c r="H2044" s="92">
        <f>IF('3mD'!B44&lt;&gt;"",'3mD'!H44,"")</f>
        <v/>
      </c>
      <c r="I2044" s="92">
        <f>IF('3mD'!B44&lt;&gt;"",'3mD'!I44,"")</f>
        <v/>
      </c>
      <c r="J2044" s="82">
        <f>IF('3mD'!B44&lt;&gt;"",'3mD'!J44,"")</f>
        <v/>
      </c>
    </row>
    <row r="2045" ht="15.75" customHeight="1" s="52">
      <c r="A2045" s="97">
        <f>IF('3mD'!B45&lt;&gt;"","3mD","")</f>
        <v/>
      </c>
      <c r="B2045" s="78">
        <f>IF('3mD'!B45&lt;&gt;"",'3mD'!B45,"")</f>
        <v/>
      </c>
      <c r="C2045" s="78">
        <f>IF('3mD'!B45&lt;&gt;"",'3mD'!C45,"")</f>
        <v/>
      </c>
      <c r="D2045" s="78">
        <f>IF('3mD'!B45&lt;&gt;"",'3mD'!D45,"")</f>
        <v/>
      </c>
      <c r="E2045" s="78">
        <f>IF('3mD'!B45&lt;&gt;"",'3mD'!E45,"")</f>
        <v/>
      </c>
      <c r="F2045" s="78">
        <f>IF('3mD'!B45&lt;&gt;"",'3mD'!F45,"")</f>
        <v/>
      </c>
      <c r="G2045" s="78">
        <f>IF('3mD'!B45&lt;&gt;"",'3mD'!G45,"")</f>
        <v/>
      </c>
      <c r="H2045" s="97">
        <f>IF('3mD'!B45&lt;&gt;"",'3mD'!H45,"")</f>
        <v/>
      </c>
      <c r="I2045" s="97">
        <f>IF('3mD'!B45&lt;&gt;"",'3mD'!I45,"")</f>
        <v/>
      </c>
      <c r="J2045" s="78">
        <f>IF('3mD'!B45&lt;&gt;"",'3mD'!J45,"")</f>
        <v/>
      </c>
    </row>
    <row r="2046" ht="15.75" customHeight="1" s="52">
      <c r="A2046" s="92">
        <f>IF('3mD'!B46&lt;&gt;"","3mD","")</f>
        <v/>
      </c>
      <c r="B2046" s="82">
        <f>IF('3mD'!B46&lt;&gt;"",'3mD'!B46,"")</f>
        <v/>
      </c>
      <c r="C2046" s="82">
        <f>IF('3mD'!B46&lt;&gt;"",'3mD'!C46,"")</f>
        <v/>
      </c>
      <c r="D2046" s="82">
        <f>IF('3mD'!B46&lt;&gt;"",'3mD'!D46,"")</f>
        <v/>
      </c>
      <c r="E2046" s="82">
        <f>IF('3mD'!B46&lt;&gt;"",'3mD'!E46,"")</f>
        <v/>
      </c>
      <c r="F2046" s="82">
        <f>IF('3mD'!B46&lt;&gt;"",'3mD'!F46,"")</f>
        <v/>
      </c>
      <c r="G2046" s="82">
        <f>IF('3mD'!B46&lt;&gt;"",'3mD'!G46,"")</f>
        <v/>
      </c>
      <c r="H2046" s="92">
        <f>IF('3mD'!B46&lt;&gt;"",'3mD'!H46,"")</f>
        <v/>
      </c>
      <c r="I2046" s="92">
        <f>IF('3mD'!B46&lt;&gt;"",'3mD'!I46,"")</f>
        <v/>
      </c>
      <c r="J2046" s="82">
        <f>IF('3mD'!B46&lt;&gt;"",'3mD'!J46,"")</f>
        <v/>
      </c>
    </row>
    <row r="2047" ht="15.75" customHeight="1" s="52">
      <c r="A2047" s="97">
        <f>IF('3mD'!B47&lt;&gt;"","3mD","")</f>
        <v/>
      </c>
      <c r="B2047" s="78">
        <f>IF('3mD'!B47&lt;&gt;"",'3mD'!B47,"")</f>
        <v/>
      </c>
      <c r="C2047" s="78">
        <f>IF('3mD'!B47&lt;&gt;"",'3mD'!C47,"")</f>
        <v/>
      </c>
      <c r="D2047" s="78">
        <f>IF('3mD'!B47&lt;&gt;"",'3mD'!D47,"")</f>
        <v/>
      </c>
      <c r="E2047" s="78">
        <f>IF('3mD'!B47&lt;&gt;"",'3mD'!E47,"")</f>
        <v/>
      </c>
      <c r="F2047" s="78">
        <f>IF('3mD'!B47&lt;&gt;"",'3mD'!F47,"")</f>
        <v/>
      </c>
      <c r="G2047" s="78">
        <f>IF('3mD'!B47&lt;&gt;"",'3mD'!G47,"")</f>
        <v/>
      </c>
      <c r="H2047" s="97">
        <f>IF('3mD'!B47&lt;&gt;"",'3mD'!H47,"")</f>
        <v/>
      </c>
      <c r="I2047" s="97">
        <f>IF('3mD'!B47&lt;&gt;"",'3mD'!I47,"")</f>
        <v/>
      </c>
      <c r="J2047" s="78">
        <f>IF('3mD'!B47&lt;&gt;"",'3mD'!J47,"")</f>
        <v/>
      </c>
    </row>
    <row r="2048" ht="15.75" customHeight="1" s="52">
      <c r="A2048" s="92">
        <f>IF('3mD'!B48&lt;&gt;"","3mD","")</f>
        <v/>
      </c>
      <c r="B2048" s="82">
        <f>IF('3mD'!B48&lt;&gt;"",'3mD'!B48,"")</f>
        <v/>
      </c>
      <c r="C2048" s="82">
        <f>IF('3mD'!B48&lt;&gt;"",'3mD'!C48,"")</f>
        <v/>
      </c>
      <c r="D2048" s="82">
        <f>IF('3mD'!B48&lt;&gt;"",'3mD'!D48,"")</f>
        <v/>
      </c>
      <c r="E2048" s="82">
        <f>IF('3mD'!B48&lt;&gt;"",'3mD'!E48,"")</f>
        <v/>
      </c>
      <c r="F2048" s="82">
        <f>IF('3mD'!B48&lt;&gt;"",'3mD'!F48,"")</f>
        <v/>
      </c>
      <c r="G2048" s="82">
        <f>IF('3mD'!B48&lt;&gt;"",'3mD'!G48,"")</f>
        <v/>
      </c>
      <c r="H2048" s="92">
        <f>IF('3mD'!B48&lt;&gt;"",'3mD'!H48,"")</f>
        <v/>
      </c>
      <c r="I2048" s="92">
        <f>IF('3mD'!B48&lt;&gt;"",'3mD'!I48,"")</f>
        <v/>
      </c>
      <c r="J2048" s="82">
        <f>IF('3mD'!B48&lt;&gt;"",'3mD'!J48,"")</f>
        <v/>
      </c>
    </row>
    <row r="2049" ht="15.75" customHeight="1" s="52">
      <c r="A2049" s="97">
        <f>IF('3mD'!B49&lt;&gt;"","3mD","")</f>
        <v/>
      </c>
      <c r="B2049" s="78">
        <f>IF('3mD'!B49&lt;&gt;"",'3mD'!B49,"")</f>
        <v/>
      </c>
      <c r="C2049" s="78">
        <f>IF('3mD'!B49&lt;&gt;"",'3mD'!C49,"")</f>
        <v/>
      </c>
      <c r="D2049" s="78">
        <f>IF('3mD'!B49&lt;&gt;"",'3mD'!D49,"")</f>
        <v/>
      </c>
      <c r="E2049" s="78">
        <f>IF('3mD'!B49&lt;&gt;"",'3mD'!E49,"")</f>
        <v/>
      </c>
      <c r="F2049" s="78">
        <f>IF('3mD'!B49&lt;&gt;"",'3mD'!F49,"")</f>
        <v/>
      </c>
      <c r="G2049" s="78">
        <f>IF('3mD'!B49&lt;&gt;"",'3mD'!G49,"")</f>
        <v/>
      </c>
      <c r="H2049" s="97">
        <f>IF('3mD'!B49&lt;&gt;"",'3mD'!H49,"")</f>
        <v/>
      </c>
      <c r="I2049" s="97">
        <f>IF('3mD'!B49&lt;&gt;"",'3mD'!I49,"")</f>
        <v/>
      </c>
      <c r="J2049" s="78">
        <f>IF('3mD'!B49&lt;&gt;"",'3mD'!J49,"")</f>
        <v/>
      </c>
    </row>
    <row r="2050" ht="15.75" customHeight="1" s="52">
      <c r="A2050" s="92">
        <f>IF('3mD'!B50&lt;&gt;"","3mD","")</f>
        <v/>
      </c>
      <c r="B2050" s="82">
        <f>IF('3mD'!B50&lt;&gt;"",'3mD'!B50,"")</f>
        <v/>
      </c>
      <c r="C2050" s="82">
        <f>IF('3mD'!B50&lt;&gt;"",'3mD'!C50,"")</f>
        <v/>
      </c>
      <c r="D2050" s="82">
        <f>IF('3mD'!B50&lt;&gt;"",'3mD'!D50,"")</f>
        <v/>
      </c>
      <c r="E2050" s="82">
        <f>IF('3mD'!B50&lt;&gt;"",'3mD'!E50,"")</f>
        <v/>
      </c>
      <c r="F2050" s="82">
        <f>IF('3mD'!B50&lt;&gt;"",'3mD'!F50,"")</f>
        <v/>
      </c>
      <c r="G2050" s="82">
        <f>IF('3mD'!B50&lt;&gt;"",'3mD'!G50,"")</f>
        <v/>
      </c>
      <c r="H2050" s="92">
        <f>IF('3mD'!B50&lt;&gt;"",'3mD'!H50,"")</f>
        <v/>
      </c>
      <c r="I2050" s="92">
        <f>IF('3mD'!B50&lt;&gt;"",'3mD'!I50,"")</f>
        <v/>
      </c>
      <c r="J2050" s="82">
        <f>IF('3mD'!B50&lt;&gt;"",'3mD'!J50,"")</f>
        <v/>
      </c>
    </row>
    <row r="2051" ht="15.75" customHeight="1" s="52">
      <c r="A2051" s="97">
        <f>IF('3mD'!B51&lt;&gt;"","3mD","")</f>
        <v/>
      </c>
      <c r="B2051" s="78">
        <f>IF('3mD'!B51&lt;&gt;"",'3mD'!B51,"")</f>
        <v/>
      </c>
      <c r="C2051" s="78">
        <f>IF('3mD'!B51&lt;&gt;"",'3mD'!C51,"")</f>
        <v/>
      </c>
      <c r="D2051" s="78">
        <f>IF('3mD'!B51&lt;&gt;"",'3mD'!D51,"")</f>
        <v/>
      </c>
      <c r="E2051" s="78">
        <f>IF('3mD'!B51&lt;&gt;"",'3mD'!E51,"")</f>
        <v/>
      </c>
      <c r="F2051" s="78">
        <f>IF('3mD'!B51&lt;&gt;"",'3mD'!F51,"")</f>
        <v/>
      </c>
      <c r="G2051" s="78">
        <f>IF('3mD'!B51&lt;&gt;"",'3mD'!G51,"")</f>
        <v/>
      </c>
      <c r="H2051" s="97">
        <f>IF('3mD'!B51&lt;&gt;"",'3mD'!H51,"")</f>
        <v/>
      </c>
      <c r="I2051" s="97">
        <f>IF('3mD'!B51&lt;&gt;"",'3mD'!I51,"")</f>
        <v/>
      </c>
      <c r="J2051" s="78">
        <f>IF('3mD'!B51&lt;&gt;"",'3mD'!J51,"")</f>
        <v/>
      </c>
    </row>
    <row r="2052" ht="15.75" customHeight="1" s="52">
      <c r="A2052" s="92">
        <f>IF('3mD'!B52&lt;&gt;"","3mD","")</f>
        <v/>
      </c>
      <c r="B2052" s="82">
        <f>IF('3mD'!B52&lt;&gt;"",'3mD'!B52,"")</f>
        <v/>
      </c>
      <c r="C2052" s="82">
        <f>IF('3mD'!B52&lt;&gt;"",'3mD'!C52,"")</f>
        <v/>
      </c>
      <c r="D2052" s="82">
        <f>IF('3mD'!B52&lt;&gt;"",'3mD'!D52,"")</f>
        <v/>
      </c>
      <c r="E2052" s="82">
        <f>IF('3mD'!B52&lt;&gt;"",'3mD'!E52,"")</f>
        <v/>
      </c>
      <c r="F2052" s="82">
        <f>IF('3mD'!B52&lt;&gt;"",'3mD'!F52,"")</f>
        <v/>
      </c>
      <c r="G2052" s="82">
        <f>IF('3mD'!B52&lt;&gt;"",'3mD'!G52,"")</f>
        <v/>
      </c>
      <c r="H2052" s="92">
        <f>IF('3mD'!B52&lt;&gt;"",'3mD'!H52,"")</f>
        <v/>
      </c>
      <c r="I2052" s="92">
        <f>IF('3mD'!B52&lt;&gt;"",'3mD'!I52,"")</f>
        <v/>
      </c>
      <c r="J2052" s="82">
        <f>IF('3mD'!B52&lt;&gt;"",'3mD'!J52,"")</f>
        <v/>
      </c>
    </row>
    <row r="2053" ht="15.75" customHeight="1" s="52">
      <c r="A2053" s="97">
        <f>IF('3mD'!B53&lt;&gt;"","3mD","")</f>
        <v/>
      </c>
      <c r="B2053" s="78">
        <f>IF('3mD'!B53&lt;&gt;"",'3mD'!B53,"")</f>
        <v/>
      </c>
      <c r="C2053" s="78">
        <f>IF('3mD'!B53&lt;&gt;"",'3mD'!C53,"")</f>
        <v/>
      </c>
      <c r="D2053" s="78">
        <f>IF('3mD'!B53&lt;&gt;"",'3mD'!D53,"")</f>
        <v/>
      </c>
      <c r="E2053" s="78">
        <f>IF('3mD'!B53&lt;&gt;"",'3mD'!E53,"")</f>
        <v/>
      </c>
      <c r="F2053" s="78">
        <f>IF('3mD'!B53&lt;&gt;"",'3mD'!F53,"")</f>
        <v/>
      </c>
      <c r="G2053" s="78">
        <f>IF('3mD'!B53&lt;&gt;"",'3mD'!G53,"")</f>
        <v/>
      </c>
      <c r="H2053" s="97">
        <f>IF('3mD'!B53&lt;&gt;"",'3mD'!H53,"")</f>
        <v/>
      </c>
      <c r="I2053" s="97">
        <f>IF('3mD'!B53&lt;&gt;"",'3mD'!I53,"")</f>
        <v/>
      </c>
      <c r="J2053" s="78">
        <f>IF('3mD'!B53&lt;&gt;"",'3mD'!J53,"")</f>
        <v/>
      </c>
    </row>
    <row r="2054" ht="15.75" customHeight="1" s="52">
      <c r="A2054" s="92">
        <f>IF('3mD'!B54&lt;&gt;"","3mD","")</f>
        <v/>
      </c>
      <c r="B2054" s="82">
        <f>IF('3mD'!B54&lt;&gt;"",'3mD'!B54,"")</f>
        <v/>
      </c>
      <c r="C2054" s="82">
        <f>IF('3mD'!B54&lt;&gt;"",'3mD'!C54,"")</f>
        <v/>
      </c>
      <c r="D2054" s="82">
        <f>IF('3mD'!B54&lt;&gt;"",'3mD'!D54,"")</f>
        <v/>
      </c>
      <c r="E2054" s="82">
        <f>IF('3mD'!B54&lt;&gt;"",'3mD'!E54,"")</f>
        <v/>
      </c>
      <c r="F2054" s="82">
        <f>IF('3mD'!B54&lt;&gt;"",'3mD'!F54,"")</f>
        <v/>
      </c>
      <c r="G2054" s="82">
        <f>IF('3mD'!B54&lt;&gt;"",'3mD'!G54,"")</f>
        <v/>
      </c>
      <c r="H2054" s="92">
        <f>IF('3mD'!B54&lt;&gt;"",'3mD'!H54,"")</f>
        <v/>
      </c>
      <c r="I2054" s="92">
        <f>IF('3mD'!B54&lt;&gt;"",'3mD'!I54,"")</f>
        <v/>
      </c>
      <c r="J2054" s="82">
        <f>IF('3mD'!B54&lt;&gt;"",'3mD'!J54,"")</f>
        <v/>
      </c>
    </row>
    <row r="2055" ht="15.75" customHeight="1" s="52">
      <c r="A2055" s="97">
        <f>IF('4mA'!B5&lt;&gt;"","4mA","")</f>
        <v/>
      </c>
      <c r="B2055" s="78">
        <f>IF('4mA'!B5&lt;&gt;"",'4mA'!B5,"")</f>
        <v/>
      </c>
      <c r="C2055" s="78">
        <f>IF('4mA'!B5&lt;&gt;"",'4mA'!C5,"")</f>
        <v/>
      </c>
      <c r="D2055" s="78">
        <f>IF('4mA'!B5&lt;&gt;"",'4mA'!D5,"")</f>
        <v/>
      </c>
      <c r="E2055" s="78">
        <f>IF('4mA'!B5&lt;&gt;"",'4mA'!E5,"")</f>
        <v/>
      </c>
      <c r="F2055" s="78">
        <f>IF('4mA'!B5&lt;&gt;"",'4mA'!F5,"")</f>
        <v/>
      </c>
      <c r="G2055" s="78">
        <f>IF('4mA'!B5&lt;&gt;"",'4mA'!G5,"")</f>
        <v/>
      </c>
      <c r="H2055" s="97">
        <f>IF('4mA'!B5&lt;&gt;"",'4mA'!H5,"")</f>
        <v/>
      </c>
      <c r="I2055" s="97">
        <f>IF('4mA'!B5&lt;&gt;"",'4mA'!I5,"")</f>
        <v/>
      </c>
      <c r="J2055" s="78">
        <f>IF('4mA'!B5&lt;&gt;"",'4mA'!J5,"")</f>
        <v/>
      </c>
    </row>
    <row r="2056" ht="15.75" customHeight="1" s="52">
      <c r="A2056" s="92">
        <f>IF('4mA'!B6&lt;&gt;"","4mA","")</f>
        <v/>
      </c>
      <c r="B2056" s="82">
        <f>IF('4mA'!B6&lt;&gt;"",'4mA'!B6,"")</f>
        <v/>
      </c>
      <c r="C2056" s="82">
        <f>IF('4mA'!B6&lt;&gt;"",'4mA'!C6,"")</f>
        <v/>
      </c>
      <c r="D2056" s="82">
        <f>IF('4mA'!B6&lt;&gt;"",'4mA'!D6,"")</f>
        <v/>
      </c>
      <c r="E2056" s="82">
        <f>IF('4mA'!B6&lt;&gt;"",'4mA'!E6,"")</f>
        <v/>
      </c>
      <c r="F2056" s="82">
        <f>IF('4mA'!B6&lt;&gt;"",'4mA'!F6,"")</f>
        <v/>
      </c>
      <c r="G2056" s="82">
        <f>IF('4mA'!B6&lt;&gt;"",'4mA'!G6,"")</f>
        <v/>
      </c>
      <c r="H2056" s="92">
        <f>IF('4mA'!B6&lt;&gt;"",'4mA'!H6,"")</f>
        <v/>
      </c>
      <c r="I2056" s="92">
        <f>IF('4mA'!B6&lt;&gt;"",'4mA'!I6,"")</f>
        <v/>
      </c>
      <c r="J2056" s="82">
        <f>IF('4mA'!B6&lt;&gt;"",'4mA'!J6,"")</f>
        <v/>
      </c>
    </row>
    <row r="2057" ht="15.75" customHeight="1" s="52">
      <c r="A2057" s="97">
        <f>IF('4mA'!B7&lt;&gt;"","4mA","")</f>
        <v/>
      </c>
      <c r="B2057" s="78">
        <f>IF('4mA'!B7&lt;&gt;"",'4mA'!B7,"")</f>
        <v/>
      </c>
      <c r="C2057" s="78">
        <f>IF('4mA'!B7&lt;&gt;"",'4mA'!C7,"")</f>
        <v/>
      </c>
      <c r="D2057" s="78">
        <f>IF('4mA'!B7&lt;&gt;"",'4mA'!D7,"")</f>
        <v/>
      </c>
      <c r="E2057" s="78">
        <f>IF('4mA'!B7&lt;&gt;"",'4mA'!E7,"")</f>
        <v/>
      </c>
      <c r="F2057" s="78">
        <f>IF('4mA'!B7&lt;&gt;"",'4mA'!F7,"")</f>
        <v/>
      </c>
      <c r="G2057" s="78">
        <f>IF('4mA'!B7&lt;&gt;"",'4mA'!G7,"")</f>
        <v/>
      </c>
      <c r="H2057" s="97">
        <f>IF('4mA'!B7&lt;&gt;"",'4mA'!H7,"")</f>
        <v/>
      </c>
      <c r="I2057" s="97">
        <f>IF('4mA'!B7&lt;&gt;"",'4mA'!I7,"")</f>
        <v/>
      </c>
      <c r="J2057" s="78">
        <f>IF('4mA'!B7&lt;&gt;"",'4mA'!J7,"")</f>
        <v/>
      </c>
    </row>
    <row r="2058" ht="15.75" customHeight="1" s="52">
      <c r="A2058" s="92">
        <f>IF('4mA'!B8&lt;&gt;"","4mA","")</f>
        <v/>
      </c>
      <c r="B2058" s="82">
        <f>IF('4mA'!B8&lt;&gt;"",'4mA'!B8,"")</f>
        <v/>
      </c>
      <c r="C2058" s="82">
        <f>IF('4mA'!B8&lt;&gt;"",'4mA'!C8,"")</f>
        <v/>
      </c>
      <c r="D2058" s="82">
        <f>IF('4mA'!B8&lt;&gt;"",'4mA'!D8,"")</f>
        <v/>
      </c>
      <c r="E2058" s="82">
        <f>IF('4mA'!B8&lt;&gt;"",'4mA'!E8,"")</f>
        <v/>
      </c>
      <c r="F2058" s="82">
        <f>IF('4mA'!B8&lt;&gt;"",'4mA'!F8,"")</f>
        <v/>
      </c>
      <c r="G2058" s="82">
        <f>IF('4mA'!B8&lt;&gt;"",'4mA'!G8,"")</f>
        <v/>
      </c>
      <c r="H2058" s="92">
        <f>IF('4mA'!B8&lt;&gt;"",'4mA'!H8,"")</f>
        <v/>
      </c>
      <c r="I2058" s="92">
        <f>IF('4mA'!B8&lt;&gt;"",'4mA'!I8,"")</f>
        <v/>
      </c>
      <c r="J2058" s="82">
        <f>IF('4mA'!B8&lt;&gt;"",'4mA'!J8,"")</f>
        <v/>
      </c>
    </row>
    <row r="2059" ht="15.75" customHeight="1" s="52">
      <c r="A2059" s="97">
        <f>IF('4mA'!B9&lt;&gt;"","4mA","")</f>
        <v/>
      </c>
      <c r="B2059" s="78">
        <f>IF('4mA'!B9&lt;&gt;"",'4mA'!B9,"")</f>
        <v/>
      </c>
      <c r="C2059" s="78">
        <f>IF('4mA'!B9&lt;&gt;"",'4mA'!C9,"")</f>
        <v/>
      </c>
      <c r="D2059" s="78">
        <f>IF('4mA'!B9&lt;&gt;"",'4mA'!D9,"")</f>
        <v/>
      </c>
      <c r="E2059" s="78">
        <f>IF('4mA'!B9&lt;&gt;"",'4mA'!E9,"")</f>
        <v/>
      </c>
      <c r="F2059" s="78">
        <f>IF('4mA'!B9&lt;&gt;"",'4mA'!F9,"")</f>
        <v/>
      </c>
      <c r="G2059" s="78">
        <f>IF('4mA'!B9&lt;&gt;"",'4mA'!G9,"")</f>
        <v/>
      </c>
      <c r="H2059" s="97">
        <f>IF('4mA'!B9&lt;&gt;"",'4mA'!H9,"")</f>
        <v/>
      </c>
      <c r="I2059" s="97">
        <f>IF('4mA'!B9&lt;&gt;"",'4mA'!I9,"")</f>
        <v/>
      </c>
      <c r="J2059" s="78">
        <f>IF('4mA'!B9&lt;&gt;"",'4mA'!J9,"")</f>
        <v/>
      </c>
    </row>
    <row r="2060" ht="15.75" customHeight="1" s="52">
      <c r="A2060" s="92">
        <f>IF('4mA'!B10&lt;&gt;"","4mA","")</f>
        <v/>
      </c>
      <c r="B2060" s="82">
        <f>IF('4mA'!B10&lt;&gt;"",'4mA'!B10,"")</f>
        <v/>
      </c>
      <c r="C2060" s="82">
        <f>IF('4mA'!B10&lt;&gt;"",'4mA'!C10,"")</f>
        <v/>
      </c>
      <c r="D2060" s="82">
        <f>IF('4mA'!B10&lt;&gt;"",'4mA'!D10,"")</f>
        <v/>
      </c>
      <c r="E2060" s="82">
        <f>IF('4mA'!B10&lt;&gt;"",'4mA'!E10,"")</f>
        <v/>
      </c>
      <c r="F2060" s="82">
        <f>IF('4mA'!B10&lt;&gt;"",'4mA'!F10,"")</f>
        <v/>
      </c>
      <c r="G2060" s="82">
        <f>IF('4mA'!B10&lt;&gt;"",'4mA'!G10,"")</f>
        <v/>
      </c>
      <c r="H2060" s="92">
        <f>IF('4mA'!B10&lt;&gt;"",'4mA'!H10,"")</f>
        <v/>
      </c>
      <c r="I2060" s="92">
        <f>IF('4mA'!B10&lt;&gt;"",'4mA'!I10,"")</f>
        <v/>
      </c>
      <c r="J2060" s="82">
        <f>IF('4mA'!B10&lt;&gt;"",'4mA'!J10,"")</f>
        <v/>
      </c>
    </row>
    <row r="2061" ht="15.75" customHeight="1" s="52">
      <c r="A2061" s="97">
        <f>IF('4mA'!B11&lt;&gt;"","4mA","")</f>
        <v/>
      </c>
      <c r="B2061" s="78">
        <f>IF('4mA'!B11&lt;&gt;"",'4mA'!B11,"")</f>
        <v/>
      </c>
      <c r="C2061" s="78">
        <f>IF('4mA'!B11&lt;&gt;"",'4mA'!C11,"")</f>
        <v/>
      </c>
      <c r="D2061" s="78">
        <f>IF('4mA'!B11&lt;&gt;"",'4mA'!D11,"")</f>
        <v/>
      </c>
      <c r="E2061" s="78">
        <f>IF('4mA'!B11&lt;&gt;"",'4mA'!E11,"")</f>
        <v/>
      </c>
      <c r="F2061" s="78">
        <f>IF('4mA'!B11&lt;&gt;"",'4mA'!F11,"")</f>
        <v/>
      </c>
      <c r="G2061" s="78">
        <f>IF('4mA'!B11&lt;&gt;"",'4mA'!G11,"")</f>
        <v/>
      </c>
      <c r="H2061" s="97">
        <f>IF('4mA'!B11&lt;&gt;"",'4mA'!H11,"")</f>
        <v/>
      </c>
      <c r="I2061" s="97">
        <f>IF('4mA'!B11&lt;&gt;"",'4mA'!I11,"")</f>
        <v/>
      </c>
      <c r="J2061" s="78">
        <f>IF('4mA'!B11&lt;&gt;"",'4mA'!J11,"")</f>
        <v/>
      </c>
    </row>
    <row r="2062" ht="15.75" customHeight="1" s="52">
      <c r="A2062" s="92">
        <f>IF('4mA'!B12&lt;&gt;"","4mA","")</f>
        <v/>
      </c>
      <c r="B2062" s="82">
        <f>IF('4mA'!B12&lt;&gt;"",'4mA'!B12,"")</f>
        <v/>
      </c>
      <c r="C2062" s="82">
        <f>IF('4mA'!B12&lt;&gt;"",'4mA'!C12,"")</f>
        <v/>
      </c>
      <c r="D2062" s="82">
        <f>IF('4mA'!B12&lt;&gt;"",'4mA'!D12,"")</f>
        <v/>
      </c>
      <c r="E2062" s="82">
        <f>IF('4mA'!B12&lt;&gt;"",'4mA'!E12,"")</f>
        <v/>
      </c>
      <c r="F2062" s="82">
        <f>IF('4mA'!B12&lt;&gt;"",'4mA'!F12,"")</f>
        <v/>
      </c>
      <c r="G2062" s="82">
        <f>IF('4mA'!B12&lt;&gt;"",'4mA'!G12,"")</f>
        <v/>
      </c>
      <c r="H2062" s="92">
        <f>IF('4mA'!B12&lt;&gt;"",'4mA'!H12,"")</f>
        <v/>
      </c>
      <c r="I2062" s="92">
        <f>IF('4mA'!B12&lt;&gt;"",'4mA'!I12,"")</f>
        <v/>
      </c>
      <c r="J2062" s="82">
        <f>IF('4mA'!B12&lt;&gt;"",'4mA'!J12,"")</f>
        <v/>
      </c>
    </row>
    <row r="2063" ht="15.75" customHeight="1" s="52">
      <c r="A2063" s="97">
        <f>IF('4mA'!B13&lt;&gt;"","4mA","")</f>
        <v/>
      </c>
      <c r="B2063" s="78">
        <f>IF('4mA'!B13&lt;&gt;"",'4mA'!B13,"")</f>
        <v/>
      </c>
      <c r="C2063" s="78">
        <f>IF('4mA'!B13&lt;&gt;"",'4mA'!C13,"")</f>
        <v/>
      </c>
      <c r="D2063" s="78">
        <f>IF('4mA'!B13&lt;&gt;"",'4mA'!D13,"")</f>
        <v/>
      </c>
      <c r="E2063" s="78">
        <f>IF('4mA'!B13&lt;&gt;"",'4mA'!E13,"")</f>
        <v/>
      </c>
      <c r="F2063" s="78">
        <f>IF('4mA'!B13&lt;&gt;"",'4mA'!F13,"")</f>
        <v/>
      </c>
      <c r="G2063" s="78">
        <f>IF('4mA'!B13&lt;&gt;"",'4mA'!G13,"")</f>
        <v/>
      </c>
      <c r="H2063" s="97">
        <f>IF('4mA'!B13&lt;&gt;"",'4mA'!H13,"")</f>
        <v/>
      </c>
      <c r="I2063" s="97">
        <f>IF('4mA'!B13&lt;&gt;"",'4mA'!I13,"")</f>
        <v/>
      </c>
      <c r="J2063" s="78">
        <f>IF('4mA'!B13&lt;&gt;"",'4mA'!J13,"")</f>
        <v/>
      </c>
    </row>
    <row r="2064" ht="15.75" customHeight="1" s="52">
      <c r="A2064" s="92">
        <f>IF('4mA'!B14&lt;&gt;"","4mA","")</f>
        <v/>
      </c>
      <c r="B2064" s="82">
        <f>IF('4mA'!B14&lt;&gt;"",'4mA'!B14,"")</f>
        <v/>
      </c>
      <c r="C2064" s="82">
        <f>IF('4mA'!B14&lt;&gt;"",'4mA'!C14,"")</f>
        <v/>
      </c>
      <c r="D2064" s="82">
        <f>IF('4mA'!B14&lt;&gt;"",'4mA'!D14,"")</f>
        <v/>
      </c>
      <c r="E2064" s="82">
        <f>IF('4mA'!B14&lt;&gt;"",'4mA'!E14,"")</f>
        <v/>
      </c>
      <c r="F2064" s="82">
        <f>IF('4mA'!B14&lt;&gt;"",'4mA'!F14,"")</f>
        <v/>
      </c>
      <c r="G2064" s="82">
        <f>IF('4mA'!B14&lt;&gt;"",'4mA'!G14,"")</f>
        <v/>
      </c>
      <c r="H2064" s="92">
        <f>IF('4mA'!B14&lt;&gt;"",'4mA'!H14,"")</f>
        <v/>
      </c>
      <c r="I2064" s="92">
        <f>IF('4mA'!B14&lt;&gt;"",'4mA'!I14,"")</f>
        <v/>
      </c>
      <c r="J2064" s="82">
        <f>IF('4mA'!B14&lt;&gt;"",'4mA'!J14,"")</f>
        <v/>
      </c>
    </row>
    <row r="2065" ht="15.75" customHeight="1" s="52">
      <c r="A2065" s="97">
        <f>IF('4mA'!B15&lt;&gt;"","4mA","")</f>
        <v/>
      </c>
      <c r="B2065" s="78">
        <f>IF('4mA'!B15&lt;&gt;"",'4mA'!B15,"")</f>
        <v/>
      </c>
      <c r="C2065" s="78">
        <f>IF('4mA'!B15&lt;&gt;"",'4mA'!C15,"")</f>
        <v/>
      </c>
      <c r="D2065" s="78">
        <f>IF('4mA'!B15&lt;&gt;"",'4mA'!D15,"")</f>
        <v/>
      </c>
      <c r="E2065" s="78">
        <f>IF('4mA'!B15&lt;&gt;"",'4mA'!E15,"")</f>
        <v/>
      </c>
      <c r="F2065" s="78">
        <f>IF('4mA'!B15&lt;&gt;"",'4mA'!F15,"")</f>
        <v/>
      </c>
      <c r="G2065" s="78">
        <f>IF('4mA'!B15&lt;&gt;"",'4mA'!G15,"")</f>
        <v/>
      </c>
      <c r="H2065" s="97">
        <f>IF('4mA'!B15&lt;&gt;"",'4mA'!H15,"")</f>
        <v/>
      </c>
      <c r="I2065" s="97">
        <f>IF('4mA'!B15&lt;&gt;"",'4mA'!I15,"")</f>
        <v/>
      </c>
      <c r="J2065" s="78">
        <f>IF('4mA'!B15&lt;&gt;"",'4mA'!J15,"")</f>
        <v/>
      </c>
    </row>
    <row r="2066" ht="15.75" customHeight="1" s="52">
      <c r="A2066" s="92">
        <f>IF('4mA'!B16&lt;&gt;"","4mA","")</f>
        <v/>
      </c>
      <c r="B2066" s="82">
        <f>IF('4mA'!B16&lt;&gt;"",'4mA'!B16,"")</f>
        <v/>
      </c>
      <c r="C2066" s="82">
        <f>IF('4mA'!B16&lt;&gt;"",'4mA'!C16,"")</f>
        <v/>
      </c>
      <c r="D2066" s="82">
        <f>IF('4mA'!B16&lt;&gt;"",'4mA'!D16,"")</f>
        <v/>
      </c>
      <c r="E2066" s="82">
        <f>IF('4mA'!B16&lt;&gt;"",'4mA'!E16,"")</f>
        <v/>
      </c>
      <c r="F2066" s="82">
        <f>IF('4mA'!B16&lt;&gt;"",'4mA'!F16,"")</f>
        <v/>
      </c>
      <c r="G2066" s="82">
        <f>IF('4mA'!B16&lt;&gt;"",'4mA'!G16,"")</f>
        <v/>
      </c>
      <c r="H2066" s="92">
        <f>IF('4mA'!B16&lt;&gt;"",'4mA'!H16,"")</f>
        <v/>
      </c>
      <c r="I2066" s="92">
        <f>IF('4mA'!B16&lt;&gt;"",'4mA'!I16,"")</f>
        <v/>
      </c>
      <c r="J2066" s="82">
        <f>IF('4mA'!B16&lt;&gt;"",'4mA'!J16,"")</f>
        <v/>
      </c>
    </row>
    <row r="2067" ht="15.75" customHeight="1" s="52">
      <c r="A2067" s="97">
        <f>IF('4mA'!B17&lt;&gt;"","4mA","")</f>
        <v/>
      </c>
      <c r="B2067" s="78">
        <f>IF('4mA'!B17&lt;&gt;"",'4mA'!B17,"")</f>
        <v/>
      </c>
      <c r="C2067" s="78">
        <f>IF('4mA'!B17&lt;&gt;"",'4mA'!C17,"")</f>
        <v/>
      </c>
      <c r="D2067" s="78">
        <f>IF('4mA'!B17&lt;&gt;"",'4mA'!D17,"")</f>
        <v/>
      </c>
      <c r="E2067" s="78">
        <f>IF('4mA'!B17&lt;&gt;"",'4mA'!E17,"")</f>
        <v/>
      </c>
      <c r="F2067" s="78">
        <f>IF('4mA'!B17&lt;&gt;"",'4mA'!F17,"")</f>
        <v/>
      </c>
      <c r="G2067" s="78">
        <f>IF('4mA'!B17&lt;&gt;"",'4mA'!G17,"")</f>
        <v/>
      </c>
      <c r="H2067" s="97">
        <f>IF('4mA'!B17&lt;&gt;"",'4mA'!H17,"")</f>
        <v/>
      </c>
      <c r="I2067" s="97">
        <f>IF('4mA'!B17&lt;&gt;"",'4mA'!I17,"")</f>
        <v/>
      </c>
      <c r="J2067" s="78">
        <f>IF('4mA'!B17&lt;&gt;"",'4mA'!J17,"")</f>
        <v/>
      </c>
    </row>
    <row r="2068" ht="15.75" customHeight="1" s="52">
      <c r="A2068" s="92">
        <f>IF('4mA'!B18&lt;&gt;"","4mA","")</f>
        <v/>
      </c>
      <c r="B2068" s="82">
        <f>IF('4mA'!B18&lt;&gt;"",'4mA'!B18,"")</f>
        <v/>
      </c>
      <c r="C2068" s="82">
        <f>IF('4mA'!B18&lt;&gt;"",'4mA'!C18,"")</f>
        <v/>
      </c>
      <c r="D2068" s="82">
        <f>IF('4mA'!B18&lt;&gt;"",'4mA'!D18,"")</f>
        <v/>
      </c>
      <c r="E2068" s="82">
        <f>IF('4mA'!B18&lt;&gt;"",'4mA'!E18,"")</f>
        <v/>
      </c>
      <c r="F2068" s="82">
        <f>IF('4mA'!B18&lt;&gt;"",'4mA'!F18,"")</f>
        <v/>
      </c>
      <c r="G2068" s="82">
        <f>IF('4mA'!B18&lt;&gt;"",'4mA'!G18,"")</f>
        <v/>
      </c>
      <c r="H2068" s="92">
        <f>IF('4mA'!B18&lt;&gt;"",'4mA'!H18,"")</f>
        <v/>
      </c>
      <c r="I2068" s="92">
        <f>IF('4mA'!B18&lt;&gt;"",'4mA'!I18,"")</f>
        <v/>
      </c>
      <c r="J2068" s="82">
        <f>IF('4mA'!B18&lt;&gt;"",'4mA'!J18,"")</f>
        <v/>
      </c>
    </row>
    <row r="2069" ht="15.75" customHeight="1" s="52">
      <c r="A2069" s="97">
        <f>IF('4mA'!B19&lt;&gt;"","4mA","")</f>
        <v/>
      </c>
      <c r="B2069" s="78">
        <f>IF('4mA'!B19&lt;&gt;"",'4mA'!B19,"")</f>
        <v/>
      </c>
      <c r="C2069" s="78">
        <f>IF('4mA'!B19&lt;&gt;"",'4mA'!C19,"")</f>
        <v/>
      </c>
      <c r="D2069" s="78">
        <f>IF('4mA'!B19&lt;&gt;"",'4mA'!D19,"")</f>
        <v/>
      </c>
      <c r="E2069" s="78">
        <f>IF('4mA'!B19&lt;&gt;"",'4mA'!E19,"")</f>
        <v/>
      </c>
      <c r="F2069" s="78">
        <f>IF('4mA'!B19&lt;&gt;"",'4mA'!F19,"")</f>
        <v/>
      </c>
      <c r="G2069" s="78">
        <f>IF('4mA'!B19&lt;&gt;"",'4mA'!G19,"")</f>
        <v/>
      </c>
      <c r="H2069" s="97">
        <f>IF('4mA'!B19&lt;&gt;"",'4mA'!H19,"")</f>
        <v/>
      </c>
      <c r="I2069" s="97">
        <f>IF('4mA'!B19&lt;&gt;"",'4mA'!I19,"")</f>
        <v/>
      </c>
      <c r="J2069" s="78">
        <f>IF('4mA'!B19&lt;&gt;"",'4mA'!J19,"")</f>
        <v/>
      </c>
    </row>
    <row r="2070" ht="15.75" customHeight="1" s="52">
      <c r="A2070" s="92">
        <f>IF('4mA'!B20&lt;&gt;"","4mA","")</f>
        <v/>
      </c>
      <c r="B2070" s="82">
        <f>IF('4mA'!B20&lt;&gt;"",'4mA'!B20,"")</f>
        <v/>
      </c>
      <c r="C2070" s="82">
        <f>IF('4mA'!B20&lt;&gt;"",'4mA'!C20,"")</f>
        <v/>
      </c>
      <c r="D2070" s="82">
        <f>IF('4mA'!B20&lt;&gt;"",'4mA'!D20,"")</f>
        <v/>
      </c>
      <c r="E2070" s="82">
        <f>IF('4mA'!B20&lt;&gt;"",'4mA'!E20,"")</f>
        <v/>
      </c>
      <c r="F2070" s="82">
        <f>IF('4mA'!B20&lt;&gt;"",'4mA'!F20,"")</f>
        <v/>
      </c>
      <c r="G2070" s="82">
        <f>IF('4mA'!B20&lt;&gt;"",'4mA'!G20,"")</f>
        <v/>
      </c>
      <c r="H2070" s="92">
        <f>IF('4mA'!B20&lt;&gt;"",'4mA'!H20,"")</f>
        <v/>
      </c>
      <c r="I2070" s="92">
        <f>IF('4mA'!B20&lt;&gt;"",'4mA'!I20,"")</f>
        <v/>
      </c>
      <c r="J2070" s="82">
        <f>IF('4mA'!B20&lt;&gt;"",'4mA'!J20,"")</f>
        <v/>
      </c>
    </row>
    <row r="2071" ht="15.75" customHeight="1" s="52">
      <c r="A2071" s="97">
        <f>IF('4mA'!B21&lt;&gt;"","4mA","")</f>
        <v/>
      </c>
      <c r="B2071" s="78">
        <f>IF('4mA'!B21&lt;&gt;"",'4mA'!B21,"")</f>
        <v/>
      </c>
      <c r="C2071" s="78">
        <f>IF('4mA'!B21&lt;&gt;"",'4mA'!C21,"")</f>
        <v/>
      </c>
      <c r="D2071" s="78">
        <f>IF('4mA'!B21&lt;&gt;"",'4mA'!D21,"")</f>
        <v/>
      </c>
      <c r="E2071" s="78">
        <f>IF('4mA'!B21&lt;&gt;"",'4mA'!E21,"")</f>
        <v/>
      </c>
      <c r="F2071" s="78">
        <f>IF('4mA'!B21&lt;&gt;"",'4mA'!F21,"")</f>
        <v/>
      </c>
      <c r="G2071" s="78">
        <f>IF('4mA'!B21&lt;&gt;"",'4mA'!G21,"")</f>
        <v/>
      </c>
      <c r="H2071" s="97">
        <f>IF('4mA'!B21&lt;&gt;"",'4mA'!H21,"")</f>
        <v/>
      </c>
      <c r="I2071" s="97">
        <f>IF('4mA'!B21&lt;&gt;"",'4mA'!I21,"")</f>
        <v/>
      </c>
      <c r="J2071" s="78">
        <f>IF('4mA'!B21&lt;&gt;"",'4mA'!J21,"")</f>
        <v/>
      </c>
    </row>
    <row r="2072" ht="15.75" customHeight="1" s="52">
      <c r="A2072" s="92">
        <f>IF('4mA'!B22&lt;&gt;"","4mA","")</f>
        <v/>
      </c>
      <c r="B2072" s="82">
        <f>IF('4mA'!B22&lt;&gt;"",'4mA'!B22,"")</f>
        <v/>
      </c>
      <c r="C2072" s="82">
        <f>IF('4mA'!B22&lt;&gt;"",'4mA'!C22,"")</f>
        <v/>
      </c>
      <c r="D2072" s="82">
        <f>IF('4mA'!B22&lt;&gt;"",'4mA'!D22,"")</f>
        <v/>
      </c>
      <c r="E2072" s="82">
        <f>IF('4mA'!B22&lt;&gt;"",'4mA'!E22,"")</f>
        <v/>
      </c>
      <c r="F2072" s="82">
        <f>IF('4mA'!B22&lt;&gt;"",'4mA'!F22,"")</f>
        <v/>
      </c>
      <c r="G2072" s="82">
        <f>IF('4mA'!B22&lt;&gt;"",'4mA'!G22,"")</f>
        <v/>
      </c>
      <c r="H2072" s="92">
        <f>IF('4mA'!B22&lt;&gt;"",'4mA'!H22,"")</f>
        <v/>
      </c>
      <c r="I2072" s="92">
        <f>IF('4mA'!B22&lt;&gt;"",'4mA'!I22,"")</f>
        <v/>
      </c>
      <c r="J2072" s="82">
        <f>IF('4mA'!B22&lt;&gt;"",'4mA'!J22,"")</f>
        <v/>
      </c>
    </row>
    <row r="2073" ht="15.75" customHeight="1" s="52">
      <c r="A2073" s="97">
        <f>IF('4mA'!B23&lt;&gt;"","4mA","")</f>
        <v/>
      </c>
      <c r="B2073" s="78">
        <f>IF('4mA'!B23&lt;&gt;"",'4mA'!B23,"")</f>
        <v/>
      </c>
      <c r="C2073" s="78">
        <f>IF('4mA'!B23&lt;&gt;"",'4mA'!C23,"")</f>
        <v/>
      </c>
      <c r="D2073" s="78">
        <f>IF('4mA'!B23&lt;&gt;"",'4mA'!D23,"")</f>
        <v/>
      </c>
      <c r="E2073" s="78">
        <f>IF('4mA'!B23&lt;&gt;"",'4mA'!E23,"")</f>
        <v/>
      </c>
      <c r="F2073" s="78">
        <f>IF('4mA'!B23&lt;&gt;"",'4mA'!F23,"")</f>
        <v/>
      </c>
      <c r="G2073" s="78">
        <f>IF('4mA'!B23&lt;&gt;"",'4mA'!G23,"")</f>
        <v/>
      </c>
      <c r="H2073" s="97">
        <f>IF('4mA'!B23&lt;&gt;"",'4mA'!H23,"")</f>
        <v/>
      </c>
      <c r="I2073" s="97">
        <f>IF('4mA'!B23&lt;&gt;"",'4mA'!I23,"")</f>
        <v/>
      </c>
      <c r="J2073" s="78">
        <f>IF('4mA'!B23&lt;&gt;"",'4mA'!J23,"")</f>
        <v/>
      </c>
    </row>
    <row r="2074" ht="15.75" customHeight="1" s="52">
      <c r="A2074" s="92">
        <f>IF('4mA'!B24&lt;&gt;"","4mA","")</f>
        <v/>
      </c>
      <c r="B2074" s="82">
        <f>IF('4mA'!B24&lt;&gt;"",'4mA'!B24,"")</f>
        <v/>
      </c>
      <c r="C2074" s="82">
        <f>IF('4mA'!B24&lt;&gt;"",'4mA'!C24,"")</f>
        <v/>
      </c>
      <c r="D2074" s="82">
        <f>IF('4mA'!B24&lt;&gt;"",'4mA'!D24,"")</f>
        <v/>
      </c>
      <c r="E2074" s="82">
        <f>IF('4mA'!B24&lt;&gt;"",'4mA'!E24,"")</f>
        <v/>
      </c>
      <c r="F2074" s="82">
        <f>IF('4mA'!B24&lt;&gt;"",'4mA'!F24,"")</f>
        <v/>
      </c>
      <c r="G2074" s="82">
        <f>IF('4mA'!B24&lt;&gt;"",'4mA'!G24,"")</f>
        <v/>
      </c>
      <c r="H2074" s="92">
        <f>IF('4mA'!B24&lt;&gt;"",'4mA'!H24,"")</f>
        <v/>
      </c>
      <c r="I2074" s="92">
        <f>IF('4mA'!B24&lt;&gt;"",'4mA'!I24,"")</f>
        <v/>
      </c>
      <c r="J2074" s="82">
        <f>IF('4mA'!B24&lt;&gt;"",'4mA'!J24,"")</f>
        <v/>
      </c>
    </row>
    <row r="2075" ht="15.75" customHeight="1" s="52">
      <c r="A2075" s="97">
        <f>IF('4mA'!B25&lt;&gt;"","4mA","")</f>
        <v/>
      </c>
      <c r="B2075" s="78">
        <f>IF('4mA'!B25&lt;&gt;"",'4mA'!B25,"")</f>
        <v/>
      </c>
      <c r="C2075" s="78">
        <f>IF('4mA'!B25&lt;&gt;"",'4mA'!C25,"")</f>
        <v/>
      </c>
      <c r="D2075" s="78">
        <f>IF('4mA'!B25&lt;&gt;"",'4mA'!D25,"")</f>
        <v/>
      </c>
      <c r="E2075" s="78">
        <f>IF('4mA'!B25&lt;&gt;"",'4mA'!E25,"")</f>
        <v/>
      </c>
      <c r="F2075" s="78">
        <f>IF('4mA'!B25&lt;&gt;"",'4mA'!F25,"")</f>
        <v/>
      </c>
      <c r="G2075" s="78">
        <f>IF('4mA'!B25&lt;&gt;"",'4mA'!G25,"")</f>
        <v/>
      </c>
      <c r="H2075" s="97">
        <f>IF('4mA'!B25&lt;&gt;"",'4mA'!H25,"")</f>
        <v/>
      </c>
      <c r="I2075" s="97">
        <f>IF('4mA'!B25&lt;&gt;"",'4mA'!I25,"")</f>
        <v/>
      </c>
      <c r="J2075" s="78">
        <f>IF('4mA'!B25&lt;&gt;"",'4mA'!J25,"")</f>
        <v/>
      </c>
    </row>
    <row r="2076" ht="15.75" customHeight="1" s="52">
      <c r="A2076" s="92">
        <f>IF('4mA'!B26&lt;&gt;"","4mA","")</f>
        <v/>
      </c>
      <c r="B2076" s="82">
        <f>IF('4mA'!B26&lt;&gt;"",'4mA'!B26,"")</f>
        <v/>
      </c>
      <c r="C2076" s="82">
        <f>IF('4mA'!B26&lt;&gt;"",'4mA'!C26,"")</f>
        <v/>
      </c>
      <c r="D2076" s="82">
        <f>IF('4mA'!B26&lt;&gt;"",'4mA'!D26,"")</f>
        <v/>
      </c>
      <c r="E2076" s="82">
        <f>IF('4mA'!B26&lt;&gt;"",'4mA'!E26,"")</f>
        <v/>
      </c>
      <c r="F2076" s="82">
        <f>IF('4mA'!B26&lt;&gt;"",'4mA'!F26,"")</f>
        <v/>
      </c>
      <c r="G2076" s="82">
        <f>IF('4mA'!B26&lt;&gt;"",'4mA'!G26,"")</f>
        <v/>
      </c>
      <c r="H2076" s="92">
        <f>IF('4mA'!B26&lt;&gt;"",'4mA'!H26,"")</f>
        <v/>
      </c>
      <c r="I2076" s="92">
        <f>IF('4mA'!B26&lt;&gt;"",'4mA'!I26,"")</f>
        <v/>
      </c>
      <c r="J2076" s="82">
        <f>IF('4mA'!B26&lt;&gt;"",'4mA'!J26,"")</f>
        <v/>
      </c>
    </row>
    <row r="2077" ht="15.75" customHeight="1" s="52">
      <c r="A2077" s="97">
        <f>IF('4mA'!B27&lt;&gt;"","4mA","")</f>
        <v/>
      </c>
      <c r="B2077" s="78">
        <f>IF('4mA'!B27&lt;&gt;"",'4mA'!B27,"")</f>
        <v/>
      </c>
      <c r="C2077" s="78">
        <f>IF('4mA'!B27&lt;&gt;"",'4mA'!C27,"")</f>
        <v/>
      </c>
      <c r="D2077" s="78">
        <f>IF('4mA'!B27&lt;&gt;"",'4mA'!D27,"")</f>
        <v/>
      </c>
      <c r="E2077" s="78">
        <f>IF('4mA'!B27&lt;&gt;"",'4mA'!E27,"")</f>
        <v/>
      </c>
      <c r="F2077" s="78">
        <f>IF('4mA'!B27&lt;&gt;"",'4mA'!F27,"")</f>
        <v/>
      </c>
      <c r="G2077" s="78">
        <f>IF('4mA'!B27&lt;&gt;"",'4mA'!G27,"")</f>
        <v/>
      </c>
      <c r="H2077" s="97">
        <f>IF('4mA'!B27&lt;&gt;"",'4mA'!H27,"")</f>
        <v/>
      </c>
      <c r="I2077" s="97">
        <f>IF('4mA'!B27&lt;&gt;"",'4mA'!I27,"")</f>
        <v/>
      </c>
      <c r="J2077" s="78">
        <f>IF('4mA'!B27&lt;&gt;"",'4mA'!J27,"")</f>
        <v/>
      </c>
    </row>
    <row r="2078" ht="15.75" customHeight="1" s="52">
      <c r="A2078" s="92">
        <f>IF('4mA'!B28&lt;&gt;"","4mA","")</f>
        <v/>
      </c>
      <c r="B2078" s="82">
        <f>IF('4mA'!B28&lt;&gt;"",'4mA'!B28,"")</f>
        <v/>
      </c>
      <c r="C2078" s="82">
        <f>IF('4mA'!B28&lt;&gt;"",'4mA'!C28,"")</f>
        <v/>
      </c>
      <c r="D2078" s="82">
        <f>IF('4mA'!B28&lt;&gt;"",'4mA'!D28,"")</f>
        <v/>
      </c>
      <c r="E2078" s="82">
        <f>IF('4mA'!B28&lt;&gt;"",'4mA'!E28,"")</f>
        <v/>
      </c>
      <c r="F2078" s="82">
        <f>IF('4mA'!B28&lt;&gt;"",'4mA'!F28,"")</f>
        <v/>
      </c>
      <c r="G2078" s="82">
        <f>IF('4mA'!B28&lt;&gt;"",'4mA'!G28,"")</f>
        <v/>
      </c>
      <c r="H2078" s="92">
        <f>IF('4mA'!B28&lt;&gt;"",'4mA'!H28,"")</f>
        <v/>
      </c>
      <c r="I2078" s="92">
        <f>IF('4mA'!B28&lt;&gt;"",'4mA'!I28,"")</f>
        <v/>
      </c>
      <c r="J2078" s="82">
        <f>IF('4mA'!B28&lt;&gt;"",'4mA'!J28,"")</f>
        <v/>
      </c>
    </row>
    <row r="2079" ht="15.75" customHeight="1" s="52">
      <c r="A2079" s="97">
        <f>IF('4mA'!B29&lt;&gt;"","4mA","")</f>
        <v/>
      </c>
      <c r="B2079" s="78">
        <f>IF('4mA'!B29&lt;&gt;"",'4mA'!B29,"")</f>
        <v/>
      </c>
      <c r="C2079" s="78">
        <f>IF('4mA'!B29&lt;&gt;"",'4mA'!C29,"")</f>
        <v/>
      </c>
      <c r="D2079" s="78">
        <f>IF('4mA'!B29&lt;&gt;"",'4mA'!D29,"")</f>
        <v/>
      </c>
      <c r="E2079" s="78">
        <f>IF('4mA'!B29&lt;&gt;"",'4mA'!E29,"")</f>
        <v/>
      </c>
      <c r="F2079" s="78">
        <f>IF('4mA'!B29&lt;&gt;"",'4mA'!F29,"")</f>
        <v/>
      </c>
      <c r="G2079" s="78">
        <f>IF('4mA'!B29&lt;&gt;"",'4mA'!G29,"")</f>
        <v/>
      </c>
      <c r="H2079" s="97">
        <f>IF('4mA'!B29&lt;&gt;"",'4mA'!H29,"")</f>
        <v/>
      </c>
      <c r="I2079" s="97">
        <f>IF('4mA'!B29&lt;&gt;"",'4mA'!I29,"")</f>
        <v/>
      </c>
      <c r="J2079" s="78">
        <f>IF('4mA'!B29&lt;&gt;"",'4mA'!J29,"")</f>
        <v/>
      </c>
    </row>
    <row r="2080" ht="15.75" customHeight="1" s="52">
      <c r="A2080" s="92">
        <f>IF('4mA'!B30&lt;&gt;"","4mA","")</f>
        <v/>
      </c>
      <c r="B2080" s="82">
        <f>IF('4mA'!B30&lt;&gt;"",'4mA'!B30,"")</f>
        <v/>
      </c>
      <c r="C2080" s="82">
        <f>IF('4mA'!B30&lt;&gt;"",'4mA'!C30,"")</f>
        <v/>
      </c>
      <c r="D2080" s="82">
        <f>IF('4mA'!B30&lt;&gt;"",'4mA'!D30,"")</f>
        <v/>
      </c>
      <c r="E2080" s="82">
        <f>IF('4mA'!B30&lt;&gt;"",'4mA'!E30,"")</f>
        <v/>
      </c>
      <c r="F2080" s="82">
        <f>IF('4mA'!B30&lt;&gt;"",'4mA'!F30,"")</f>
        <v/>
      </c>
      <c r="G2080" s="82">
        <f>IF('4mA'!B30&lt;&gt;"",'4mA'!G30,"")</f>
        <v/>
      </c>
      <c r="H2080" s="92">
        <f>IF('4mA'!B30&lt;&gt;"",'4mA'!H30,"")</f>
        <v/>
      </c>
      <c r="I2080" s="92">
        <f>IF('4mA'!B30&lt;&gt;"",'4mA'!I30,"")</f>
        <v/>
      </c>
      <c r="J2080" s="82">
        <f>IF('4mA'!B30&lt;&gt;"",'4mA'!J30,"")</f>
        <v/>
      </c>
    </row>
    <row r="2081" ht="15.75" customHeight="1" s="52">
      <c r="A2081" s="97">
        <f>IF('4mA'!B31&lt;&gt;"","4mA","")</f>
        <v/>
      </c>
      <c r="B2081" s="78">
        <f>IF('4mA'!B31&lt;&gt;"",'4mA'!B31,"")</f>
        <v/>
      </c>
      <c r="C2081" s="78">
        <f>IF('4mA'!B31&lt;&gt;"",'4mA'!C31,"")</f>
        <v/>
      </c>
      <c r="D2081" s="78">
        <f>IF('4mA'!B31&lt;&gt;"",'4mA'!D31,"")</f>
        <v/>
      </c>
      <c r="E2081" s="78">
        <f>IF('4mA'!B31&lt;&gt;"",'4mA'!E31,"")</f>
        <v/>
      </c>
      <c r="F2081" s="78">
        <f>IF('4mA'!B31&lt;&gt;"",'4mA'!F31,"")</f>
        <v/>
      </c>
      <c r="G2081" s="78">
        <f>IF('4mA'!B31&lt;&gt;"",'4mA'!G31,"")</f>
        <v/>
      </c>
      <c r="H2081" s="97">
        <f>IF('4mA'!B31&lt;&gt;"",'4mA'!H31,"")</f>
        <v/>
      </c>
      <c r="I2081" s="97">
        <f>IF('4mA'!B31&lt;&gt;"",'4mA'!I31,"")</f>
        <v/>
      </c>
      <c r="J2081" s="78">
        <f>IF('4mA'!B31&lt;&gt;"",'4mA'!J31,"")</f>
        <v/>
      </c>
    </row>
    <row r="2082" ht="15.75" customHeight="1" s="52">
      <c r="A2082" s="92">
        <f>IF('4mA'!B32&lt;&gt;"","4mA","")</f>
        <v/>
      </c>
      <c r="B2082" s="82">
        <f>IF('4mA'!B32&lt;&gt;"",'4mA'!B32,"")</f>
        <v/>
      </c>
      <c r="C2082" s="82">
        <f>IF('4mA'!B32&lt;&gt;"",'4mA'!C32,"")</f>
        <v/>
      </c>
      <c r="D2082" s="82">
        <f>IF('4mA'!B32&lt;&gt;"",'4mA'!D32,"")</f>
        <v/>
      </c>
      <c r="E2082" s="82">
        <f>IF('4mA'!B32&lt;&gt;"",'4mA'!E32,"")</f>
        <v/>
      </c>
      <c r="F2082" s="82">
        <f>IF('4mA'!B32&lt;&gt;"",'4mA'!F32,"")</f>
        <v/>
      </c>
      <c r="G2082" s="82">
        <f>IF('4mA'!B32&lt;&gt;"",'4mA'!G32,"")</f>
        <v/>
      </c>
      <c r="H2082" s="92">
        <f>IF('4mA'!B32&lt;&gt;"",'4mA'!H32,"")</f>
        <v/>
      </c>
      <c r="I2082" s="92">
        <f>IF('4mA'!B32&lt;&gt;"",'4mA'!I32,"")</f>
        <v/>
      </c>
      <c r="J2082" s="82">
        <f>IF('4mA'!B32&lt;&gt;"",'4mA'!J32,"")</f>
        <v/>
      </c>
    </row>
    <row r="2083" ht="15.75" customHeight="1" s="52">
      <c r="A2083" s="97">
        <f>IF('4mA'!B33&lt;&gt;"","4mA","")</f>
        <v/>
      </c>
      <c r="B2083" s="78">
        <f>IF('4mA'!B33&lt;&gt;"",'4mA'!B33,"")</f>
        <v/>
      </c>
      <c r="C2083" s="78">
        <f>IF('4mA'!B33&lt;&gt;"",'4mA'!C33,"")</f>
        <v/>
      </c>
      <c r="D2083" s="78">
        <f>IF('4mA'!B33&lt;&gt;"",'4mA'!D33,"")</f>
        <v/>
      </c>
      <c r="E2083" s="78">
        <f>IF('4mA'!B33&lt;&gt;"",'4mA'!E33,"")</f>
        <v/>
      </c>
      <c r="F2083" s="78">
        <f>IF('4mA'!B33&lt;&gt;"",'4mA'!F33,"")</f>
        <v/>
      </c>
      <c r="G2083" s="78">
        <f>IF('4mA'!B33&lt;&gt;"",'4mA'!G33,"")</f>
        <v/>
      </c>
      <c r="H2083" s="97">
        <f>IF('4mA'!B33&lt;&gt;"",'4mA'!H33,"")</f>
        <v/>
      </c>
      <c r="I2083" s="97">
        <f>IF('4mA'!B33&lt;&gt;"",'4mA'!I33,"")</f>
        <v/>
      </c>
      <c r="J2083" s="78">
        <f>IF('4mA'!B33&lt;&gt;"",'4mA'!J33,"")</f>
        <v/>
      </c>
    </row>
    <row r="2084" ht="15.75" customHeight="1" s="52">
      <c r="A2084" s="92">
        <f>IF('4mA'!B34&lt;&gt;"","4mA","")</f>
        <v/>
      </c>
      <c r="B2084" s="82">
        <f>IF('4mA'!B34&lt;&gt;"",'4mA'!B34,"")</f>
        <v/>
      </c>
      <c r="C2084" s="82">
        <f>IF('4mA'!B34&lt;&gt;"",'4mA'!C34,"")</f>
        <v/>
      </c>
      <c r="D2084" s="82">
        <f>IF('4mA'!B34&lt;&gt;"",'4mA'!D34,"")</f>
        <v/>
      </c>
      <c r="E2084" s="82">
        <f>IF('4mA'!B34&lt;&gt;"",'4mA'!E34,"")</f>
        <v/>
      </c>
      <c r="F2084" s="82">
        <f>IF('4mA'!B34&lt;&gt;"",'4mA'!F34,"")</f>
        <v/>
      </c>
      <c r="G2084" s="82">
        <f>IF('4mA'!B34&lt;&gt;"",'4mA'!G34,"")</f>
        <v/>
      </c>
      <c r="H2084" s="92">
        <f>IF('4mA'!B34&lt;&gt;"",'4mA'!H34,"")</f>
        <v/>
      </c>
      <c r="I2084" s="92">
        <f>IF('4mA'!B34&lt;&gt;"",'4mA'!I34,"")</f>
        <v/>
      </c>
      <c r="J2084" s="82">
        <f>IF('4mA'!B34&lt;&gt;"",'4mA'!J34,"")</f>
        <v/>
      </c>
    </row>
    <row r="2085" ht="15.75" customHeight="1" s="52">
      <c r="A2085" s="97">
        <f>IF('4mA'!B35&lt;&gt;"","4mA","")</f>
        <v/>
      </c>
      <c r="B2085" s="78">
        <f>IF('4mA'!B35&lt;&gt;"",'4mA'!B35,"")</f>
        <v/>
      </c>
      <c r="C2085" s="78">
        <f>IF('4mA'!B35&lt;&gt;"",'4mA'!C35,"")</f>
        <v/>
      </c>
      <c r="D2085" s="78">
        <f>IF('4mA'!B35&lt;&gt;"",'4mA'!D35,"")</f>
        <v/>
      </c>
      <c r="E2085" s="78">
        <f>IF('4mA'!B35&lt;&gt;"",'4mA'!E35,"")</f>
        <v/>
      </c>
      <c r="F2085" s="78">
        <f>IF('4mA'!B35&lt;&gt;"",'4mA'!F35,"")</f>
        <v/>
      </c>
      <c r="G2085" s="78">
        <f>IF('4mA'!B35&lt;&gt;"",'4mA'!G35,"")</f>
        <v/>
      </c>
      <c r="H2085" s="97">
        <f>IF('4mA'!B35&lt;&gt;"",'4mA'!H35,"")</f>
        <v/>
      </c>
      <c r="I2085" s="97">
        <f>IF('4mA'!B35&lt;&gt;"",'4mA'!I35,"")</f>
        <v/>
      </c>
      <c r="J2085" s="78">
        <f>IF('4mA'!B35&lt;&gt;"",'4mA'!J35,"")</f>
        <v/>
      </c>
    </row>
    <row r="2086" ht="15.75" customHeight="1" s="52">
      <c r="A2086" s="92">
        <f>IF('4mA'!B36&lt;&gt;"","4mA","")</f>
        <v/>
      </c>
      <c r="B2086" s="82">
        <f>IF('4mA'!B36&lt;&gt;"",'4mA'!B36,"")</f>
        <v/>
      </c>
      <c r="C2086" s="82">
        <f>IF('4mA'!B36&lt;&gt;"",'4mA'!C36,"")</f>
        <v/>
      </c>
      <c r="D2086" s="82">
        <f>IF('4mA'!B36&lt;&gt;"",'4mA'!D36,"")</f>
        <v/>
      </c>
      <c r="E2086" s="82">
        <f>IF('4mA'!B36&lt;&gt;"",'4mA'!E36,"")</f>
        <v/>
      </c>
      <c r="F2086" s="82">
        <f>IF('4mA'!B36&lt;&gt;"",'4mA'!F36,"")</f>
        <v/>
      </c>
      <c r="G2086" s="82">
        <f>IF('4mA'!B36&lt;&gt;"",'4mA'!G36,"")</f>
        <v/>
      </c>
      <c r="H2086" s="92">
        <f>IF('4mA'!B36&lt;&gt;"",'4mA'!H36,"")</f>
        <v/>
      </c>
      <c r="I2086" s="92">
        <f>IF('4mA'!B36&lt;&gt;"",'4mA'!I36,"")</f>
        <v/>
      </c>
      <c r="J2086" s="82">
        <f>IF('4mA'!B36&lt;&gt;"",'4mA'!J36,"")</f>
        <v/>
      </c>
    </row>
    <row r="2087" ht="15.75" customHeight="1" s="52">
      <c r="A2087" s="97">
        <f>IF('4mA'!B37&lt;&gt;"","4mA","")</f>
        <v/>
      </c>
      <c r="B2087" s="78">
        <f>IF('4mA'!B37&lt;&gt;"",'4mA'!B37,"")</f>
        <v/>
      </c>
      <c r="C2087" s="78">
        <f>IF('4mA'!B37&lt;&gt;"",'4mA'!C37,"")</f>
        <v/>
      </c>
      <c r="D2087" s="78">
        <f>IF('4mA'!B37&lt;&gt;"",'4mA'!D37,"")</f>
        <v/>
      </c>
      <c r="E2087" s="78">
        <f>IF('4mA'!B37&lt;&gt;"",'4mA'!E37,"")</f>
        <v/>
      </c>
      <c r="F2087" s="78">
        <f>IF('4mA'!B37&lt;&gt;"",'4mA'!F37,"")</f>
        <v/>
      </c>
      <c r="G2087" s="78">
        <f>IF('4mA'!B37&lt;&gt;"",'4mA'!G37,"")</f>
        <v/>
      </c>
      <c r="H2087" s="97">
        <f>IF('4mA'!B37&lt;&gt;"",'4mA'!H37,"")</f>
        <v/>
      </c>
      <c r="I2087" s="97">
        <f>IF('4mA'!B37&lt;&gt;"",'4mA'!I37,"")</f>
        <v/>
      </c>
      <c r="J2087" s="78">
        <f>IF('4mA'!B37&lt;&gt;"",'4mA'!J37,"")</f>
        <v/>
      </c>
    </row>
    <row r="2088" ht="15.75" customHeight="1" s="52">
      <c r="A2088" s="92">
        <f>IF('4mA'!B38&lt;&gt;"","4mA","")</f>
        <v/>
      </c>
      <c r="B2088" s="82">
        <f>IF('4mA'!B38&lt;&gt;"",'4mA'!B38,"")</f>
        <v/>
      </c>
      <c r="C2088" s="82">
        <f>IF('4mA'!B38&lt;&gt;"",'4mA'!C38,"")</f>
        <v/>
      </c>
      <c r="D2088" s="82">
        <f>IF('4mA'!B38&lt;&gt;"",'4mA'!D38,"")</f>
        <v/>
      </c>
      <c r="E2088" s="82">
        <f>IF('4mA'!B38&lt;&gt;"",'4mA'!E38,"")</f>
        <v/>
      </c>
      <c r="F2088" s="82">
        <f>IF('4mA'!B38&lt;&gt;"",'4mA'!F38,"")</f>
        <v/>
      </c>
      <c r="G2088" s="82">
        <f>IF('4mA'!B38&lt;&gt;"",'4mA'!G38,"")</f>
        <v/>
      </c>
      <c r="H2088" s="92">
        <f>IF('4mA'!B38&lt;&gt;"",'4mA'!H38,"")</f>
        <v/>
      </c>
      <c r="I2088" s="92">
        <f>IF('4mA'!B38&lt;&gt;"",'4mA'!I38,"")</f>
        <v/>
      </c>
      <c r="J2088" s="82">
        <f>IF('4mA'!B38&lt;&gt;"",'4mA'!J38,"")</f>
        <v/>
      </c>
    </row>
    <row r="2089" ht="15.75" customHeight="1" s="52">
      <c r="A2089" s="97">
        <f>IF('4mA'!B39&lt;&gt;"","4mA","")</f>
        <v/>
      </c>
      <c r="B2089" s="78">
        <f>IF('4mA'!B39&lt;&gt;"",'4mA'!B39,"")</f>
        <v/>
      </c>
      <c r="C2089" s="78">
        <f>IF('4mA'!B39&lt;&gt;"",'4mA'!C39,"")</f>
        <v/>
      </c>
      <c r="D2089" s="78">
        <f>IF('4mA'!B39&lt;&gt;"",'4mA'!D39,"")</f>
        <v/>
      </c>
      <c r="E2089" s="78">
        <f>IF('4mA'!B39&lt;&gt;"",'4mA'!E39,"")</f>
        <v/>
      </c>
      <c r="F2089" s="78">
        <f>IF('4mA'!B39&lt;&gt;"",'4mA'!F39,"")</f>
        <v/>
      </c>
      <c r="G2089" s="78">
        <f>IF('4mA'!B39&lt;&gt;"",'4mA'!G39,"")</f>
        <v/>
      </c>
      <c r="H2089" s="97">
        <f>IF('4mA'!B39&lt;&gt;"",'4mA'!H39,"")</f>
        <v/>
      </c>
      <c r="I2089" s="97">
        <f>IF('4mA'!B39&lt;&gt;"",'4mA'!I39,"")</f>
        <v/>
      </c>
      <c r="J2089" s="78">
        <f>IF('4mA'!B39&lt;&gt;"",'4mA'!J39,"")</f>
        <v/>
      </c>
    </row>
    <row r="2090" ht="15.75" customHeight="1" s="52">
      <c r="A2090" s="92">
        <f>IF('4mA'!B40&lt;&gt;"","4mA","")</f>
        <v/>
      </c>
      <c r="B2090" s="82">
        <f>IF('4mA'!B40&lt;&gt;"",'4mA'!B40,"")</f>
        <v/>
      </c>
      <c r="C2090" s="82">
        <f>IF('4mA'!B40&lt;&gt;"",'4mA'!C40,"")</f>
        <v/>
      </c>
      <c r="D2090" s="82">
        <f>IF('4mA'!B40&lt;&gt;"",'4mA'!D40,"")</f>
        <v/>
      </c>
      <c r="E2090" s="82">
        <f>IF('4mA'!B40&lt;&gt;"",'4mA'!E40,"")</f>
        <v/>
      </c>
      <c r="F2090" s="82">
        <f>IF('4mA'!B40&lt;&gt;"",'4mA'!F40,"")</f>
        <v/>
      </c>
      <c r="G2090" s="82">
        <f>IF('4mA'!B40&lt;&gt;"",'4mA'!G40,"")</f>
        <v/>
      </c>
      <c r="H2090" s="92">
        <f>IF('4mA'!B40&lt;&gt;"",'4mA'!H40,"")</f>
        <v/>
      </c>
      <c r="I2090" s="92">
        <f>IF('4mA'!B40&lt;&gt;"",'4mA'!I40,"")</f>
        <v/>
      </c>
      <c r="J2090" s="82">
        <f>IF('4mA'!B40&lt;&gt;"",'4mA'!J40,"")</f>
        <v/>
      </c>
    </row>
    <row r="2091" ht="15.75" customHeight="1" s="52">
      <c r="A2091" s="97">
        <f>IF('4mA'!B41&lt;&gt;"","4mA","")</f>
        <v/>
      </c>
      <c r="B2091" s="78">
        <f>IF('4mA'!B41&lt;&gt;"",'4mA'!B41,"")</f>
        <v/>
      </c>
      <c r="C2091" s="78">
        <f>IF('4mA'!B41&lt;&gt;"",'4mA'!C41,"")</f>
        <v/>
      </c>
      <c r="D2091" s="78">
        <f>IF('4mA'!B41&lt;&gt;"",'4mA'!D41,"")</f>
        <v/>
      </c>
      <c r="E2091" s="78">
        <f>IF('4mA'!B41&lt;&gt;"",'4mA'!E41,"")</f>
        <v/>
      </c>
      <c r="F2091" s="78">
        <f>IF('4mA'!B41&lt;&gt;"",'4mA'!F41,"")</f>
        <v/>
      </c>
      <c r="G2091" s="78">
        <f>IF('4mA'!B41&lt;&gt;"",'4mA'!G41,"")</f>
        <v/>
      </c>
      <c r="H2091" s="97">
        <f>IF('4mA'!B41&lt;&gt;"",'4mA'!H41,"")</f>
        <v/>
      </c>
      <c r="I2091" s="97">
        <f>IF('4mA'!B41&lt;&gt;"",'4mA'!I41,"")</f>
        <v/>
      </c>
      <c r="J2091" s="78">
        <f>IF('4mA'!B41&lt;&gt;"",'4mA'!J41,"")</f>
        <v/>
      </c>
    </row>
    <row r="2092" ht="15.75" customHeight="1" s="52">
      <c r="A2092" s="92">
        <f>IF('4mA'!B42&lt;&gt;"","4mA","")</f>
        <v/>
      </c>
      <c r="B2092" s="82">
        <f>IF('4mA'!B42&lt;&gt;"",'4mA'!B42,"")</f>
        <v/>
      </c>
      <c r="C2092" s="82">
        <f>IF('4mA'!B42&lt;&gt;"",'4mA'!C42,"")</f>
        <v/>
      </c>
      <c r="D2092" s="82">
        <f>IF('4mA'!B42&lt;&gt;"",'4mA'!D42,"")</f>
        <v/>
      </c>
      <c r="E2092" s="82">
        <f>IF('4mA'!B42&lt;&gt;"",'4mA'!E42,"")</f>
        <v/>
      </c>
      <c r="F2092" s="82">
        <f>IF('4mA'!B42&lt;&gt;"",'4mA'!F42,"")</f>
        <v/>
      </c>
      <c r="G2092" s="82">
        <f>IF('4mA'!B42&lt;&gt;"",'4mA'!G42,"")</f>
        <v/>
      </c>
      <c r="H2092" s="92">
        <f>IF('4mA'!B42&lt;&gt;"",'4mA'!H42,"")</f>
        <v/>
      </c>
      <c r="I2092" s="92">
        <f>IF('4mA'!B42&lt;&gt;"",'4mA'!I42,"")</f>
        <v/>
      </c>
      <c r="J2092" s="82">
        <f>IF('4mA'!B42&lt;&gt;"",'4mA'!J42,"")</f>
        <v/>
      </c>
    </row>
    <row r="2093" ht="15.75" customHeight="1" s="52">
      <c r="A2093" s="97">
        <f>IF('4mA'!B43&lt;&gt;"","4mA","")</f>
        <v/>
      </c>
      <c r="B2093" s="78">
        <f>IF('4mA'!B43&lt;&gt;"",'4mA'!B43,"")</f>
        <v/>
      </c>
      <c r="C2093" s="78">
        <f>IF('4mA'!B43&lt;&gt;"",'4mA'!C43,"")</f>
        <v/>
      </c>
      <c r="D2093" s="78">
        <f>IF('4mA'!B43&lt;&gt;"",'4mA'!D43,"")</f>
        <v/>
      </c>
      <c r="E2093" s="78">
        <f>IF('4mA'!B43&lt;&gt;"",'4mA'!E43,"")</f>
        <v/>
      </c>
      <c r="F2093" s="78">
        <f>IF('4mA'!B43&lt;&gt;"",'4mA'!F43,"")</f>
        <v/>
      </c>
      <c r="G2093" s="78">
        <f>IF('4mA'!B43&lt;&gt;"",'4mA'!G43,"")</f>
        <v/>
      </c>
      <c r="H2093" s="97">
        <f>IF('4mA'!B43&lt;&gt;"",'4mA'!H43,"")</f>
        <v/>
      </c>
      <c r="I2093" s="97">
        <f>IF('4mA'!B43&lt;&gt;"",'4mA'!I43,"")</f>
        <v/>
      </c>
      <c r="J2093" s="78">
        <f>IF('4mA'!B43&lt;&gt;"",'4mA'!J43,"")</f>
        <v/>
      </c>
    </row>
    <row r="2094" ht="15.75" customHeight="1" s="52">
      <c r="A2094" s="92">
        <f>IF('4mA'!B44&lt;&gt;"","4mA","")</f>
        <v/>
      </c>
      <c r="B2094" s="82">
        <f>IF('4mA'!B44&lt;&gt;"",'4mA'!B44,"")</f>
        <v/>
      </c>
      <c r="C2094" s="82">
        <f>IF('4mA'!B44&lt;&gt;"",'4mA'!C44,"")</f>
        <v/>
      </c>
      <c r="D2094" s="82">
        <f>IF('4mA'!B44&lt;&gt;"",'4mA'!D44,"")</f>
        <v/>
      </c>
      <c r="E2094" s="82">
        <f>IF('4mA'!B44&lt;&gt;"",'4mA'!E44,"")</f>
        <v/>
      </c>
      <c r="F2094" s="82">
        <f>IF('4mA'!B44&lt;&gt;"",'4mA'!F44,"")</f>
        <v/>
      </c>
      <c r="G2094" s="82">
        <f>IF('4mA'!B44&lt;&gt;"",'4mA'!G44,"")</f>
        <v/>
      </c>
      <c r="H2094" s="92">
        <f>IF('4mA'!B44&lt;&gt;"",'4mA'!H44,"")</f>
        <v/>
      </c>
      <c r="I2094" s="92">
        <f>IF('4mA'!B44&lt;&gt;"",'4mA'!I44,"")</f>
        <v/>
      </c>
      <c r="J2094" s="82">
        <f>IF('4mA'!B44&lt;&gt;"",'4mA'!J44,"")</f>
        <v/>
      </c>
    </row>
    <row r="2095" ht="15.75" customHeight="1" s="52">
      <c r="A2095" s="97">
        <f>IF('4mA'!B45&lt;&gt;"","4mA","")</f>
        <v/>
      </c>
      <c r="B2095" s="78">
        <f>IF('4mA'!B45&lt;&gt;"",'4mA'!B45,"")</f>
        <v/>
      </c>
      <c r="C2095" s="78">
        <f>IF('4mA'!B45&lt;&gt;"",'4mA'!C45,"")</f>
        <v/>
      </c>
      <c r="D2095" s="78">
        <f>IF('4mA'!B45&lt;&gt;"",'4mA'!D45,"")</f>
        <v/>
      </c>
      <c r="E2095" s="78">
        <f>IF('4mA'!B45&lt;&gt;"",'4mA'!E45,"")</f>
        <v/>
      </c>
      <c r="F2095" s="78">
        <f>IF('4mA'!B45&lt;&gt;"",'4mA'!F45,"")</f>
        <v/>
      </c>
      <c r="G2095" s="78">
        <f>IF('4mA'!B45&lt;&gt;"",'4mA'!G45,"")</f>
        <v/>
      </c>
      <c r="H2095" s="97">
        <f>IF('4mA'!B45&lt;&gt;"",'4mA'!H45,"")</f>
        <v/>
      </c>
      <c r="I2095" s="97">
        <f>IF('4mA'!B45&lt;&gt;"",'4mA'!I45,"")</f>
        <v/>
      </c>
      <c r="J2095" s="78">
        <f>IF('4mA'!B45&lt;&gt;"",'4mA'!J45,"")</f>
        <v/>
      </c>
    </row>
    <row r="2096" ht="15.75" customHeight="1" s="52">
      <c r="A2096" s="92">
        <f>IF('4mA'!B46&lt;&gt;"","4mA","")</f>
        <v/>
      </c>
      <c r="B2096" s="82">
        <f>IF('4mA'!B46&lt;&gt;"",'4mA'!B46,"")</f>
        <v/>
      </c>
      <c r="C2096" s="82">
        <f>IF('4mA'!B46&lt;&gt;"",'4mA'!C46,"")</f>
        <v/>
      </c>
      <c r="D2096" s="82">
        <f>IF('4mA'!B46&lt;&gt;"",'4mA'!D46,"")</f>
        <v/>
      </c>
      <c r="E2096" s="82">
        <f>IF('4mA'!B46&lt;&gt;"",'4mA'!E46,"")</f>
        <v/>
      </c>
      <c r="F2096" s="82">
        <f>IF('4mA'!B46&lt;&gt;"",'4mA'!F46,"")</f>
        <v/>
      </c>
      <c r="G2096" s="82">
        <f>IF('4mA'!B46&lt;&gt;"",'4mA'!G46,"")</f>
        <v/>
      </c>
      <c r="H2096" s="92">
        <f>IF('4mA'!B46&lt;&gt;"",'4mA'!H46,"")</f>
        <v/>
      </c>
      <c r="I2096" s="92">
        <f>IF('4mA'!B46&lt;&gt;"",'4mA'!I46,"")</f>
        <v/>
      </c>
      <c r="J2096" s="82">
        <f>IF('4mA'!B46&lt;&gt;"",'4mA'!J46,"")</f>
        <v/>
      </c>
    </row>
    <row r="2097" ht="15.75" customHeight="1" s="52">
      <c r="A2097" s="97">
        <f>IF('4mA'!B47&lt;&gt;"","4mA","")</f>
        <v/>
      </c>
      <c r="B2097" s="78">
        <f>IF('4mA'!B47&lt;&gt;"",'4mA'!B47,"")</f>
        <v/>
      </c>
      <c r="C2097" s="78">
        <f>IF('4mA'!B47&lt;&gt;"",'4mA'!C47,"")</f>
        <v/>
      </c>
      <c r="D2097" s="78">
        <f>IF('4mA'!B47&lt;&gt;"",'4mA'!D47,"")</f>
        <v/>
      </c>
      <c r="E2097" s="78">
        <f>IF('4mA'!B47&lt;&gt;"",'4mA'!E47,"")</f>
        <v/>
      </c>
      <c r="F2097" s="78">
        <f>IF('4mA'!B47&lt;&gt;"",'4mA'!F47,"")</f>
        <v/>
      </c>
      <c r="G2097" s="78">
        <f>IF('4mA'!B47&lt;&gt;"",'4mA'!G47,"")</f>
        <v/>
      </c>
      <c r="H2097" s="97">
        <f>IF('4mA'!B47&lt;&gt;"",'4mA'!H47,"")</f>
        <v/>
      </c>
      <c r="I2097" s="97">
        <f>IF('4mA'!B47&lt;&gt;"",'4mA'!I47,"")</f>
        <v/>
      </c>
      <c r="J2097" s="78">
        <f>IF('4mA'!B47&lt;&gt;"",'4mA'!J47,"")</f>
        <v/>
      </c>
    </row>
    <row r="2098" ht="15.75" customHeight="1" s="52">
      <c r="A2098" s="92">
        <f>IF('4mA'!B48&lt;&gt;"","4mA","")</f>
        <v/>
      </c>
      <c r="B2098" s="82">
        <f>IF('4mA'!B48&lt;&gt;"",'4mA'!B48,"")</f>
        <v/>
      </c>
      <c r="C2098" s="82">
        <f>IF('4mA'!B48&lt;&gt;"",'4mA'!C48,"")</f>
        <v/>
      </c>
      <c r="D2098" s="82">
        <f>IF('4mA'!B48&lt;&gt;"",'4mA'!D48,"")</f>
        <v/>
      </c>
      <c r="E2098" s="82">
        <f>IF('4mA'!B48&lt;&gt;"",'4mA'!E48,"")</f>
        <v/>
      </c>
      <c r="F2098" s="82">
        <f>IF('4mA'!B48&lt;&gt;"",'4mA'!F48,"")</f>
        <v/>
      </c>
      <c r="G2098" s="82">
        <f>IF('4mA'!B48&lt;&gt;"",'4mA'!G48,"")</f>
        <v/>
      </c>
      <c r="H2098" s="92">
        <f>IF('4mA'!B48&lt;&gt;"",'4mA'!H48,"")</f>
        <v/>
      </c>
      <c r="I2098" s="92">
        <f>IF('4mA'!B48&lt;&gt;"",'4mA'!I48,"")</f>
        <v/>
      </c>
      <c r="J2098" s="82">
        <f>IF('4mA'!B48&lt;&gt;"",'4mA'!J48,"")</f>
        <v/>
      </c>
    </row>
    <row r="2099" ht="15.75" customHeight="1" s="52">
      <c r="A2099" s="97">
        <f>IF('4mA'!B49&lt;&gt;"","4mA","")</f>
        <v/>
      </c>
      <c r="B2099" s="78">
        <f>IF('4mA'!B49&lt;&gt;"",'4mA'!B49,"")</f>
        <v/>
      </c>
      <c r="C2099" s="78">
        <f>IF('4mA'!B49&lt;&gt;"",'4mA'!C49,"")</f>
        <v/>
      </c>
      <c r="D2099" s="78">
        <f>IF('4mA'!B49&lt;&gt;"",'4mA'!D49,"")</f>
        <v/>
      </c>
      <c r="E2099" s="78">
        <f>IF('4mA'!B49&lt;&gt;"",'4mA'!E49,"")</f>
        <v/>
      </c>
      <c r="F2099" s="78">
        <f>IF('4mA'!B49&lt;&gt;"",'4mA'!F49,"")</f>
        <v/>
      </c>
      <c r="G2099" s="78">
        <f>IF('4mA'!B49&lt;&gt;"",'4mA'!G49,"")</f>
        <v/>
      </c>
      <c r="H2099" s="97">
        <f>IF('4mA'!B49&lt;&gt;"",'4mA'!H49,"")</f>
        <v/>
      </c>
      <c r="I2099" s="97">
        <f>IF('4mA'!B49&lt;&gt;"",'4mA'!I49,"")</f>
        <v/>
      </c>
      <c r="J2099" s="78">
        <f>IF('4mA'!B49&lt;&gt;"",'4mA'!J49,"")</f>
        <v/>
      </c>
    </row>
    <row r="2100" ht="15.75" customHeight="1" s="52">
      <c r="A2100" s="92">
        <f>IF('4mA'!B50&lt;&gt;"","4mA","")</f>
        <v/>
      </c>
      <c r="B2100" s="82">
        <f>IF('4mA'!B50&lt;&gt;"",'4mA'!B50,"")</f>
        <v/>
      </c>
      <c r="C2100" s="82">
        <f>IF('4mA'!B50&lt;&gt;"",'4mA'!C50,"")</f>
        <v/>
      </c>
      <c r="D2100" s="82">
        <f>IF('4mA'!B50&lt;&gt;"",'4mA'!D50,"")</f>
        <v/>
      </c>
      <c r="E2100" s="82">
        <f>IF('4mA'!B50&lt;&gt;"",'4mA'!E50,"")</f>
        <v/>
      </c>
      <c r="F2100" s="82">
        <f>IF('4mA'!B50&lt;&gt;"",'4mA'!F50,"")</f>
        <v/>
      </c>
      <c r="G2100" s="82">
        <f>IF('4mA'!B50&lt;&gt;"",'4mA'!G50,"")</f>
        <v/>
      </c>
      <c r="H2100" s="92">
        <f>IF('4mA'!B50&lt;&gt;"",'4mA'!H50,"")</f>
        <v/>
      </c>
      <c r="I2100" s="92">
        <f>IF('4mA'!B50&lt;&gt;"",'4mA'!I50,"")</f>
        <v/>
      </c>
      <c r="J2100" s="82">
        <f>IF('4mA'!B50&lt;&gt;"",'4mA'!J50,"")</f>
        <v/>
      </c>
    </row>
    <row r="2101" ht="15.75" customHeight="1" s="52">
      <c r="A2101" s="97">
        <f>IF('4mA'!B51&lt;&gt;"","4mA","")</f>
        <v/>
      </c>
      <c r="B2101" s="78">
        <f>IF('4mA'!B51&lt;&gt;"",'4mA'!B51,"")</f>
        <v/>
      </c>
      <c r="C2101" s="78">
        <f>IF('4mA'!B51&lt;&gt;"",'4mA'!C51,"")</f>
        <v/>
      </c>
      <c r="D2101" s="78">
        <f>IF('4mA'!B51&lt;&gt;"",'4mA'!D51,"")</f>
        <v/>
      </c>
      <c r="E2101" s="78">
        <f>IF('4mA'!B51&lt;&gt;"",'4mA'!E51,"")</f>
        <v/>
      </c>
      <c r="F2101" s="78">
        <f>IF('4mA'!B51&lt;&gt;"",'4mA'!F51,"")</f>
        <v/>
      </c>
      <c r="G2101" s="78">
        <f>IF('4mA'!B51&lt;&gt;"",'4mA'!G51,"")</f>
        <v/>
      </c>
      <c r="H2101" s="97">
        <f>IF('4mA'!B51&lt;&gt;"",'4mA'!H51,"")</f>
        <v/>
      </c>
      <c r="I2101" s="97">
        <f>IF('4mA'!B51&lt;&gt;"",'4mA'!I51,"")</f>
        <v/>
      </c>
      <c r="J2101" s="78">
        <f>IF('4mA'!B51&lt;&gt;"",'4mA'!J51,"")</f>
        <v/>
      </c>
    </row>
    <row r="2102" ht="15.75" customHeight="1" s="52">
      <c r="A2102" s="92">
        <f>IF('4mA'!B52&lt;&gt;"","4mA","")</f>
        <v/>
      </c>
      <c r="B2102" s="82">
        <f>IF('4mA'!B52&lt;&gt;"",'4mA'!B52,"")</f>
        <v/>
      </c>
      <c r="C2102" s="82">
        <f>IF('4mA'!B52&lt;&gt;"",'4mA'!C52,"")</f>
        <v/>
      </c>
      <c r="D2102" s="82">
        <f>IF('4mA'!B52&lt;&gt;"",'4mA'!D52,"")</f>
        <v/>
      </c>
      <c r="E2102" s="82">
        <f>IF('4mA'!B52&lt;&gt;"",'4mA'!E52,"")</f>
        <v/>
      </c>
      <c r="F2102" s="82">
        <f>IF('4mA'!B52&lt;&gt;"",'4mA'!F52,"")</f>
        <v/>
      </c>
      <c r="G2102" s="82">
        <f>IF('4mA'!B52&lt;&gt;"",'4mA'!G52,"")</f>
        <v/>
      </c>
      <c r="H2102" s="92">
        <f>IF('4mA'!B52&lt;&gt;"",'4mA'!H52,"")</f>
        <v/>
      </c>
      <c r="I2102" s="92">
        <f>IF('4mA'!B52&lt;&gt;"",'4mA'!I52,"")</f>
        <v/>
      </c>
      <c r="J2102" s="82">
        <f>IF('4mA'!B52&lt;&gt;"",'4mA'!J52,"")</f>
        <v/>
      </c>
    </row>
    <row r="2103" ht="15.75" customHeight="1" s="52">
      <c r="A2103" s="97">
        <f>IF('4mA'!B53&lt;&gt;"","4mA","")</f>
        <v/>
      </c>
      <c r="B2103" s="78">
        <f>IF('4mA'!B53&lt;&gt;"",'4mA'!B53,"")</f>
        <v/>
      </c>
      <c r="C2103" s="78">
        <f>IF('4mA'!B53&lt;&gt;"",'4mA'!C53,"")</f>
        <v/>
      </c>
      <c r="D2103" s="78">
        <f>IF('4mA'!B53&lt;&gt;"",'4mA'!D53,"")</f>
        <v/>
      </c>
      <c r="E2103" s="78">
        <f>IF('4mA'!B53&lt;&gt;"",'4mA'!E53,"")</f>
        <v/>
      </c>
      <c r="F2103" s="78">
        <f>IF('4mA'!B53&lt;&gt;"",'4mA'!F53,"")</f>
        <v/>
      </c>
      <c r="G2103" s="78">
        <f>IF('4mA'!B53&lt;&gt;"",'4mA'!G53,"")</f>
        <v/>
      </c>
      <c r="H2103" s="97">
        <f>IF('4mA'!B53&lt;&gt;"",'4mA'!H53,"")</f>
        <v/>
      </c>
      <c r="I2103" s="97">
        <f>IF('4mA'!B53&lt;&gt;"",'4mA'!I53,"")</f>
        <v/>
      </c>
      <c r="J2103" s="78">
        <f>IF('4mA'!B53&lt;&gt;"",'4mA'!J53,"")</f>
        <v/>
      </c>
    </row>
    <row r="2104" ht="15.75" customHeight="1" s="52">
      <c r="A2104" s="92">
        <f>IF('4mA'!B54&lt;&gt;"","4mA","")</f>
        <v/>
      </c>
      <c r="B2104" s="82">
        <f>IF('4mA'!B54&lt;&gt;"",'4mA'!B54,"")</f>
        <v/>
      </c>
      <c r="C2104" s="82">
        <f>IF('4mA'!B54&lt;&gt;"",'4mA'!C54,"")</f>
        <v/>
      </c>
      <c r="D2104" s="82">
        <f>IF('4mA'!B54&lt;&gt;"",'4mA'!D54,"")</f>
        <v/>
      </c>
      <c r="E2104" s="82">
        <f>IF('4mA'!B54&lt;&gt;"",'4mA'!E54,"")</f>
        <v/>
      </c>
      <c r="F2104" s="82">
        <f>IF('4mA'!B54&lt;&gt;"",'4mA'!F54,"")</f>
        <v/>
      </c>
      <c r="G2104" s="82">
        <f>IF('4mA'!B54&lt;&gt;"",'4mA'!G54,"")</f>
        <v/>
      </c>
      <c r="H2104" s="92">
        <f>IF('4mA'!B54&lt;&gt;"",'4mA'!H54,"")</f>
        <v/>
      </c>
      <c r="I2104" s="92">
        <f>IF('4mA'!B54&lt;&gt;"",'4mA'!I54,"")</f>
        <v/>
      </c>
      <c r="J2104" s="82">
        <f>IF('4mA'!B54&lt;&gt;"",'4mA'!J54,"")</f>
        <v/>
      </c>
    </row>
    <row r="2105" ht="15.75" customHeight="1" s="52">
      <c r="A2105" s="97">
        <f>IF('4mB'!B5&lt;&gt;"","4mB","")</f>
        <v/>
      </c>
      <c r="B2105" s="78">
        <f>IF('4mB'!B5&lt;&gt;"",'4mB'!B5,"")</f>
        <v/>
      </c>
      <c r="C2105" s="78">
        <f>IF('4mB'!B5&lt;&gt;"",'4mB'!C5,"")</f>
        <v/>
      </c>
      <c r="D2105" s="78">
        <f>IF('4mB'!B5&lt;&gt;"",'4mB'!D5,"")</f>
        <v/>
      </c>
      <c r="E2105" s="78">
        <f>IF('4mB'!B5&lt;&gt;"",'4mB'!E5,"")</f>
        <v/>
      </c>
      <c r="F2105" s="78">
        <f>IF('4mB'!B5&lt;&gt;"",'4mB'!F5,"")</f>
        <v/>
      </c>
      <c r="G2105" s="78">
        <f>IF('4mB'!B5&lt;&gt;"",'4mB'!G5,"")</f>
        <v/>
      </c>
      <c r="H2105" s="97">
        <f>IF('4mB'!B5&lt;&gt;"",'4mB'!H5,"")</f>
        <v/>
      </c>
      <c r="I2105" s="97">
        <f>IF('4mB'!B5&lt;&gt;"",'4mB'!I5,"")</f>
        <v/>
      </c>
      <c r="J2105" s="78">
        <f>IF('4mB'!B5&lt;&gt;"",'4mB'!J5,"")</f>
        <v/>
      </c>
    </row>
    <row r="2106" ht="15.75" customHeight="1" s="52">
      <c r="A2106" s="92">
        <f>IF('4mB'!B6&lt;&gt;"","4mB","")</f>
        <v/>
      </c>
      <c r="B2106" s="82">
        <f>IF('4mB'!B6&lt;&gt;"",'4mB'!B6,"")</f>
        <v/>
      </c>
      <c r="C2106" s="82">
        <f>IF('4mB'!B6&lt;&gt;"",'4mB'!C6,"")</f>
        <v/>
      </c>
      <c r="D2106" s="82">
        <f>IF('4mB'!B6&lt;&gt;"",'4mB'!D6,"")</f>
        <v/>
      </c>
      <c r="E2106" s="82">
        <f>IF('4mB'!B6&lt;&gt;"",'4mB'!E6,"")</f>
        <v/>
      </c>
      <c r="F2106" s="82">
        <f>IF('4mB'!B6&lt;&gt;"",'4mB'!F6,"")</f>
        <v/>
      </c>
      <c r="G2106" s="82">
        <f>IF('4mB'!B6&lt;&gt;"",'4mB'!G6,"")</f>
        <v/>
      </c>
      <c r="H2106" s="92">
        <f>IF('4mB'!B6&lt;&gt;"",'4mB'!H6,"")</f>
        <v/>
      </c>
      <c r="I2106" s="92">
        <f>IF('4mB'!B6&lt;&gt;"",'4mB'!I6,"")</f>
        <v/>
      </c>
      <c r="J2106" s="82">
        <f>IF('4mB'!B6&lt;&gt;"",'4mB'!J6,"")</f>
        <v/>
      </c>
    </row>
    <row r="2107" ht="15.75" customHeight="1" s="52">
      <c r="A2107" s="97">
        <f>IF('4mB'!B7&lt;&gt;"","4mB","")</f>
        <v/>
      </c>
      <c r="B2107" s="78">
        <f>IF('4mB'!B7&lt;&gt;"",'4mB'!B7,"")</f>
        <v/>
      </c>
      <c r="C2107" s="78">
        <f>IF('4mB'!B7&lt;&gt;"",'4mB'!C7,"")</f>
        <v/>
      </c>
      <c r="D2107" s="78">
        <f>IF('4mB'!B7&lt;&gt;"",'4mB'!D7,"")</f>
        <v/>
      </c>
      <c r="E2107" s="78">
        <f>IF('4mB'!B7&lt;&gt;"",'4mB'!E7,"")</f>
        <v/>
      </c>
      <c r="F2107" s="78">
        <f>IF('4mB'!B7&lt;&gt;"",'4mB'!F7,"")</f>
        <v/>
      </c>
      <c r="G2107" s="78">
        <f>IF('4mB'!B7&lt;&gt;"",'4mB'!G7,"")</f>
        <v/>
      </c>
      <c r="H2107" s="97">
        <f>IF('4mB'!B7&lt;&gt;"",'4mB'!H7,"")</f>
        <v/>
      </c>
      <c r="I2107" s="97">
        <f>IF('4mB'!B7&lt;&gt;"",'4mB'!I7,"")</f>
        <v/>
      </c>
      <c r="J2107" s="78">
        <f>IF('4mB'!B7&lt;&gt;"",'4mB'!J7,"")</f>
        <v/>
      </c>
    </row>
    <row r="2108" ht="15.75" customHeight="1" s="52">
      <c r="A2108" s="92">
        <f>IF('4mB'!B8&lt;&gt;"","4mB","")</f>
        <v/>
      </c>
      <c r="B2108" s="82">
        <f>IF('4mB'!B8&lt;&gt;"",'4mB'!B8,"")</f>
        <v/>
      </c>
      <c r="C2108" s="82">
        <f>IF('4mB'!B8&lt;&gt;"",'4mB'!C8,"")</f>
        <v/>
      </c>
      <c r="D2108" s="82">
        <f>IF('4mB'!B8&lt;&gt;"",'4mB'!D8,"")</f>
        <v/>
      </c>
      <c r="E2108" s="82">
        <f>IF('4mB'!B8&lt;&gt;"",'4mB'!E8,"")</f>
        <v/>
      </c>
      <c r="F2108" s="82">
        <f>IF('4mB'!B8&lt;&gt;"",'4mB'!F8,"")</f>
        <v/>
      </c>
      <c r="G2108" s="82">
        <f>IF('4mB'!B8&lt;&gt;"",'4mB'!G8,"")</f>
        <v/>
      </c>
      <c r="H2108" s="92">
        <f>IF('4mB'!B8&lt;&gt;"",'4mB'!H8,"")</f>
        <v/>
      </c>
      <c r="I2108" s="92">
        <f>IF('4mB'!B8&lt;&gt;"",'4mB'!I8,"")</f>
        <v/>
      </c>
      <c r="J2108" s="82">
        <f>IF('4mB'!B8&lt;&gt;"",'4mB'!J8,"")</f>
        <v/>
      </c>
    </row>
    <row r="2109" ht="15.75" customHeight="1" s="52">
      <c r="A2109" s="97">
        <f>IF('4mB'!B9&lt;&gt;"","4mB","")</f>
        <v/>
      </c>
      <c r="B2109" s="78">
        <f>IF('4mB'!B9&lt;&gt;"",'4mB'!B9,"")</f>
        <v/>
      </c>
      <c r="C2109" s="78">
        <f>IF('4mB'!B9&lt;&gt;"",'4mB'!C9,"")</f>
        <v/>
      </c>
      <c r="D2109" s="78">
        <f>IF('4mB'!B9&lt;&gt;"",'4mB'!D9,"")</f>
        <v/>
      </c>
      <c r="E2109" s="78">
        <f>IF('4mB'!B9&lt;&gt;"",'4mB'!E9,"")</f>
        <v/>
      </c>
      <c r="F2109" s="78">
        <f>IF('4mB'!B9&lt;&gt;"",'4mB'!F9,"")</f>
        <v/>
      </c>
      <c r="G2109" s="78">
        <f>IF('4mB'!B9&lt;&gt;"",'4mB'!G9,"")</f>
        <v/>
      </c>
      <c r="H2109" s="97">
        <f>IF('4mB'!B9&lt;&gt;"",'4mB'!H9,"")</f>
        <v/>
      </c>
      <c r="I2109" s="97">
        <f>IF('4mB'!B9&lt;&gt;"",'4mB'!I9,"")</f>
        <v/>
      </c>
      <c r="J2109" s="78">
        <f>IF('4mB'!B9&lt;&gt;"",'4mB'!J9,"")</f>
        <v/>
      </c>
    </row>
    <row r="2110" ht="15.75" customHeight="1" s="52">
      <c r="A2110" s="92">
        <f>IF('4mB'!B10&lt;&gt;"","4mB","")</f>
        <v/>
      </c>
      <c r="B2110" s="82">
        <f>IF('4mB'!B10&lt;&gt;"",'4mB'!B10,"")</f>
        <v/>
      </c>
      <c r="C2110" s="82">
        <f>IF('4mB'!B10&lt;&gt;"",'4mB'!C10,"")</f>
        <v/>
      </c>
      <c r="D2110" s="82">
        <f>IF('4mB'!B10&lt;&gt;"",'4mB'!D10,"")</f>
        <v/>
      </c>
      <c r="E2110" s="82">
        <f>IF('4mB'!B10&lt;&gt;"",'4mB'!E10,"")</f>
        <v/>
      </c>
      <c r="F2110" s="82">
        <f>IF('4mB'!B10&lt;&gt;"",'4mB'!F10,"")</f>
        <v/>
      </c>
      <c r="G2110" s="82">
        <f>IF('4mB'!B10&lt;&gt;"",'4mB'!G10,"")</f>
        <v/>
      </c>
      <c r="H2110" s="92">
        <f>IF('4mB'!B10&lt;&gt;"",'4mB'!H10,"")</f>
        <v/>
      </c>
      <c r="I2110" s="92">
        <f>IF('4mB'!B10&lt;&gt;"",'4mB'!I10,"")</f>
        <v/>
      </c>
      <c r="J2110" s="82">
        <f>IF('4mB'!B10&lt;&gt;"",'4mB'!J10,"")</f>
        <v/>
      </c>
    </row>
    <row r="2111" ht="15.75" customHeight="1" s="52">
      <c r="A2111" s="97">
        <f>IF('4mB'!B11&lt;&gt;"","4mB","")</f>
        <v/>
      </c>
      <c r="B2111" s="78">
        <f>IF('4mB'!B11&lt;&gt;"",'4mB'!B11,"")</f>
        <v/>
      </c>
      <c r="C2111" s="78">
        <f>IF('4mB'!B11&lt;&gt;"",'4mB'!C11,"")</f>
        <v/>
      </c>
      <c r="D2111" s="78">
        <f>IF('4mB'!B11&lt;&gt;"",'4mB'!D11,"")</f>
        <v/>
      </c>
      <c r="E2111" s="78">
        <f>IF('4mB'!B11&lt;&gt;"",'4mB'!E11,"")</f>
        <v/>
      </c>
      <c r="F2111" s="78">
        <f>IF('4mB'!B11&lt;&gt;"",'4mB'!F11,"")</f>
        <v/>
      </c>
      <c r="G2111" s="78">
        <f>IF('4mB'!B11&lt;&gt;"",'4mB'!G11,"")</f>
        <v/>
      </c>
      <c r="H2111" s="97">
        <f>IF('4mB'!B11&lt;&gt;"",'4mB'!H11,"")</f>
        <v/>
      </c>
      <c r="I2111" s="97">
        <f>IF('4mB'!B11&lt;&gt;"",'4mB'!I11,"")</f>
        <v/>
      </c>
      <c r="J2111" s="78">
        <f>IF('4mB'!B11&lt;&gt;"",'4mB'!J11,"")</f>
        <v/>
      </c>
    </row>
    <row r="2112" ht="15.75" customHeight="1" s="52">
      <c r="A2112" s="92">
        <f>IF('4mB'!B12&lt;&gt;"","4mB","")</f>
        <v/>
      </c>
      <c r="B2112" s="82">
        <f>IF('4mB'!B12&lt;&gt;"",'4mB'!B12,"")</f>
        <v/>
      </c>
      <c r="C2112" s="82">
        <f>IF('4mB'!B12&lt;&gt;"",'4mB'!C12,"")</f>
        <v/>
      </c>
      <c r="D2112" s="82">
        <f>IF('4mB'!B12&lt;&gt;"",'4mB'!D12,"")</f>
        <v/>
      </c>
      <c r="E2112" s="82">
        <f>IF('4mB'!B12&lt;&gt;"",'4mB'!E12,"")</f>
        <v/>
      </c>
      <c r="F2112" s="82">
        <f>IF('4mB'!B12&lt;&gt;"",'4mB'!F12,"")</f>
        <v/>
      </c>
      <c r="G2112" s="82">
        <f>IF('4mB'!B12&lt;&gt;"",'4mB'!G12,"")</f>
        <v/>
      </c>
      <c r="H2112" s="92">
        <f>IF('4mB'!B12&lt;&gt;"",'4mB'!H12,"")</f>
        <v/>
      </c>
      <c r="I2112" s="92">
        <f>IF('4mB'!B12&lt;&gt;"",'4mB'!I12,"")</f>
        <v/>
      </c>
      <c r="J2112" s="82">
        <f>IF('4mB'!B12&lt;&gt;"",'4mB'!J12,"")</f>
        <v/>
      </c>
    </row>
    <row r="2113" ht="15.75" customHeight="1" s="52">
      <c r="A2113" s="97">
        <f>IF('4mB'!B13&lt;&gt;"","4mB","")</f>
        <v/>
      </c>
      <c r="B2113" s="78">
        <f>IF('4mB'!B13&lt;&gt;"",'4mB'!B13,"")</f>
        <v/>
      </c>
      <c r="C2113" s="78">
        <f>IF('4mB'!B13&lt;&gt;"",'4mB'!C13,"")</f>
        <v/>
      </c>
      <c r="D2113" s="78">
        <f>IF('4mB'!B13&lt;&gt;"",'4mB'!D13,"")</f>
        <v/>
      </c>
      <c r="E2113" s="78">
        <f>IF('4mB'!B13&lt;&gt;"",'4mB'!E13,"")</f>
        <v/>
      </c>
      <c r="F2113" s="78">
        <f>IF('4mB'!B13&lt;&gt;"",'4mB'!F13,"")</f>
        <v/>
      </c>
      <c r="G2113" s="78">
        <f>IF('4mB'!B13&lt;&gt;"",'4mB'!G13,"")</f>
        <v/>
      </c>
      <c r="H2113" s="97">
        <f>IF('4mB'!B13&lt;&gt;"",'4mB'!H13,"")</f>
        <v/>
      </c>
      <c r="I2113" s="97">
        <f>IF('4mB'!B13&lt;&gt;"",'4mB'!I13,"")</f>
        <v/>
      </c>
      <c r="J2113" s="78">
        <f>IF('4mB'!B13&lt;&gt;"",'4mB'!J13,"")</f>
        <v/>
      </c>
    </row>
    <row r="2114" ht="15.75" customHeight="1" s="52">
      <c r="A2114" s="92">
        <f>IF('4mB'!B14&lt;&gt;"","4mB","")</f>
        <v/>
      </c>
      <c r="B2114" s="82">
        <f>IF('4mB'!B14&lt;&gt;"",'4mB'!B14,"")</f>
        <v/>
      </c>
      <c r="C2114" s="82">
        <f>IF('4mB'!B14&lt;&gt;"",'4mB'!C14,"")</f>
        <v/>
      </c>
      <c r="D2114" s="82">
        <f>IF('4mB'!B14&lt;&gt;"",'4mB'!D14,"")</f>
        <v/>
      </c>
      <c r="E2114" s="82">
        <f>IF('4mB'!B14&lt;&gt;"",'4mB'!E14,"")</f>
        <v/>
      </c>
      <c r="F2114" s="82">
        <f>IF('4mB'!B14&lt;&gt;"",'4mB'!F14,"")</f>
        <v/>
      </c>
      <c r="G2114" s="82">
        <f>IF('4mB'!B14&lt;&gt;"",'4mB'!G14,"")</f>
        <v/>
      </c>
      <c r="H2114" s="92">
        <f>IF('4mB'!B14&lt;&gt;"",'4mB'!H14,"")</f>
        <v/>
      </c>
      <c r="I2114" s="92">
        <f>IF('4mB'!B14&lt;&gt;"",'4mB'!I14,"")</f>
        <v/>
      </c>
      <c r="J2114" s="82">
        <f>IF('4mB'!B14&lt;&gt;"",'4mB'!J14,"")</f>
        <v/>
      </c>
    </row>
    <row r="2115" ht="15.75" customHeight="1" s="52">
      <c r="A2115" s="97">
        <f>IF('4mB'!B15&lt;&gt;"","4mB","")</f>
        <v/>
      </c>
      <c r="B2115" s="78">
        <f>IF('4mB'!B15&lt;&gt;"",'4mB'!B15,"")</f>
        <v/>
      </c>
      <c r="C2115" s="78">
        <f>IF('4mB'!B15&lt;&gt;"",'4mB'!C15,"")</f>
        <v/>
      </c>
      <c r="D2115" s="78">
        <f>IF('4mB'!B15&lt;&gt;"",'4mB'!D15,"")</f>
        <v/>
      </c>
      <c r="E2115" s="78">
        <f>IF('4mB'!B15&lt;&gt;"",'4mB'!E15,"")</f>
        <v/>
      </c>
      <c r="F2115" s="78">
        <f>IF('4mB'!B15&lt;&gt;"",'4mB'!F15,"")</f>
        <v/>
      </c>
      <c r="G2115" s="78">
        <f>IF('4mB'!B15&lt;&gt;"",'4mB'!G15,"")</f>
        <v/>
      </c>
      <c r="H2115" s="97">
        <f>IF('4mB'!B15&lt;&gt;"",'4mB'!H15,"")</f>
        <v/>
      </c>
      <c r="I2115" s="97">
        <f>IF('4mB'!B15&lt;&gt;"",'4mB'!I15,"")</f>
        <v/>
      </c>
      <c r="J2115" s="78">
        <f>IF('4mB'!B15&lt;&gt;"",'4mB'!J15,"")</f>
        <v/>
      </c>
    </row>
    <row r="2116" ht="15.75" customHeight="1" s="52">
      <c r="A2116" s="92">
        <f>IF('4mB'!B16&lt;&gt;"","4mB","")</f>
        <v/>
      </c>
      <c r="B2116" s="82">
        <f>IF('4mB'!B16&lt;&gt;"",'4mB'!B16,"")</f>
        <v/>
      </c>
      <c r="C2116" s="82">
        <f>IF('4mB'!B16&lt;&gt;"",'4mB'!C16,"")</f>
        <v/>
      </c>
      <c r="D2116" s="82">
        <f>IF('4mB'!B16&lt;&gt;"",'4mB'!D16,"")</f>
        <v/>
      </c>
      <c r="E2116" s="82">
        <f>IF('4mB'!B16&lt;&gt;"",'4mB'!E16,"")</f>
        <v/>
      </c>
      <c r="F2116" s="82">
        <f>IF('4mB'!B16&lt;&gt;"",'4mB'!F16,"")</f>
        <v/>
      </c>
      <c r="G2116" s="82">
        <f>IF('4mB'!B16&lt;&gt;"",'4mB'!G16,"")</f>
        <v/>
      </c>
      <c r="H2116" s="92">
        <f>IF('4mB'!B16&lt;&gt;"",'4mB'!H16,"")</f>
        <v/>
      </c>
      <c r="I2116" s="92">
        <f>IF('4mB'!B16&lt;&gt;"",'4mB'!I16,"")</f>
        <v/>
      </c>
      <c r="J2116" s="82">
        <f>IF('4mB'!B16&lt;&gt;"",'4mB'!J16,"")</f>
        <v/>
      </c>
    </row>
    <row r="2117" ht="15.75" customHeight="1" s="52">
      <c r="A2117" s="97">
        <f>IF('4mB'!B17&lt;&gt;"","4mB","")</f>
        <v/>
      </c>
      <c r="B2117" s="78">
        <f>IF('4mB'!B17&lt;&gt;"",'4mB'!B17,"")</f>
        <v/>
      </c>
      <c r="C2117" s="78">
        <f>IF('4mB'!B17&lt;&gt;"",'4mB'!C17,"")</f>
        <v/>
      </c>
      <c r="D2117" s="78">
        <f>IF('4mB'!B17&lt;&gt;"",'4mB'!D17,"")</f>
        <v/>
      </c>
      <c r="E2117" s="78">
        <f>IF('4mB'!B17&lt;&gt;"",'4mB'!E17,"")</f>
        <v/>
      </c>
      <c r="F2117" s="78">
        <f>IF('4mB'!B17&lt;&gt;"",'4mB'!F17,"")</f>
        <v/>
      </c>
      <c r="G2117" s="78">
        <f>IF('4mB'!B17&lt;&gt;"",'4mB'!G17,"")</f>
        <v/>
      </c>
      <c r="H2117" s="97">
        <f>IF('4mB'!B17&lt;&gt;"",'4mB'!H17,"")</f>
        <v/>
      </c>
      <c r="I2117" s="97">
        <f>IF('4mB'!B17&lt;&gt;"",'4mB'!I17,"")</f>
        <v/>
      </c>
      <c r="J2117" s="78">
        <f>IF('4mB'!B17&lt;&gt;"",'4mB'!J17,"")</f>
        <v/>
      </c>
    </row>
    <row r="2118" ht="15.75" customHeight="1" s="52">
      <c r="A2118" s="92">
        <f>IF('4mB'!B18&lt;&gt;"","4mB","")</f>
        <v/>
      </c>
      <c r="B2118" s="82">
        <f>IF('4mB'!B18&lt;&gt;"",'4mB'!B18,"")</f>
        <v/>
      </c>
      <c r="C2118" s="82">
        <f>IF('4mB'!B18&lt;&gt;"",'4mB'!C18,"")</f>
        <v/>
      </c>
      <c r="D2118" s="82">
        <f>IF('4mB'!B18&lt;&gt;"",'4mB'!D18,"")</f>
        <v/>
      </c>
      <c r="E2118" s="82">
        <f>IF('4mB'!B18&lt;&gt;"",'4mB'!E18,"")</f>
        <v/>
      </c>
      <c r="F2118" s="82">
        <f>IF('4mB'!B18&lt;&gt;"",'4mB'!F18,"")</f>
        <v/>
      </c>
      <c r="G2118" s="82">
        <f>IF('4mB'!B18&lt;&gt;"",'4mB'!G18,"")</f>
        <v/>
      </c>
      <c r="H2118" s="92">
        <f>IF('4mB'!B18&lt;&gt;"",'4mB'!H18,"")</f>
        <v/>
      </c>
      <c r="I2118" s="92">
        <f>IF('4mB'!B18&lt;&gt;"",'4mB'!I18,"")</f>
        <v/>
      </c>
      <c r="J2118" s="82">
        <f>IF('4mB'!B18&lt;&gt;"",'4mB'!J18,"")</f>
        <v/>
      </c>
    </row>
    <row r="2119" ht="15.75" customHeight="1" s="52">
      <c r="A2119" s="97">
        <f>IF('4mB'!B19&lt;&gt;"","4mB","")</f>
        <v/>
      </c>
      <c r="B2119" s="78">
        <f>IF('4mB'!B19&lt;&gt;"",'4mB'!B19,"")</f>
        <v/>
      </c>
      <c r="C2119" s="78">
        <f>IF('4mB'!B19&lt;&gt;"",'4mB'!C19,"")</f>
        <v/>
      </c>
      <c r="D2119" s="78">
        <f>IF('4mB'!B19&lt;&gt;"",'4mB'!D19,"")</f>
        <v/>
      </c>
      <c r="E2119" s="78">
        <f>IF('4mB'!B19&lt;&gt;"",'4mB'!E19,"")</f>
        <v/>
      </c>
      <c r="F2119" s="78">
        <f>IF('4mB'!B19&lt;&gt;"",'4mB'!F19,"")</f>
        <v/>
      </c>
      <c r="G2119" s="78">
        <f>IF('4mB'!B19&lt;&gt;"",'4mB'!G19,"")</f>
        <v/>
      </c>
      <c r="H2119" s="97">
        <f>IF('4mB'!B19&lt;&gt;"",'4mB'!H19,"")</f>
        <v/>
      </c>
      <c r="I2119" s="97">
        <f>IF('4mB'!B19&lt;&gt;"",'4mB'!I19,"")</f>
        <v/>
      </c>
      <c r="J2119" s="78">
        <f>IF('4mB'!B19&lt;&gt;"",'4mB'!J19,"")</f>
        <v/>
      </c>
    </row>
    <row r="2120" ht="15.75" customHeight="1" s="52">
      <c r="A2120" s="92">
        <f>IF('4mB'!B20&lt;&gt;"","4mB","")</f>
        <v/>
      </c>
      <c r="B2120" s="82">
        <f>IF('4mB'!B20&lt;&gt;"",'4mB'!B20,"")</f>
        <v/>
      </c>
      <c r="C2120" s="82">
        <f>IF('4mB'!B20&lt;&gt;"",'4mB'!C20,"")</f>
        <v/>
      </c>
      <c r="D2120" s="82">
        <f>IF('4mB'!B20&lt;&gt;"",'4mB'!D20,"")</f>
        <v/>
      </c>
      <c r="E2120" s="82">
        <f>IF('4mB'!B20&lt;&gt;"",'4mB'!E20,"")</f>
        <v/>
      </c>
      <c r="F2120" s="82">
        <f>IF('4mB'!B20&lt;&gt;"",'4mB'!F20,"")</f>
        <v/>
      </c>
      <c r="G2120" s="82">
        <f>IF('4mB'!B20&lt;&gt;"",'4mB'!G20,"")</f>
        <v/>
      </c>
      <c r="H2120" s="92">
        <f>IF('4mB'!B20&lt;&gt;"",'4mB'!H20,"")</f>
        <v/>
      </c>
      <c r="I2120" s="92">
        <f>IF('4mB'!B20&lt;&gt;"",'4mB'!I20,"")</f>
        <v/>
      </c>
      <c r="J2120" s="82">
        <f>IF('4mB'!B20&lt;&gt;"",'4mB'!J20,"")</f>
        <v/>
      </c>
    </row>
    <row r="2121" ht="15.75" customHeight="1" s="52">
      <c r="A2121" s="97">
        <f>IF('4mB'!B21&lt;&gt;"","4mB","")</f>
        <v/>
      </c>
      <c r="B2121" s="78">
        <f>IF('4mB'!B21&lt;&gt;"",'4mB'!B21,"")</f>
        <v/>
      </c>
      <c r="C2121" s="78">
        <f>IF('4mB'!B21&lt;&gt;"",'4mB'!C21,"")</f>
        <v/>
      </c>
      <c r="D2121" s="78">
        <f>IF('4mB'!B21&lt;&gt;"",'4mB'!D21,"")</f>
        <v/>
      </c>
      <c r="E2121" s="78">
        <f>IF('4mB'!B21&lt;&gt;"",'4mB'!E21,"")</f>
        <v/>
      </c>
      <c r="F2121" s="78">
        <f>IF('4mB'!B21&lt;&gt;"",'4mB'!F21,"")</f>
        <v/>
      </c>
      <c r="G2121" s="78">
        <f>IF('4mB'!B21&lt;&gt;"",'4mB'!G21,"")</f>
        <v/>
      </c>
      <c r="H2121" s="97">
        <f>IF('4mB'!B21&lt;&gt;"",'4mB'!H21,"")</f>
        <v/>
      </c>
      <c r="I2121" s="97">
        <f>IF('4mB'!B21&lt;&gt;"",'4mB'!I21,"")</f>
        <v/>
      </c>
      <c r="J2121" s="78">
        <f>IF('4mB'!B21&lt;&gt;"",'4mB'!J21,"")</f>
        <v/>
      </c>
    </row>
    <row r="2122" ht="15.75" customHeight="1" s="52">
      <c r="A2122" s="92">
        <f>IF('4mB'!B22&lt;&gt;"","4mB","")</f>
        <v/>
      </c>
      <c r="B2122" s="82">
        <f>IF('4mB'!B22&lt;&gt;"",'4mB'!B22,"")</f>
        <v/>
      </c>
      <c r="C2122" s="82">
        <f>IF('4mB'!B22&lt;&gt;"",'4mB'!C22,"")</f>
        <v/>
      </c>
      <c r="D2122" s="82">
        <f>IF('4mB'!B22&lt;&gt;"",'4mB'!D22,"")</f>
        <v/>
      </c>
      <c r="E2122" s="82">
        <f>IF('4mB'!B22&lt;&gt;"",'4mB'!E22,"")</f>
        <v/>
      </c>
      <c r="F2122" s="82">
        <f>IF('4mB'!B22&lt;&gt;"",'4mB'!F22,"")</f>
        <v/>
      </c>
      <c r="G2122" s="82">
        <f>IF('4mB'!B22&lt;&gt;"",'4mB'!G22,"")</f>
        <v/>
      </c>
      <c r="H2122" s="92">
        <f>IF('4mB'!B22&lt;&gt;"",'4mB'!H22,"")</f>
        <v/>
      </c>
      <c r="I2122" s="92">
        <f>IF('4mB'!B22&lt;&gt;"",'4mB'!I22,"")</f>
        <v/>
      </c>
      <c r="J2122" s="82">
        <f>IF('4mB'!B22&lt;&gt;"",'4mB'!J22,"")</f>
        <v/>
      </c>
    </row>
    <row r="2123" ht="15.75" customHeight="1" s="52">
      <c r="A2123" s="97">
        <f>IF('4mB'!B23&lt;&gt;"","4mB","")</f>
        <v/>
      </c>
      <c r="B2123" s="78">
        <f>IF('4mB'!B23&lt;&gt;"",'4mB'!B23,"")</f>
        <v/>
      </c>
      <c r="C2123" s="78">
        <f>IF('4mB'!B23&lt;&gt;"",'4mB'!C23,"")</f>
        <v/>
      </c>
      <c r="D2123" s="78">
        <f>IF('4mB'!B23&lt;&gt;"",'4mB'!D23,"")</f>
        <v/>
      </c>
      <c r="E2123" s="78">
        <f>IF('4mB'!B23&lt;&gt;"",'4mB'!E23,"")</f>
        <v/>
      </c>
      <c r="F2123" s="78">
        <f>IF('4mB'!B23&lt;&gt;"",'4mB'!F23,"")</f>
        <v/>
      </c>
      <c r="G2123" s="78">
        <f>IF('4mB'!B23&lt;&gt;"",'4mB'!G23,"")</f>
        <v/>
      </c>
      <c r="H2123" s="97">
        <f>IF('4mB'!B23&lt;&gt;"",'4mB'!H23,"")</f>
        <v/>
      </c>
      <c r="I2123" s="97">
        <f>IF('4mB'!B23&lt;&gt;"",'4mB'!I23,"")</f>
        <v/>
      </c>
      <c r="J2123" s="78">
        <f>IF('4mB'!B23&lt;&gt;"",'4mB'!J23,"")</f>
        <v/>
      </c>
    </row>
    <row r="2124" ht="15.75" customHeight="1" s="52">
      <c r="A2124" s="92">
        <f>IF('4mB'!B24&lt;&gt;"","4mB","")</f>
        <v/>
      </c>
      <c r="B2124" s="82">
        <f>IF('4mB'!B24&lt;&gt;"",'4mB'!B24,"")</f>
        <v/>
      </c>
      <c r="C2124" s="82">
        <f>IF('4mB'!B24&lt;&gt;"",'4mB'!C24,"")</f>
        <v/>
      </c>
      <c r="D2124" s="82">
        <f>IF('4mB'!B24&lt;&gt;"",'4mB'!D24,"")</f>
        <v/>
      </c>
      <c r="E2124" s="82">
        <f>IF('4mB'!B24&lt;&gt;"",'4mB'!E24,"")</f>
        <v/>
      </c>
      <c r="F2124" s="82">
        <f>IF('4mB'!B24&lt;&gt;"",'4mB'!F24,"")</f>
        <v/>
      </c>
      <c r="G2124" s="82">
        <f>IF('4mB'!B24&lt;&gt;"",'4mB'!G24,"")</f>
        <v/>
      </c>
      <c r="H2124" s="92">
        <f>IF('4mB'!B24&lt;&gt;"",'4mB'!H24,"")</f>
        <v/>
      </c>
      <c r="I2124" s="92">
        <f>IF('4mB'!B24&lt;&gt;"",'4mB'!I24,"")</f>
        <v/>
      </c>
      <c r="J2124" s="82">
        <f>IF('4mB'!B24&lt;&gt;"",'4mB'!J24,"")</f>
        <v/>
      </c>
    </row>
    <row r="2125" ht="15.75" customHeight="1" s="52">
      <c r="A2125" s="97">
        <f>IF('4mB'!B25&lt;&gt;"","4mB","")</f>
        <v/>
      </c>
      <c r="B2125" s="78">
        <f>IF('4mB'!B25&lt;&gt;"",'4mB'!B25,"")</f>
        <v/>
      </c>
      <c r="C2125" s="78">
        <f>IF('4mB'!B25&lt;&gt;"",'4mB'!C25,"")</f>
        <v/>
      </c>
      <c r="D2125" s="78">
        <f>IF('4mB'!B25&lt;&gt;"",'4mB'!D25,"")</f>
        <v/>
      </c>
      <c r="E2125" s="78">
        <f>IF('4mB'!B25&lt;&gt;"",'4mB'!E25,"")</f>
        <v/>
      </c>
      <c r="F2125" s="78">
        <f>IF('4mB'!B25&lt;&gt;"",'4mB'!F25,"")</f>
        <v/>
      </c>
      <c r="G2125" s="78">
        <f>IF('4mB'!B25&lt;&gt;"",'4mB'!G25,"")</f>
        <v/>
      </c>
      <c r="H2125" s="97">
        <f>IF('4mB'!B25&lt;&gt;"",'4mB'!H25,"")</f>
        <v/>
      </c>
      <c r="I2125" s="97">
        <f>IF('4mB'!B25&lt;&gt;"",'4mB'!I25,"")</f>
        <v/>
      </c>
      <c r="J2125" s="78">
        <f>IF('4mB'!B25&lt;&gt;"",'4mB'!J25,"")</f>
        <v/>
      </c>
    </row>
    <row r="2126" ht="15.75" customHeight="1" s="52">
      <c r="A2126" s="92">
        <f>IF('4mB'!B26&lt;&gt;"","4mB","")</f>
        <v/>
      </c>
      <c r="B2126" s="82">
        <f>IF('4mB'!B26&lt;&gt;"",'4mB'!B26,"")</f>
        <v/>
      </c>
      <c r="C2126" s="82">
        <f>IF('4mB'!B26&lt;&gt;"",'4mB'!C26,"")</f>
        <v/>
      </c>
      <c r="D2126" s="82">
        <f>IF('4mB'!B26&lt;&gt;"",'4mB'!D26,"")</f>
        <v/>
      </c>
      <c r="E2126" s="82">
        <f>IF('4mB'!B26&lt;&gt;"",'4mB'!E26,"")</f>
        <v/>
      </c>
      <c r="F2126" s="82">
        <f>IF('4mB'!B26&lt;&gt;"",'4mB'!F26,"")</f>
        <v/>
      </c>
      <c r="G2126" s="82">
        <f>IF('4mB'!B26&lt;&gt;"",'4mB'!G26,"")</f>
        <v/>
      </c>
      <c r="H2126" s="92">
        <f>IF('4mB'!B26&lt;&gt;"",'4mB'!H26,"")</f>
        <v/>
      </c>
      <c r="I2126" s="92">
        <f>IF('4mB'!B26&lt;&gt;"",'4mB'!I26,"")</f>
        <v/>
      </c>
      <c r="J2126" s="82">
        <f>IF('4mB'!B26&lt;&gt;"",'4mB'!J26,"")</f>
        <v/>
      </c>
    </row>
    <row r="2127" ht="15.75" customHeight="1" s="52">
      <c r="A2127" s="97">
        <f>IF('4mB'!B27&lt;&gt;"","4mB","")</f>
        <v/>
      </c>
      <c r="B2127" s="78">
        <f>IF('4mB'!B27&lt;&gt;"",'4mB'!B27,"")</f>
        <v/>
      </c>
      <c r="C2127" s="78">
        <f>IF('4mB'!B27&lt;&gt;"",'4mB'!C27,"")</f>
        <v/>
      </c>
      <c r="D2127" s="78">
        <f>IF('4mB'!B27&lt;&gt;"",'4mB'!D27,"")</f>
        <v/>
      </c>
      <c r="E2127" s="78">
        <f>IF('4mB'!B27&lt;&gt;"",'4mB'!E27,"")</f>
        <v/>
      </c>
      <c r="F2127" s="78">
        <f>IF('4mB'!B27&lt;&gt;"",'4mB'!F27,"")</f>
        <v/>
      </c>
      <c r="G2127" s="78">
        <f>IF('4mB'!B27&lt;&gt;"",'4mB'!G27,"")</f>
        <v/>
      </c>
      <c r="H2127" s="97">
        <f>IF('4mB'!B27&lt;&gt;"",'4mB'!H27,"")</f>
        <v/>
      </c>
      <c r="I2127" s="97">
        <f>IF('4mB'!B27&lt;&gt;"",'4mB'!I27,"")</f>
        <v/>
      </c>
      <c r="J2127" s="78">
        <f>IF('4mB'!B27&lt;&gt;"",'4mB'!J27,"")</f>
        <v/>
      </c>
    </row>
    <row r="2128" ht="15.75" customHeight="1" s="52">
      <c r="A2128" s="92">
        <f>IF('4mB'!B28&lt;&gt;"","4mB","")</f>
        <v/>
      </c>
      <c r="B2128" s="82">
        <f>IF('4mB'!B28&lt;&gt;"",'4mB'!B28,"")</f>
        <v/>
      </c>
      <c r="C2128" s="82">
        <f>IF('4mB'!B28&lt;&gt;"",'4mB'!C28,"")</f>
        <v/>
      </c>
      <c r="D2128" s="82">
        <f>IF('4mB'!B28&lt;&gt;"",'4mB'!D28,"")</f>
        <v/>
      </c>
      <c r="E2128" s="82">
        <f>IF('4mB'!B28&lt;&gt;"",'4mB'!E28,"")</f>
        <v/>
      </c>
      <c r="F2128" s="82">
        <f>IF('4mB'!B28&lt;&gt;"",'4mB'!F28,"")</f>
        <v/>
      </c>
      <c r="G2128" s="82">
        <f>IF('4mB'!B28&lt;&gt;"",'4mB'!G28,"")</f>
        <v/>
      </c>
      <c r="H2128" s="92">
        <f>IF('4mB'!B28&lt;&gt;"",'4mB'!H28,"")</f>
        <v/>
      </c>
      <c r="I2128" s="92">
        <f>IF('4mB'!B28&lt;&gt;"",'4mB'!I28,"")</f>
        <v/>
      </c>
      <c r="J2128" s="82">
        <f>IF('4mB'!B28&lt;&gt;"",'4mB'!J28,"")</f>
        <v/>
      </c>
    </row>
    <row r="2129" ht="15.75" customHeight="1" s="52">
      <c r="A2129" s="97">
        <f>IF('4mB'!B29&lt;&gt;"","4mB","")</f>
        <v/>
      </c>
      <c r="B2129" s="78">
        <f>IF('4mB'!B29&lt;&gt;"",'4mB'!B29,"")</f>
        <v/>
      </c>
      <c r="C2129" s="78">
        <f>IF('4mB'!B29&lt;&gt;"",'4mB'!C29,"")</f>
        <v/>
      </c>
      <c r="D2129" s="78">
        <f>IF('4mB'!B29&lt;&gt;"",'4mB'!D29,"")</f>
        <v/>
      </c>
      <c r="E2129" s="78">
        <f>IF('4mB'!B29&lt;&gt;"",'4mB'!E29,"")</f>
        <v/>
      </c>
      <c r="F2129" s="78">
        <f>IF('4mB'!B29&lt;&gt;"",'4mB'!F29,"")</f>
        <v/>
      </c>
      <c r="G2129" s="78">
        <f>IF('4mB'!B29&lt;&gt;"",'4mB'!G29,"")</f>
        <v/>
      </c>
      <c r="H2129" s="97">
        <f>IF('4mB'!B29&lt;&gt;"",'4mB'!H29,"")</f>
        <v/>
      </c>
      <c r="I2129" s="97">
        <f>IF('4mB'!B29&lt;&gt;"",'4mB'!I29,"")</f>
        <v/>
      </c>
      <c r="J2129" s="78">
        <f>IF('4mB'!B29&lt;&gt;"",'4mB'!J29,"")</f>
        <v/>
      </c>
    </row>
    <row r="2130" ht="15.75" customHeight="1" s="52">
      <c r="A2130" s="92">
        <f>IF('4mB'!B30&lt;&gt;"","4mB","")</f>
        <v/>
      </c>
      <c r="B2130" s="82">
        <f>IF('4mB'!B30&lt;&gt;"",'4mB'!B30,"")</f>
        <v/>
      </c>
      <c r="C2130" s="82">
        <f>IF('4mB'!B30&lt;&gt;"",'4mB'!C30,"")</f>
        <v/>
      </c>
      <c r="D2130" s="82">
        <f>IF('4mB'!B30&lt;&gt;"",'4mB'!D30,"")</f>
        <v/>
      </c>
      <c r="E2130" s="82">
        <f>IF('4mB'!B30&lt;&gt;"",'4mB'!E30,"")</f>
        <v/>
      </c>
      <c r="F2130" s="82">
        <f>IF('4mB'!B30&lt;&gt;"",'4mB'!F30,"")</f>
        <v/>
      </c>
      <c r="G2130" s="82">
        <f>IF('4mB'!B30&lt;&gt;"",'4mB'!G30,"")</f>
        <v/>
      </c>
      <c r="H2130" s="92">
        <f>IF('4mB'!B30&lt;&gt;"",'4mB'!H30,"")</f>
        <v/>
      </c>
      <c r="I2130" s="92">
        <f>IF('4mB'!B30&lt;&gt;"",'4mB'!I30,"")</f>
        <v/>
      </c>
      <c r="J2130" s="82">
        <f>IF('4mB'!B30&lt;&gt;"",'4mB'!J30,"")</f>
        <v/>
      </c>
    </row>
    <row r="2131" ht="15.75" customHeight="1" s="52">
      <c r="A2131" s="97">
        <f>IF('4mB'!B31&lt;&gt;"","4mB","")</f>
        <v/>
      </c>
      <c r="B2131" s="78">
        <f>IF('4mB'!B31&lt;&gt;"",'4mB'!B31,"")</f>
        <v/>
      </c>
      <c r="C2131" s="78">
        <f>IF('4mB'!B31&lt;&gt;"",'4mB'!C31,"")</f>
        <v/>
      </c>
      <c r="D2131" s="78">
        <f>IF('4mB'!B31&lt;&gt;"",'4mB'!D31,"")</f>
        <v/>
      </c>
      <c r="E2131" s="78">
        <f>IF('4mB'!B31&lt;&gt;"",'4mB'!E31,"")</f>
        <v/>
      </c>
      <c r="F2131" s="78">
        <f>IF('4mB'!B31&lt;&gt;"",'4mB'!F31,"")</f>
        <v/>
      </c>
      <c r="G2131" s="78">
        <f>IF('4mB'!B31&lt;&gt;"",'4mB'!G31,"")</f>
        <v/>
      </c>
      <c r="H2131" s="97">
        <f>IF('4mB'!B31&lt;&gt;"",'4mB'!H31,"")</f>
        <v/>
      </c>
      <c r="I2131" s="97">
        <f>IF('4mB'!B31&lt;&gt;"",'4mB'!I31,"")</f>
        <v/>
      </c>
      <c r="J2131" s="78">
        <f>IF('4mB'!B31&lt;&gt;"",'4mB'!J31,"")</f>
        <v/>
      </c>
    </row>
    <row r="2132" ht="15.75" customHeight="1" s="52">
      <c r="A2132" s="92">
        <f>IF('4mB'!B32&lt;&gt;"","4mB","")</f>
        <v/>
      </c>
      <c r="B2132" s="82">
        <f>IF('4mB'!B32&lt;&gt;"",'4mB'!B32,"")</f>
        <v/>
      </c>
      <c r="C2132" s="82">
        <f>IF('4mB'!B32&lt;&gt;"",'4mB'!C32,"")</f>
        <v/>
      </c>
      <c r="D2132" s="82">
        <f>IF('4mB'!B32&lt;&gt;"",'4mB'!D32,"")</f>
        <v/>
      </c>
      <c r="E2132" s="82">
        <f>IF('4mB'!B32&lt;&gt;"",'4mB'!E32,"")</f>
        <v/>
      </c>
      <c r="F2132" s="82">
        <f>IF('4mB'!B32&lt;&gt;"",'4mB'!F32,"")</f>
        <v/>
      </c>
      <c r="G2132" s="82">
        <f>IF('4mB'!B32&lt;&gt;"",'4mB'!G32,"")</f>
        <v/>
      </c>
      <c r="H2132" s="92">
        <f>IF('4mB'!B32&lt;&gt;"",'4mB'!H32,"")</f>
        <v/>
      </c>
      <c r="I2132" s="92">
        <f>IF('4mB'!B32&lt;&gt;"",'4mB'!I32,"")</f>
        <v/>
      </c>
      <c r="J2132" s="82">
        <f>IF('4mB'!B32&lt;&gt;"",'4mB'!J32,"")</f>
        <v/>
      </c>
    </row>
    <row r="2133" ht="15.75" customHeight="1" s="52">
      <c r="A2133" s="97">
        <f>IF('4mB'!B33&lt;&gt;"","4mB","")</f>
        <v/>
      </c>
      <c r="B2133" s="78">
        <f>IF('4mB'!B33&lt;&gt;"",'4mB'!B33,"")</f>
        <v/>
      </c>
      <c r="C2133" s="78">
        <f>IF('4mB'!B33&lt;&gt;"",'4mB'!C33,"")</f>
        <v/>
      </c>
      <c r="D2133" s="78">
        <f>IF('4mB'!B33&lt;&gt;"",'4mB'!D33,"")</f>
        <v/>
      </c>
      <c r="E2133" s="78">
        <f>IF('4mB'!B33&lt;&gt;"",'4mB'!E33,"")</f>
        <v/>
      </c>
      <c r="F2133" s="78">
        <f>IF('4mB'!B33&lt;&gt;"",'4mB'!F33,"")</f>
        <v/>
      </c>
      <c r="G2133" s="78">
        <f>IF('4mB'!B33&lt;&gt;"",'4mB'!G33,"")</f>
        <v/>
      </c>
      <c r="H2133" s="97">
        <f>IF('4mB'!B33&lt;&gt;"",'4mB'!H33,"")</f>
        <v/>
      </c>
      <c r="I2133" s="97">
        <f>IF('4mB'!B33&lt;&gt;"",'4mB'!I33,"")</f>
        <v/>
      </c>
      <c r="J2133" s="78">
        <f>IF('4mB'!B33&lt;&gt;"",'4mB'!J33,"")</f>
        <v/>
      </c>
    </row>
    <row r="2134" ht="15.75" customHeight="1" s="52">
      <c r="A2134" s="92">
        <f>IF('4mB'!B34&lt;&gt;"","4mB","")</f>
        <v/>
      </c>
      <c r="B2134" s="82">
        <f>IF('4mB'!B34&lt;&gt;"",'4mB'!B34,"")</f>
        <v/>
      </c>
      <c r="C2134" s="82">
        <f>IF('4mB'!B34&lt;&gt;"",'4mB'!C34,"")</f>
        <v/>
      </c>
      <c r="D2134" s="82">
        <f>IF('4mB'!B34&lt;&gt;"",'4mB'!D34,"")</f>
        <v/>
      </c>
      <c r="E2134" s="82">
        <f>IF('4mB'!B34&lt;&gt;"",'4mB'!E34,"")</f>
        <v/>
      </c>
      <c r="F2134" s="82">
        <f>IF('4mB'!B34&lt;&gt;"",'4mB'!F34,"")</f>
        <v/>
      </c>
      <c r="G2134" s="82">
        <f>IF('4mB'!B34&lt;&gt;"",'4mB'!G34,"")</f>
        <v/>
      </c>
      <c r="H2134" s="92">
        <f>IF('4mB'!B34&lt;&gt;"",'4mB'!H34,"")</f>
        <v/>
      </c>
      <c r="I2134" s="92">
        <f>IF('4mB'!B34&lt;&gt;"",'4mB'!I34,"")</f>
        <v/>
      </c>
      <c r="J2134" s="82">
        <f>IF('4mB'!B34&lt;&gt;"",'4mB'!J34,"")</f>
        <v/>
      </c>
    </row>
    <row r="2135" ht="15.75" customHeight="1" s="52">
      <c r="A2135" s="97">
        <f>IF('4mB'!B35&lt;&gt;"","4mB","")</f>
        <v/>
      </c>
      <c r="B2135" s="78">
        <f>IF('4mB'!B35&lt;&gt;"",'4mB'!B35,"")</f>
        <v/>
      </c>
      <c r="C2135" s="78">
        <f>IF('4mB'!B35&lt;&gt;"",'4mB'!C35,"")</f>
        <v/>
      </c>
      <c r="D2135" s="78">
        <f>IF('4mB'!B35&lt;&gt;"",'4mB'!D35,"")</f>
        <v/>
      </c>
      <c r="E2135" s="78">
        <f>IF('4mB'!B35&lt;&gt;"",'4mB'!E35,"")</f>
        <v/>
      </c>
      <c r="F2135" s="78">
        <f>IF('4mB'!B35&lt;&gt;"",'4mB'!F35,"")</f>
        <v/>
      </c>
      <c r="G2135" s="78">
        <f>IF('4mB'!B35&lt;&gt;"",'4mB'!G35,"")</f>
        <v/>
      </c>
      <c r="H2135" s="97">
        <f>IF('4mB'!B35&lt;&gt;"",'4mB'!H35,"")</f>
        <v/>
      </c>
      <c r="I2135" s="97">
        <f>IF('4mB'!B35&lt;&gt;"",'4mB'!I35,"")</f>
        <v/>
      </c>
      <c r="J2135" s="78">
        <f>IF('4mB'!B35&lt;&gt;"",'4mB'!J35,"")</f>
        <v/>
      </c>
    </row>
    <row r="2136" ht="15.75" customHeight="1" s="52">
      <c r="A2136" s="92">
        <f>IF('4mB'!B36&lt;&gt;"","4mB","")</f>
        <v/>
      </c>
      <c r="B2136" s="82">
        <f>IF('4mB'!B36&lt;&gt;"",'4mB'!B36,"")</f>
        <v/>
      </c>
      <c r="C2136" s="82">
        <f>IF('4mB'!B36&lt;&gt;"",'4mB'!C36,"")</f>
        <v/>
      </c>
      <c r="D2136" s="82">
        <f>IF('4mB'!B36&lt;&gt;"",'4mB'!D36,"")</f>
        <v/>
      </c>
      <c r="E2136" s="82">
        <f>IF('4mB'!B36&lt;&gt;"",'4mB'!E36,"")</f>
        <v/>
      </c>
      <c r="F2136" s="82">
        <f>IF('4mB'!B36&lt;&gt;"",'4mB'!F36,"")</f>
        <v/>
      </c>
      <c r="G2136" s="82">
        <f>IF('4mB'!B36&lt;&gt;"",'4mB'!G36,"")</f>
        <v/>
      </c>
      <c r="H2136" s="92">
        <f>IF('4mB'!B36&lt;&gt;"",'4mB'!H36,"")</f>
        <v/>
      </c>
      <c r="I2136" s="92">
        <f>IF('4mB'!B36&lt;&gt;"",'4mB'!I36,"")</f>
        <v/>
      </c>
      <c r="J2136" s="82">
        <f>IF('4mB'!B36&lt;&gt;"",'4mB'!J36,"")</f>
        <v/>
      </c>
    </row>
    <row r="2137" ht="15.75" customHeight="1" s="52">
      <c r="A2137" s="97">
        <f>IF('4mB'!B37&lt;&gt;"","4mB","")</f>
        <v/>
      </c>
      <c r="B2137" s="78">
        <f>IF('4mB'!B37&lt;&gt;"",'4mB'!B37,"")</f>
        <v/>
      </c>
      <c r="C2137" s="78">
        <f>IF('4mB'!B37&lt;&gt;"",'4mB'!C37,"")</f>
        <v/>
      </c>
      <c r="D2137" s="78">
        <f>IF('4mB'!B37&lt;&gt;"",'4mB'!D37,"")</f>
        <v/>
      </c>
      <c r="E2137" s="78">
        <f>IF('4mB'!B37&lt;&gt;"",'4mB'!E37,"")</f>
        <v/>
      </c>
      <c r="F2137" s="78">
        <f>IF('4mB'!B37&lt;&gt;"",'4mB'!F37,"")</f>
        <v/>
      </c>
      <c r="G2137" s="78">
        <f>IF('4mB'!B37&lt;&gt;"",'4mB'!G37,"")</f>
        <v/>
      </c>
      <c r="H2137" s="97">
        <f>IF('4mB'!B37&lt;&gt;"",'4mB'!H37,"")</f>
        <v/>
      </c>
      <c r="I2137" s="97">
        <f>IF('4mB'!B37&lt;&gt;"",'4mB'!I37,"")</f>
        <v/>
      </c>
      <c r="J2137" s="78">
        <f>IF('4mB'!B37&lt;&gt;"",'4mB'!J37,"")</f>
        <v/>
      </c>
    </row>
    <row r="2138" ht="15.75" customHeight="1" s="52">
      <c r="A2138" s="92">
        <f>IF('4mB'!B38&lt;&gt;"","4mB","")</f>
        <v/>
      </c>
      <c r="B2138" s="82">
        <f>IF('4mB'!B38&lt;&gt;"",'4mB'!B38,"")</f>
        <v/>
      </c>
      <c r="C2138" s="82">
        <f>IF('4mB'!B38&lt;&gt;"",'4mB'!C38,"")</f>
        <v/>
      </c>
      <c r="D2138" s="82">
        <f>IF('4mB'!B38&lt;&gt;"",'4mB'!D38,"")</f>
        <v/>
      </c>
      <c r="E2138" s="82">
        <f>IF('4mB'!B38&lt;&gt;"",'4mB'!E38,"")</f>
        <v/>
      </c>
      <c r="F2138" s="82">
        <f>IF('4mB'!B38&lt;&gt;"",'4mB'!F38,"")</f>
        <v/>
      </c>
      <c r="G2138" s="82">
        <f>IF('4mB'!B38&lt;&gt;"",'4mB'!G38,"")</f>
        <v/>
      </c>
      <c r="H2138" s="92">
        <f>IF('4mB'!B38&lt;&gt;"",'4mB'!H38,"")</f>
        <v/>
      </c>
      <c r="I2138" s="92">
        <f>IF('4mB'!B38&lt;&gt;"",'4mB'!I38,"")</f>
        <v/>
      </c>
      <c r="J2138" s="82">
        <f>IF('4mB'!B38&lt;&gt;"",'4mB'!J38,"")</f>
        <v/>
      </c>
    </row>
    <row r="2139" ht="15.75" customHeight="1" s="52">
      <c r="A2139" s="97">
        <f>IF('4mB'!B39&lt;&gt;"","4mB","")</f>
        <v/>
      </c>
      <c r="B2139" s="78">
        <f>IF('4mB'!B39&lt;&gt;"",'4mB'!B39,"")</f>
        <v/>
      </c>
      <c r="C2139" s="78">
        <f>IF('4mB'!B39&lt;&gt;"",'4mB'!C39,"")</f>
        <v/>
      </c>
      <c r="D2139" s="78">
        <f>IF('4mB'!B39&lt;&gt;"",'4mB'!D39,"")</f>
        <v/>
      </c>
      <c r="E2139" s="78">
        <f>IF('4mB'!B39&lt;&gt;"",'4mB'!E39,"")</f>
        <v/>
      </c>
      <c r="F2139" s="78">
        <f>IF('4mB'!B39&lt;&gt;"",'4mB'!F39,"")</f>
        <v/>
      </c>
      <c r="G2139" s="78">
        <f>IF('4mB'!B39&lt;&gt;"",'4mB'!G39,"")</f>
        <v/>
      </c>
      <c r="H2139" s="97">
        <f>IF('4mB'!B39&lt;&gt;"",'4mB'!H39,"")</f>
        <v/>
      </c>
      <c r="I2139" s="97">
        <f>IF('4mB'!B39&lt;&gt;"",'4mB'!I39,"")</f>
        <v/>
      </c>
      <c r="J2139" s="78">
        <f>IF('4mB'!B39&lt;&gt;"",'4mB'!J39,"")</f>
        <v/>
      </c>
    </row>
    <row r="2140" ht="15.75" customHeight="1" s="52">
      <c r="A2140" s="92">
        <f>IF('4mB'!B40&lt;&gt;"","4mB","")</f>
        <v/>
      </c>
      <c r="B2140" s="82">
        <f>IF('4mB'!B40&lt;&gt;"",'4mB'!B40,"")</f>
        <v/>
      </c>
      <c r="C2140" s="82">
        <f>IF('4mB'!B40&lt;&gt;"",'4mB'!C40,"")</f>
        <v/>
      </c>
      <c r="D2140" s="82">
        <f>IF('4mB'!B40&lt;&gt;"",'4mB'!D40,"")</f>
        <v/>
      </c>
      <c r="E2140" s="82">
        <f>IF('4mB'!B40&lt;&gt;"",'4mB'!E40,"")</f>
        <v/>
      </c>
      <c r="F2140" s="82">
        <f>IF('4mB'!B40&lt;&gt;"",'4mB'!F40,"")</f>
        <v/>
      </c>
      <c r="G2140" s="82">
        <f>IF('4mB'!B40&lt;&gt;"",'4mB'!G40,"")</f>
        <v/>
      </c>
      <c r="H2140" s="92">
        <f>IF('4mB'!B40&lt;&gt;"",'4mB'!H40,"")</f>
        <v/>
      </c>
      <c r="I2140" s="92">
        <f>IF('4mB'!B40&lt;&gt;"",'4mB'!I40,"")</f>
        <v/>
      </c>
      <c r="J2140" s="82">
        <f>IF('4mB'!B40&lt;&gt;"",'4mB'!J40,"")</f>
        <v/>
      </c>
    </row>
    <row r="2141" ht="15.75" customHeight="1" s="52">
      <c r="A2141" s="97">
        <f>IF('4mB'!B41&lt;&gt;"","4mB","")</f>
        <v/>
      </c>
      <c r="B2141" s="78">
        <f>IF('4mB'!B41&lt;&gt;"",'4mB'!B41,"")</f>
        <v/>
      </c>
      <c r="C2141" s="78">
        <f>IF('4mB'!B41&lt;&gt;"",'4mB'!C41,"")</f>
        <v/>
      </c>
      <c r="D2141" s="78">
        <f>IF('4mB'!B41&lt;&gt;"",'4mB'!D41,"")</f>
        <v/>
      </c>
      <c r="E2141" s="78">
        <f>IF('4mB'!B41&lt;&gt;"",'4mB'!E41,"")</f>
        <v/>
      </c>
      <c r="F2141" s="78">
        <f>IF('4mB'!B41&lt;&gt;"",'4mB'!F41,"")</f>
        <v/>
      </c>
      <c r="G2141" s="78">
        <f>IF('4mB'!B41&lt;&gt;"",'4mB'!G41,"")</f>
        <v/>
      </c>
      <c r="H2141" s="97">
        <f>IF('4mB'!B41&lt;&gt;"",'4mB'!H41,"")</f>
        <v/>
      </c>
      <c r="I2141" s="97">
        <f>IF('4mB'!B41&lt;&gt;"",'4mB'!I41,"")</f>
        <v/>
      </c>
      <c r="J2141" s="78">
        <f>IF('4mB'!B41&lt;&gt;"",'4mB'!J41,"")</f>
        <v/>
      </c>
    </row>
    <row r="2142" ht="15.75" customHeight="1" s="52">
      <c r="A2142" s="92">
        <f>IF('4mB'!B42&lt;&gt;"","4mB","")</f>
        <v/>
      </c>
      <c r="B2142" s="82">
        <f>IF('4mB'!B42&lt;&gt;"",'4mB'!B42,"")</f>
        <v/>
      </c>
      <c r="C2142" s="82">
        <f>IF('4mB'!B42&lt;&gt;"",'4mB'!C42,"")</f>
        <v/>
      </c>
      <c r="D2142" s="82">
        <f>IF('4mB'!B42&lt;&gt;"",'4mB'!D42,"")</f>
        <v/>
      </c>
      <c r="E2142" s="82">
        <f>IF('4mB'!B42&lt;&gt;"",'4mB'!E42,"")</f>
        <v/>
      </c>
      <c r="F2142" s="82">
        <f>IF('4mB'!B42&lt;&gt;"",'4mB'!F42,"")</f>
        <v/>
      </c>
      <c r="G2142" s="82">
        <f>IF('4mB'!B42&lt;&gt;"",'4mB'!G42,"")</f>
        <v/>
      </c>
      <c r="H2142" s="92">
        <f>IF('4mB'!B42&lt;&gt;"",'4mB'!H42,"")</f>
        <v/>
      </c>
      <c r="I2142" s="92">
        <f>IF('4mB'!B42&lt;&gt;"",'4mB'!I42,"")</f>
        <v/>
      </c>
      <c r="J2142" s="82">
        <f>IF('4mB'!B42&lt;&gt;"",'4mB'!J42,"")</f>
        <v/>
      </c>
    </row>
    <row r="2143" ht="15.75" customHeight="1" s="52">
      <c r="A2143" s="97">
        <f>IF('4mB'!B43&lt;&gt;"","4mB","")</f>
        <v/>
      </c>
      <c r="B2143" s="78">
        <f>IF('4mB'!B43&lt;&gt;"",'4mB'!B43,"")</f>
        <v/>
      </c>
      <c r="C2143" s="78">
        <f>IF('4mB'!B43&lt;&gt;"",'4mB'!C43,"")</f>
        <v/>
      </c>
      <c r="D2143" s="78">
        <f>IF('4mB'!B43&lt;&gt;"",'4mB'!D43,"")</f>
        <v/>
      </c>
      <c r="E2143" s="78">
        <f>IF('4mB'!B43&lt;&gt;"",'4mB'!E43,"")</f>
        <v/>
      </c>
      <c r="F2143" s="78">
        <f>IF('4mB'!B43&lt;&gt;"",'4mB'!F43,"")</f>
        <v/>
      </c>
      <c r="G2143" s="78">
        <f>IF('4mB'!B43&lt;&gt;"",'4mB'!G43,"")</f>
        <v/>
      </c>
      <c r="H2143" s="97">
        <f>IF('4mB'!B43&lt;&gt;"",'4mB'!H43,"")</f>
        <v/>
      </c>
      <c r="I2143" s="97">
        <f>IF('4mB'!B43&lt;&gt;"",'4mB'!I43,"")</f>
        <v/>
      </c>
      <c r="J2143" s="78">
        <f>IF('4mB'!B43&lt;&gt;"",'4mB'!J43,"")</f>
        <v/>
      </c>
    </row>
    <row r="2144" ht="15.75" customHeight="1" s="52">
      <c r="A2144" s="92">
        <f>IF('4mB'!B44&lt;&gt;"","4mB","")</f>
        <v/>
      </c>
      <c r="B2144" s="82">
        <f>IF('4mB'!B44&lt;&gt;"",'4mB'!B44,"")</f>
        <v/>
      </c>
      <c r="C2144" s="82">
        <f>IF('4mB'!B44&lt;&gt;"",'4mB'!C44,"")</f>
        <v/>
      </c>
      <c r="D2144" s="82">
        <f>IF('4mB'!B44&lt;&gt;"",'4mB'!D44,"")</f>
        <v/>
      </c>
      <c r="E2144" s="82">
        <f>IF('4mB'!B44&lt;&gt;"",'4mB'!E44,"")</f>
        <v/>
      </c>
      <c r="F2144" s="82">
        <f>IF('4mB'!B44&lt;&gt;"",'4mB'!F44,"")</f>
        <v/>
      </c>
      <c r="G2144" s="82">
        <f>IF('4mB'!B44&lt;&gt;"",'4mB'!G44,"")</f>
        <v/>
      </c>
      <c r="H2144" s="92">
        <f>IF('4mB'!B44&lt;&gt;"",'4mB'!H44,"")</f>
        <v/>
      </c>
      <c r="I2144" s="92">
        <f>IF('4mB'!B44&lt;&gt;"",'4mB'!I44,"")</f>
        <v/>
      </c>
      <c r="J2144" s="82">
        <f>IF('4mB'!B44&lt;&gt;"",'4mB'!J44,"")</f>
        <v/>
      </c>
    </row>
    <row r="2145" ht="15.75" customHeight="1" s="52">
      <c r="A2145" s="97">
        <f>IF('4mB'!B45&lt;&gt;"","4mB","")</f>
        <v/>
      </c>
      <c r="B2145" s="78">
        <f>IF('4mB'!B45&lt;&gt;"",'4mB'!B45,"")</f>
        <v/>
      </c>
      <c r="C2145" s="78">
        <f>IF('4mB'!B45&lt;&gt;"",'4mB'!C45,"")</f>
        <v/>
      </c>
      <c r="D2145" s="78">
        <f>IF('4mB'!B45&lt;&gt;"",'4mB'!D45,"")</f>
        <v/>
      </c>
      <c r="E2145" s="78">
        <f>IF('4mB'!B45&lt;&gt;"",'4mB'!E45,"")</f>
        <v/>
      </c>
      <c r="F2145" s="78">
        <f>IF('4mB'!B45&lt;&gt;"",'4mB'!F45,"")</f>
        <v/>
      </c>
      <c r="G2145" s="78">
        <f>IF('4mB'!B45&lt;&gt;"",'4mB'!G45,"")</f>
        <v/>
      </c>
      <c r="H2145" s="97">
        <f>IF('4mB'!B45&lt;&gt;"",'4mB'!H45,"")</f>
        <v/>
      </c>
      <c r="I2145" s="97">
        <f>IF('4mB'!B45&lt;&gt;"",'4mB'!I45,"")</f>
        <v/>
      </c>
      <c r="J2145" s="78">
        <f>IF('4mB'!B45&lt;&gt;"",'4mB'!J45,"")</f>
        <v/>
      </c>
    </row>
    <row r="2146" ht="15.75" customHeight="1" s="52">
      <c r="A2146" s="92">
        <f>IF('4mB'!B46&lt;&gt;"","4mB","")</f>
        <v/>
      </c>
      <c r="B2146" s="82">
        <f>IF('4mB'!B46&lt;&gt;"",'4mB'!B46,"")</f>
        <v/>
      </c>
      <c r="C2146" s="82">
        <f>IF('4mB'!B46&lt;&gt;"",'4mB'!C46,"")</f>
        <v/>
      </c>
      <c r="D2146" s="82">
        <f>IF('4mB'!B46&lt;&gt;"",'4mB'!D46,"")</f>
        <v/>
      </c>
      <c r="E2146" s="82">
        <f>IF('4mB'!B46&lt;&gt;"",'4mB'!E46,"")</f>
        <v/>
      </c>
      <c r="F2146" s="82">
        <f>IF('4mB'!B46&lt;&gt;"",'4mB'!F46,"")</f>
        <v/>
      </c>
      <c r="G2146" s="82">
        <f>IF('4mB'!B46&lt;&gt;"",'4mB'!G46,"")</f>
        <v/>
      </c>
      <c r="H2146" s="92">
        <f>IF('4mB'!B46&lt;&gt;"",'4mB'!H46,"")</f>
        <v/>
      </c>
      <c r="I2146" s="92">
        <f>IF('4mB'!B46&lt;&gt;"",'4mB'!I46,"")</f>
        <v/>
      </c>
      <c r="J2146" s="82">
        <f>IF('4mB'!B46&lt;&gt;"",'4mB'!J46,"")</f>
        <v/>
      </c>
    </row>
    <row r="2147" ht="15.75" customHeight="1" s="52">
      <c r="A2147" s="97">
        <f>IF('4mB'!B47&lt;&gt;"","4mB","")</f>
        <v/>
      </c>
      <c r="B2147" s="78">
        <f>IF('4mB'!B47&lt;&gt;"",'4mB'!B47,"")</f>
        <v/>
      </c>
      <c r="C2147" s="78">
        <f>IF('4mB'!B47&lt;&gt;"",'4mB'!C47,"")</f>
        <v/>
      </c>
      <c r="D2147" s="78">
        <f>IF('4mB'!B47&lt;&gt;"",'4mB'!D47,"")</f>
        <v/>
      </c>
      <c r="E2147" s="78">
        <f>IF('4mB'!B47&lt;&gt;"",'4mB'!E47,"")</f>
        <v/>
      </c>
      <c r="F2147" s="78">
        <f>IF('4mB'!B47&lt;&gt;"",'4mB'!F47,"")</f>
        <v/>
      </c>
      <c r="G2147" s="78">
        <f>IF('4mB'!B47&lt;&gt;"",'4mB'!G47,"")</f>
        <v/>
      </c>
      <c r="H2147" s="97">
        <f>IF('4mB'!B47&lt;&gt;"",'4mB'!H47,"")</f>
        <v/>
      </c>
      <c r="I2147" s="97">
        <f>IF('4mB'!B47&lt;&gt;"",'4mB'!I47,"")</f>
        <v/>
      </c>
      <c r="J2147" s="78">
        <f>IF('4mB'!B47&lt;&gt;"",'4mB'!J47,"")</f>
        <v/>
      </c>
    </row>
    <row r="2148" ht="15.75" customHeight="1" s="52">
      <c r="A2148" s="92">
        <f>IF('4mB'!B48&lt;&gt;"","4mB","")</f>
        <v/>
      </c>
      <c r="B2148" s="82">
        <f>IF('4mB'!B48&lt;&gt;"",'4mB'!B48,"")</f>
        <v/>
      </c>
      <c r="C2148" s="82">
        <f>IF('4mB'!B48&lt;&gt;"",'4mB'!C48,"")</f>
        <v/>
      </c>
      <c r="D2148" s="82">
        <f>IF('4mB'!B48&lt;&gt;"",'4mB'!D48,"")</f>
        <v/>
      </c>
      <c r="E2148" s="82">
        <f>IF('4mB'!B48&lt;&gt;"",'4mB'!E48,"")</f>
        <v/>
      </c>
      <c r="F2148" s="82">
        <f>IF('4mB'!B48&lt;&gt;"",'4mB'!F48,"")</f>
        <v/>
      </c>
      <c r="G2148" s="82">
        <f>IF('4mB'!B48&lt;&gt;"",'4mB'!G48,"")</f>
        <v/>
      </c>
      <c r="H2148" s="92">
        <f>IF('4mB'!B48&lt;&gt;"",'4mB'!H48,"")</f>
        <v/>
      </c>
      <c r="I2148" s="92">
        <f>IF('4mB'!B48&lt;&gt;"",'4mB'!I48,"")</f>
        <v/>
      </c>
      <c r="J2148" s="82">
        <f>IF('4mB'!B48&lt;&gt;"",'4mB'!J48,"")</f>
        <v/>
      </c>
    </row>
    <row r="2149" ht="15.75" customHeight="1" s="52">
      <c r="A2149" s="97">
        <f>IF('4mB'!B49&lt;&gt;"","4mB","")</f>
        <v/>
      </c>
      <c r="B2149" s="78">
        <f>IF('4mB'!B49&lt;&gt;"",'4mB'!B49,"")</f>
        <v/>
      </c>
      <c r="C2149" s="78">
        <f>IF('4mB'!B49&lt;&gt;"",'4mB'!C49,"")</f>
        <v/>
      </c>
      <c r="D2149" s="78">
        <f>IF('4mB'!B49&lt;&gt;"",'4mB'!D49,"")</f>
        <v/>
      </c>
      <c r="E2149" s="78">
        <f>IF('4mB'!B49&lt;&gt;"",'4mB'!E49,"")</f>
        <v/>
      </c>
      <c r="F2149" s="78">
        <f>IF('4mB'!B49&lt;&gt;"",'4mB'!F49,"")</f>
        <v/>
      </c>
      <c r="G2149" s="78">
        <f>IF('4mB'!B49&lt;&gt;"",'4mB'!G49,"")</f>
        <v/>
      </c>
      <c r="H2149" s="97">
        <f>IF('4mB'!B49&lt;&gt;"",'4mB'!H49,"")</f>
        <v/>
      </c>
      <c r="I2149" s="97">
        <f>IF('4mB'!B49&lt;&gt;"",'4mB'!I49,"")</f>
        <v/>
      </c>
      <c r="J2149" s="78">
        <f>IF('4mB'!B49&lt;&gt;"",'4mB'!J49,"")</f>
        <v/>
      </c>
    </row>
    <row r="2150" ht="15.75" customHeight="1" s="52">
      <c r="A2150" s="92">
        <f>IF('4mB'!B50&lt;&gt;"","4mB","")</f>
        <v/>
      </c>
      <c r="B2150" s="82">
        <f>IF('4mB'!B50&lt;&gt;"",'4mB'!B50,"")</f>
        <v/>
      </c>
      <c r="C2150" s="82">
        <f>IF('4mB'!B50&lt;&gt;"",'4mB'!C50,"")</f>
        <v/>
      </c>
      <c r="D2150" s="82">
        <f>IF('4mB'!B50&lt;&gt;"",'4mB'!D50,"")</f>
        <v/>
      </c>
      <c r="E2150" s="82">
        <f>IF('4mB'!B50&lt;&gt;"",'4mB'!E50,"")</f>
        <v/>
      </c>
      <c r="F2150" s="82">
        <f>IF('4mB'!B50&lt;&gt;"",'4mB'!F50,"")</f>
        <v/>
      </c>
      <c r="G2150" s="82">
        <f>IF('4mB'!B50&lt;&gt;"",'4mB'!G50,"")</f>
        <v/>
      </c>
      <c r="H2150" s="92">
        <f>IF('4mB'!B50&lt;&gt;"",'4mB'!H50,"")</f>
        <v/>
      </c>
      <c r="I2150" s="92">
        <f>IF('4mB'!B50&lt;&gt;"",'4mB'!I50,"")</f>
        <v/>
      </c>
      <c r="J2150" s="82">
        <f>IF('4mB'!B50&lt;&gt;"",'4mB'!J50,"")</f>
        <v/>
      </c>
    </row>
    <row r="2151" ht="15.75" customHeight="1" s="52">
      <c r="A2151" s="97">
        <f>IF('4mB'!B51&lt;&gt;"","4mB","")</f>
        <v/>
      </c>
      <c r="B2151" s="78">
        <f>IF('4mB'!B51&lt;&gt;"",'4mB'!B51,"")</f>
        <v/>
      </c>
      <c r="C2151" s="78">
        <f>IF('4mB'!B51&lt;&gt;"",'4mB'!C51,"")</f>
        <v/>
      </c>
      <c r="D2151" s="78">
        <f>IF('4mB'!B51&lt;&gt;"",'4mB'!D51,"")</f>
        <v/>
      </c>
      <c r="E2151" s="78">
        <f>IF('4mB'!B51&lt;&gt;"",'4mB'!E51,"")</f>
        <v/>
      </c>
      <c r="F2151" s="78">
        <f>IF('4mB'!B51&lt;&gt;"",'4mB'!F51,"")</f>
        <v/>
      </c>
      <c r="G2151" s="78">
        <f>IF('4mB'!B51&lt;&gt;"",'4mB'!G51,"")</f>
        <v/>
      </c>
      <c r="H2151" s="97">
        <f>IF('4mB'!B51&lt;&gt;"",'4mB'!H51,"")</f>
        <v/>
      </c>
      <c r="I2151" s="97">
        <f>IF('4mB'!B51&lt;&gt;"",'4mB'!I51,"")</f>
        <v/>
      </c>
      <c r="J2151" s="78">
        <f>IF('4mB'!B51&lt;&gt;"",'4mB'!J51,"")</f>
        <v/>
      </c>
    </row>
    <row r="2152" ht="15.75" customHeight="1" s="52">
      <c r="A2152" s="92">
        <f>IF('4mB'!B52&lt;&gt;"","4mB","")</f>
        <v/>
      </c>
      <c r="B2152" s="82">
        <f>IF('4mB'!B52&lt;&gt;"",'4mB'!B52,"")</f>
        <v/>
      </c>
      <c r="C2152" s="82">
        <f>IF('4mB'!B52&lt;&gt;"",'4mB'!C52,"")</f>
        <v/>
      </c>
      <c r="D2152" s="82">
        <f>IF('4mB'!B52&lt;&gt;"",'4mB'!D52,"")</f>
        <v/>
      </c>
      <c r="E2152" s="82">
        <f>IF('4mB'!B52&lt;&gt;"",'4mB'!E52,"")</f>
        <v/>
      </c>
      <c r="F2152" s="82">
        <f>IF('4mB'!B52&lt;&gt;"",'4mB'!F52,"")</f>
        <v/>
      </c>
      <c r="G2152" s="82">
        <f>IF('4mB'!B52&lt;&gt;"",'4mB'!G52,"")</f>
        <v/>
      </c>
      <c r="H2152" s="92">
        <f>IF('4mB'!B52&lt;&gt;"",'4mB'!H52,"")</f>
        <v/>
      </c>
      <c r="I2152" s="92">
        <f>IF('4mB'!B52&lt;&gt;"",'4mB'!I52,"")</f>
        <v/>
      </c>
      <c r="J2152" s="82">
        <f>IF('4mB'!B52&lt;&gt;"",'4mB'!J52,"")</f>
        <v/>
      </c>
    </row>
    <row r="2153" ht="15.75" customHeight="1" s="52">
      <c r="A2153" s="97">
        <f>IF('4mB'!B53&lt;&gt;"","4mB","")</f>
        <v/>
      </c>
      <c r="B2153" s="78">
        <f>IF('4mB'!B53&lt;&gt;"",'4mB'!B53,"")</f>
        <v/>
      </c>
      <c r="C2153" s="78">
        <f>IF('4mB'!B53&lt;&gt;"",'4mB'!C53,"")</f>
        <v/>
      </c>
      <c r="D2153" s="78">
        <f>IF('4mB'!B53&lt;&gt;"",'4mB'!D53,"")</f>
        <v/>
      </c>
      <c r="E2153" s="78">
        <f>IF('4mB'!B53&lt;&gt;"",'4mB'!E53,"")</f>
        <v/>
      </c>
      <c r="F2153" s="78">
        <f>IF('4mB'!B53&lt;&gt;"",'4mB'!F53,"")</f>
        <v/>
      </c>
      <c r="G2153" s="78">
        <f>IF('4mB'!B53&lt;&gt;"",'4mB'!G53,"")</f>
        <v/>
      </c>
      <c r="H2153" s="97">
        <f>IF('4mB'!B53&lt;&gt;"",'4mB'!H53,"")</f>
        <v/>
      </c>
      <c r="I2153" s="97">
        <f>IF('4mB'!B53&lt;&gt;"",'4mB'!I53,"")</f>
        <v/>
      </c>
      <c r="J2153" s="78">
        <f>IF('4mB'!B53&lt;&gt;"",'4mB'!J53,"")</f>
        <v/>
      </c>
    </row>
    <row r="2154" ht="15.75" customHeight="1" s="52">
      <c r="A2154" s="92">
        <f>IF('4mB'!B54&lt;&gt;"","4mB","")</f>
        <v/>
      </c>
      <c r="B2154" s="82">
        <f>IF('4mB'!B54&lt;&gt;"",'4mB'!B54,"")</f>
        <v/>
      </c>
      <c r="C2154" s="82">
        <f>IF('4mB'!B54&lt;&gt;"",'4mB'!C54,"")</f>
        <v/>
      </c>
      <c r="D2154" s="82">
        <f>IF('4mB'!B54&lt;&gt;"",'4mB'!D54,"")</f>
        <v/>
      </c>
      <c r="E2154" s="82">
        <f>IF('4mB'!B54&lt;&gt;"",'4mB'!E54,"")</f>
        <v/>
      </c>
      <c r="F2154" s="82">
        <f>IF('4mB'!B54&lt;&gt;"",'4mB'!F54,"")</f>
        <v/>
      </c>
      <c r="G2154" s="82">
        <f>IF('4mB'!B54&lt;&gt;"",'4mB'!G54,"")</f>
        <v/>
      </c>
      <c r="H2154" s="92">
        <f>IF('4mB'!B54&lt;&gt;"",'4mB'!H54,"")</f>
        <v/>
      </c>
      <c r="I2154" s="92">
        <f>IF('4mB'!B54&lt;&gt;"",'4mB'!I54,"")</f>
        <v/>
      </c>
      <c r="J2154" s="82">
        <f>IF('4mB'!B54&lt;&gt;"",'4mB'!J54,"")</f>
        <v/>
      </c>
    </row>
    <row r="2155" ht="15.75" customHeight="1" s="52">
      <c r="A2155" s="97">
        <f>IF('4mC'!B5&lt;&gt;"","4mC","")</f>
        <v/>
      </c>
      <c r="B2155" s="78">
        <f>IF('4mC'!B5&lt;&gt;"",'4mC'!B5,"")</f>
        <v/>
      </c>
      <c r="C2155" s="78">
        <f>IF('4mC'!B5&lt;&gt;"",'4mC'!C5,"")</f>
        <v/>
      </c>
      <c r="D2155" s="78">
        <f>IF('4mC'!B5&lt;&gt;"",'4mC'!D5,"")</f>
        <v/>
      </c>
      <c r="E2155" s="78">
        <f>IF('4mC'!B5&lt;&gt;"",'4mC'!E5,"")</f>
        <v/>
      </c>
      <c r="F2155" s="78">
        <f>IF('4mC'!B5&lt;&gt;"",'4mC'!F5,"")</f>
        <v/>
      </c>
      <c r="G2155" s="78">
        <f>IF('4mC'!B5&lt;&gt;"",'4mC'!G5,"")</f>
        <v/>
      </c>
      <c r="H2155" s="97">
        <f>IF('4mC'!B5&lt;&gt;"",'4mC'!H5,"")</f>
        <v/>
      </c>
      <c r="I2155" s="97">
        <f>IF('4mC'!B5&lt;&gt;"",'4mC'!I5,"")</f>
        <v/>
      </c>
      <c r="J2155" s="78">
        <f>IF('4mC'!B5&lt;&gt;"",'4mC'!J5,"")</f>
        <v/>
      </c>
    </row>
    <row r="2156" ht="15.75" customHeight="1" s="52">
      <c r="A2156" s="92">
        <f>IF('4mC'!B6&lt;&gt;"","4mC","")</f>
        <v/>
      </c>
      <c r="B2156" s="82">
        <f>IF('4mC'!B6&lt;&gt;"",'4mC'!B6,"")</f>
        <v/>
      </c>
      <c r="C2156" s="82">
        <f>IF('4mC'!B6&lt;&gt;"",'4mC'!C6,"")</f>
        <v/>
      </c>
      <c r="D2156" s="82">
        <f>IF('4mC'!B6&lt;&gt;"",'4mC'!D6,"")</f>
        <v/>
      </c>
      <c r="E2156" s="82">
        <f>IF('4mC'!B6&lt;&gt;"",'4mC'!E6,"")</f>
        <v/>
      </c>
      <c r="F2156" s="82">
        <f>IF('4mC'!B6&lt;&gt;"",'4mC'!F6,"")</f>
        <v/>
      </c>
      <c r="G2156" s="82">
        <f>IF('4mC'!B6&lt;&gt;"",'4mC'!G6,"")</f>
        <v/>
      </c>
      <c r="H2156" s="92">
        <f>IF('4mC'!B6&lt;&gt;"",'4mC'!H6,"")</f>
        <v/>
      </c>
      <c r="I2156" s="92">
        <f>IF('4mC'!B6&lt;&gt;"",'4mC'!I6,"")</f>
        <v/>
      </c>
      <c r="J2156" s="82">
        <f>IF('4mC'!B6&lt;&gt;"",'4mC'!J6,"")</f>
        <v/>
      </c>
    </row>
    <row r="2157" ht="15.75" customHeight="1" s="52">
      <c r="A2157" s="97">
        <f>IF('4mC'!B7&lt;&gt;"","4mC","")</f>
        <v/>
      </c>
      <c r="B2157" s="78">
        <f>IF('4mC'!B7&lt;&gt;"",'4mC'!B7,"")</f>
        <v/>
      </c>
      <c r="C2157" s="78">
        <f>IF('4mC'!B7&lt;&gt;"",'4mC'!C7,"")</f>
        <v/>
      </c>
      <c r="D2157" s="78">
        <f>IF('4mC'!B7&lt;&gt;"",'4mC'!D7,"")</f>
        <v/>
      </c>
      <c r="E2157" s="78">
        <f>IF('4mC'!B7&lt;&gt;"",'4mC'!E7,"")</f>
        <v/>
      </c>
      <c r="F2157" s="78">
        <f>IF('4mC'!B7&lt;&gt;"",'4mC'!F7,"")</f>
        <v/>
      </c>
      <c r="G2157" s="78">
        <f>IF('4mC'!B7&lt;&gt;"",'4mC'!G7,"")</f>
        <v/>
      </c>
      <c r="H2157" s="97">
        <f>IF('4mC'!B7&lt;&gt;"",'4mC'!H7,"")</f>
        <v/>
      </c>
      <c r="I2157" s="97">
        <f>IF('4mC'!B7&lt;&gt;"",'4mC'!I7,"")</f>
        <v/>
      </c>
      <c r="J2157" s="78">
        <f>IF('4mC'!B7&lt;&gt;"",'4mC'!J7,"")</f>
        <v/>
      </c>
    </row>
    <row r="2158" ht="15.75" customHeight="1" s="52">
      <c r="A2158" s="92">
        <f>IF('4mC'!B8&lt;&gt;"","4mC","")</f>
        <v/>
      </c>
      <c r="B2158" s="82">
        <f>IF('4mC'!B8&lt;&gt;"",'4mC'!B8,"")</f>
        <v/>
      </c>
      <c r="C2158" s="82">
        <f>IF('4mC'!B8&lt;&gt;"",'4mC'!C8,"")</f>
        <v/>
      </c>
      <c r="D2158" s="82">
        <f>IF('4mC'!B8&lt;&gt;"",'4mC'!D8,"")</f>
        <v/>
      </c>
      <c r="E2158" s="82">
        <f>IF('4mC'!B8&lt;&gt;"",'4mC'!E8,"")</f>
        <v/>
      </c>
      <c r="F2158" s="82">
        <f>IF('4mC'!B8&lt;&gt;"",'4mC'!F8,"")</f>
        <v/>
      </c>
      <c r="G2158" s="82">
        <f>IF('4mC'!B8&lt;&gt;"",'4mC'!G8,"")</f>
        <v/>
      </c>
      <c r="H2158" s="92">
        <f>IF('4mC'!B8&lt;&gt;"",'4mC'!H8,"")</f>
        <v/>
      </c>
      <c r="I2158" s="92">
        <f>IF('4mC'!B8&lt;&gt;"",'4mC'!I8,"")</f>
        <v/>
      </c>
      <c r="J2158" s="82">
        <f>IF('4mC'!B8&lt;&gt;"",'4mC'!J8,"")</f>
        <v/>
      </c>
    </row>
    <row r="2159" ht="15.75" customHeight="1" s="52">
      <c r="A2159" s="97">
        <f>IF('4mC'!B9&lt;&gt;"","4mC","")</f>
        <v/>
      </c>
      <c r="B2159" s="78">
        <f>IF('4mC'!B9&lt;&gt;"",'4mC'!B9,"")</f>
        <v/>
      </c>
      <c r="C2159" s="78">
        <f>IF('4mC'!B9&lt;&gt;"",'4mC'!C9,"")</f>
        <v/>
      </c>
      <c r="D2159" s="78">
        <f>IF('4mC'!B9&lt;&gt;"",'4mC'!D9,"")</f>
        <v/>
      </c>
      <c r="E2159" s="78">
        <f>IF('4mC'!B9&lt;&gt;"",'4mC'!E9,"")</f>
        <v/>
      </c>
      <c r="F2159" s="78">
        <f>IF('4mC'!B9&lt;&gt;"",'4mC'!F9,"")</f>
        <v/>
      </c>
      <c r="G2159" s="78">
        <f>IF('4mC'!B9&lt;&gt;"",'4mC'!G9,"")</f>
        <v/>
      </c>
      <c r="H2159" s="97">
        <f>IF('4mC'!B9&lt;&gt;"",'4mC'!H9,"")</f>
        <v/>
      </c>
      <c r="I2159" s="97">
        <f>IF('4mC'!B9&lt;&gt;"",'4mC'!I9,"")</f>
        <v/>
      </c>
      <c r="J2159" s="78">
        <f>IF('4mC'!B9&lt;&gt;"",'4mC'!J9,"")</f>
        <v/>
      </c>
    </row>
    <row r="2160" ht="15.75" customHeight="1" s="52">
      <c r="A2160" s="92">
        <f>IF('4mC'!B10&lt;&gt;"","4mC","")</f>
        <v/>
      </c>
      <c r="B2160" s="82">
        <f>IF('4mC'!B10&lt;&gt;"",'4mC'!B10,"")</f>
        <v/>
      </c>
      <c r="C2160" s="82">
        <f>IF('4mC'!B10&lt;&gt;"",'4mC'!C10,"")</f>
        <v/>
      </c>
      <c r="D2160" s="82">
        <f>IF('4mC'!B10&lt;&gt;"",'4mC'!D10,"")</f>
        <v/>
      </c>
      <c r="E2160" s="82">
        <f>IF('4mC'!B10&lt;&gt;"",'4mC'!E10,"")</f>
        <v/>
      </c>
      <c r="F2160" s="82">
        <f>IF('4mC'!B10&lt;&gt;"",'4mC'!F10,"")</f>
        <v/>
      </c>
      <c r="G2160" s="82">
        <f>IF('4mC'!B10&lt;&gt;"",'4mC'!G10,"")</f>
        <v/>
      </c>
      <c r="H2160" s="92">
        <f>IF('4mC'!B10&lt;&gt;"",'4mC'!H10,"")</f>
        <v/>
      </c>
      <c r="I2160" s="92">
        <f>IF('4mC'!B10&lt;&gt;"",'4mC'!I10,"")</f>
        <v/>
      </c>
      <c r="J2160" s="82">
        <f>IF('4mC'!B10&lt;&gt;"",'4mC'!J10,"")</f>
        <v/>
      </c>
    </row>
    <row r="2161" ht="15.75" customHeight="1" s="52">
      <c r="A2161" s="97">
        <f>IF('4mC'!B11&lt;&gt;"","4mC","")</f>
        <v/>
      </c>
      <c r="B2161" s="78">
        <f>IF('4mC'!B11&lt;&gt;"",'4mC'!B11,"")</f>
        <v/>
      </c>
      <c r="C2161" s="78">
        <f>IF('4mC'!B11&lt;&gt;"",'4mC'!C11,"")</f>
        <v/>
      </c>
      <c r="D2161" s="78">
        <f>IF('4mC'!B11&lt;&gt;"",'4mC'!D11,"")</f>
        <v/>
      </c>
      <c r="E2161" s="78">
        <f>IF('4mC'!B11&lt;&gt;"",'4mC'!E11,"")</f>
        <v/>
      </c>
      <c r="F2161" s="78">
        <f>IF('4mC'!B11&lt;&gt;"",'4mC'!F11,"")</f>
        <v/>
      </c>
      <c r="G2161" s="78">
        <f>IF('4mC'!B11&lt;&gt;"",'4mC'!G11,"")</f>
        <v/>
      </c>
      <c r="H2161" s="97">
        <f>IF('4mC'!B11&lt;&gt;"",'4mC'!H11,"")</f>
        <v/>
      </c>
      <c r="I2161" s="97">
        <f>IF('4mC'!B11&lt;&gt;"",'4mC'!I11,"")</f>
        <v/>
      </c>
      <c r="J2161" s="78">
        <f>IF('4mC'!B11&lt;&gt;"",'4mC'!J11,"")</f>
        <v/>
      </c>
    </row>
    <row r="2162" ht="15.75" customHeight="1" s="52">
      <c r="A2162" s="92">
        <f>IF('4mC'!B12&lt;&gt;"","4mC","")</f>
        <v/>
      </c>
      <c r="B2162" s="82">
        <f>IF('4mC'!B12&lt;&gt;"",'4mC'!B12,"")</f>
        <v/>
      </c>
      <c r="C2162" s="82">
        <f>IF('4mC'!B12&lt;&gt;"",'4mC'!C12,"")</f>
        <v/>
      </c>
      <c r="D2162" s="82">
        <f>IF('4mC'!B12&lt;&gt;"",'4mC'!D12,"")</f>
        <v/>
      </c>
      <c r="E2162" s="82">
        <f>IF('4mC'!B12&lt;&gt;"",'4mC'!E12,"")</f>
        <v/>
      </c>
      <c r="F2162" s="82">
        <f>IF('4mC'!B12&lt;&gt;"",'4mC'!F12,"")</f>
        <v/>
      </c>
      <c r="G2162" s="82">
        <f>IF('4mC'!B12&lt;&gt;"",'4mC'!G12,"")</f>
        <v/>
      </c>
      <c r="H2162" s="92">
        <f>IF('4mC'!B12&lt;&gt;"",'4mC'!H12,"")</f>
        <v/>
      </c>
      <c r="I2162" s="92">
        <f>IF('4mC'!B12&lt;&gt;"",'4mC'!I12,"")</f>
        <v/>
      </c>
      <c r="J2162" s="82">
        <f>IF('4mC'!B12&lt;&gt;"",'4mC'!J12,"")</f>
        <v/>
      </c>
    </row>
    <row r="2163" ht="15.75" customHeight="1" s="52">
      <c r="A2163" s="97">
        <f>IF('4mC'!B13&lt;&gt;"","4mC","")</f>
        <v/>
      </c>
      <c r="B2163" s="78">
        <f>IF('4mC'!B13&lt;&gt;"",'4mC'!B13,"")</f>
        <v/>
      </c>
      <c r="C2163" s="78">
        <f>IF('4mC'!B13&lt;&gt;"",'4mC'!C13,"")</f>
        <v/>
      </c>
      <c r="D2163" s="78">
        <f>IF('4mC'!B13&lt;&gt;"",'4mC'!D13,"")</f>
        <v/>
      </c>
      <c r="E2163" s="78">
        <f>IF('4mC'!B13&lt;&gt;"",'4mC'!E13,"")</f>
        <v/>
      </c>
      <c r="F2163" s="78">
        <f>IF('4mC'!B13&lt;&gt;"",'4mC'!F13,"")</f>
        <v/>
      </c>
      <c r="G2163" s="78">
        <f>IF('4mC'!B13&lt;&gt;"",'4mC'!G13,"")</f>
        <v/>
      </c>
      <c r="H2163" s="97">
        <f>IF('4mC'!B13&lt;&gt;"",'4mC'!H13,"")</f>
        <v/>
      </c>
      <c r="I2163" s="97">
        <f>IF('4mC'!B13&lt;&gt;"",'4mC'!I13,"")</f>
        <v/>
      </c>
      <c r="J2163" s="78">
        <f>IF('4mC'!B13&lt;&gt;"",'4mC'!J13,"")</f>
        <v/>
      </c>
    </row>
    <row r="2164" ht="15.75" customHeight="1" s="52">
      <c r="A2164" s="92">
        <f>IF('4mC'!B14&lt;&gt;"","4mC","")</f>
        <v/>
      </c>
      <c r="B2164" s="82">
        <f>IF('4mC'!B14&lt;&gt;"",'4mC'!B14,"")</f>
        <v/>
      </c>
      <c r="C2164" s="82">
        <f>IF('4mC'!B14&lt;&gt;"",'4mC'!C14,"")</f>
        <v/>
      </c>
      <c r="D2164" s="82">
        <f>IF('4mC'!B14&lt;&gt;"",'4mC'!D14,"")</f>
        <v/>
      </c>
      <c r="E2164" s="82">
        <f>IF('4mC'!B14&lt;&gt;"",'4mC'!E14,"")</f>
        <v/>
      </c>
      <c r="F2164" s="82">
        <f>IF('4mC'!B14&lt;&gt;"",'4mC'!F14,"")</f>
        <v/>
      </c>
      <c r="G2164" s="82">
        <f>IF('4mC'!B14&lt;&gt;"",'4mC'!G14,"")</f>
        <v/>
      </c>
      <c r="H2164" s="92">
        <f>IF('4mC'!B14&lt;&gt;"",'4mC'!H14,"")</f>
        <v/>
      </c>
      <c r="I2164" s="92">
        <f>IF('4mC'!B14&lt;&gt;"",'4mC'!I14,"")</f>
        <v/>
      </c>
      <c r="J2164" s="82">
        <f>IF('4mC'!B14&lt;&gt;"",'4mC'!J14,"")</f>
        <v/>
      </c>
    </row>
    <row r="2165" ht="15.75" customHeight="1" s="52">
      <c r="A2165" s="97">
        <f>IF('4mC'!B15&lt;&gt;"","4mC","")</f>
        <v/>
      </c>
      <c r="B2165" s="78">
        <f>IF('4mC'!B15&lt;&gt;"",'4mC'!B15,"")</f>
        <v/>
      </c>
      <c r="C2165" s="78">
        <f>IF('4mC'!B15&lt;&gt;"",'4mC'!C15,"")</f>
        <v/>
      </c>
      <c r="D2165" s="78">
        <f>IF('4mC'!B15&lt;&gt;"",'4mC'!D15,"")</f>
        <v/>
      </c>
      <c r="E2165" s="78">
        <f>IF('4mC'!B15&lt;&gt;"",'4mC'!E15,"")</f>
        <v/>
      </c>
      <c r="F2165" s="78">
        <f>IF('4mC'!B15&lt;&gt;"",'4mC'!F15,"")</f>
        <v/>
      </c>
      <c r="G2165" s="78">
        <f>IF('4mC'!B15&lt;&gt;"",'4mC'!G15,"")</f>
        <v/>
      </c>
      <c r="H2165" s="97">
        <f>IF('4mC'!B15&lt;&gt;"",'4mC'!H15,"")</f>
        <v/>
      </c>
      <c r="I2165" s="97">
        <f>IF('4mC'!B15&lt;&gt;"",'4mC'!I15,"")</f>
        <v/>
      </c>
      <c r="J2165" s="78">
        <f>IF('4mC'!B15&lt;&gt;"",'4mC'!J15,"")</f>
        <v/>
      </c>
    </row>
    <row r="2166" ht="15.75" customHeight="1" s="52">
      <c r="A2166" s="92">
        <f>IF('4mC'!B16&lt;&gt;"","4mC","")</f>
        <v/>
      </c>
      <c r="B2166" s="82">
        <f>IF('4mC'!B16&lt;&gt;"",'4mC'!B16,"")</f>
        <v/>
      </c>
      <c r="C2166" s="82">
        <f>IF('4mC'!B16&lt;&gt;"",'4mC'!C16,"")</f>
        <v/>
      </c>
      <c r="D2166" s="82">
        <f>IF('4mC'!B16&lt;&gt;"",'4mC'!D16,"")</f>
        <v/>
      </c>
      <c r="E2166" s="82">
        <f>IF('4mC'!B16&lt;&gt;"",'4mC'!E16,"")</f>
        <v/>
      </c>
      <c r="F2166" s="82">
        <f>IF('4mC'!B16&lt;&gt;"",'4mC'!F16,"")</f>
        <v/>
      </c>
      <c r="G2166" s="82">
        <f>IF('4mC'!B16&lt;&gt;"",'4mC'!G16,"")</f>
        <v/>
      </c>
      <c r="H2166" s="92">
        <f>IF('4mC'!B16&lt;&gt;"",'4mC'!H16,"")</f>
        <v/>
      </c>
      <c r="I2166" s="92">
        <f>IF('4mC'!B16&lt;&gt;"",'4mC'!I16,"")</f>
        <v/>
      </c>
      <c r="J2166" s="82">
        <f>IF('4mC'!B16&lt;&gt;"",'4mC'!J16,"")</f>
        <v/>
      </c>
    </row>
    <row r="2167" ht="15.75" customHeight="1" s="52">
      <c r="A2167" s="97">
        <f>IF('4mC'!B17&lt;&gt;"","4mC","")</f>
        <v/>
      </c>
      <c r="B2167" s="78">
        <f>IF('4mC'!B17&lt;&gt;"",'4mC'!B17,"")</f>
        <v/>
      </c>
      <c r="C2167" s="78">
        <f>IF('4mC'!B17&lt;&gt;"",'4mC'!C17,"")</f>
        <v/>
      </c>
      <c r="D2167" s="78">
        <f>IF('4mC'!B17&lt;&gt;"",'4mC'!D17,"")</f>
        <v/>
      </c>
      <c r="E2167" s="78">
        <f>IF('4mC'!B17&lt;&gt;"",'4mC'!E17,"")</f>
        <v/>
      </c>
      <c r="F2167" s="78">
        <f>IF('4mC'!B17&lt;&gt;"",'4mC'!F17,"")</f>
        <v/>
      </c>
      <c r="G2167" s="78">
        <f>IF('4mC'!B17&lt;&gt;"",'4mC'!G17,"")</f>
        <v/>
      </c>
      <c r="H2167" s="97">
        <f>IF('4mC'!B17&lt;&gt;"",'4mC'!H17,"")</f>
        <v/>
      </c>
      <c r="I2167" s="97">
        <f>IF('4mC'!B17&lt;&gt;"",'4mC'!I17,"")</f>
        <v/>
      </c>
      <c r="J2167" s="78">
        <f>IF('4mC'!B17&lt;&gt;"",'4mC'!J17,"")</f>
        <v/>
      </c>
    </row>
    <row r="2168" ht="15.75" customHeight="1" s="52">
      <c r="A2168" s="92">
        <f>IF('4mC'!B18&lt;&gt;"","4mC","")</f>
        <v/>
      </c>
      <c r="B2168" s="82">
        <f>IF('4mC'!B18&lt;&gt;"",'4mC'!B18,"")</f>
        <v/>
      </c>
      <c r="C2168" s="82">
        <f>IF('4mC'!B18&lt;&gt;"",'4mC'!C18,"")</f>
        <v/>
      </c>
      <c r="D2168" s="82">
        <f>IF('4mC'!B18&lt;&gt;"",'4mC'!D18,"")</f>
        <v/>
      </c>
      <c r="E2168" s="82">
        <f>IF('4mC'!B18&lt;&gt;"",'4mC'!E18,"")</f>
        <v/>
      </c>
      <c r="F2168" s="82">
        <f>IF('4mC'!B18&lt;&gt;"",'4mC'!F18,"")</f>
        <v/>
      </c>
      <c r="G2168" s="82">
        <f>IF('4mC'!B18&lt;&gt;"",'4mC'!G18,"")</f>
        <v/>
      </c>
      <c r="H2168" s="92">
        <f>IF('4mC'!B18&lt;&gt;"",'4mC'!H18,"")</f>
        <v/>
      </c>
      <c r="I2168" s="92">
        <f>IF('4mC'!B18&lt;&gt;"",'4mC'!I18,"")</f>
        <v/>
      </c>
      <c r="J2168" s="82">
        <f>IF('4mC'!B18&lt;&gt;"",'4mC'!J18,"")</f>
        <v/>
      </c>
    </row>
    <row r="2169" ht="15.75" customHeight="1" s="52">
      <c r="A2169" s="97">
        <f>IF('4mC'!B19&lt;&gt;"","4mC","")</f>
        <v/>
      </c>
      <c r="B2169" s="78">
        <f>IF('4mC'!B19&lt;&gt;"",'4mC'!B19,"")</f>
        <v/>
      </c>
      <c r="C2169" s="78">
        <f>IF('4mC'!B19&lt;&gt;"",'4mC'!C19,"")</f>
        <v/>
      </c>
      <c r="D2169" s="78">
        <f>IF('4mC'!B19&lt;&gt;"",'4mC'!D19,"")</f>
        <v/>
      </c>
      <c r="E2169" s="78">
        <f>IF('4mC'!B19&lt;&gt;"",'4mC'!E19,"")</f>
        <v/>
      </c>
      <c r="F2169" s="78">
        <f>IF('4mC'!B19&lt;&gt;"",'4mC'!F19,"")</f>
        <v/>
      </c>
      <c r="G2169" s="78">
        <f>IF('4mC'!B19&lt;&gt;"",'4mC'!G19,"")</f>
        <v/>
      </c>
      <c r="H2169" s="97">
        <f>IF('4mC'!B19&lt;&gt;"",'4mC'!H19,"")</f>
        <v/>
      </c>
      <c r="I2169" s="97">
        <f>IF('4mC'!B19&lt;&gt;"",'4mC'!I19,"")</f>
        <v/>
      </c>
      <c r="J2169" s="78">
        <f>IF('4mC'!B19&lt;&gt;"",'4mC'!J19,"")</f>
        <v/>
      </c>
    </row>
    <row r="2170" ht="15.75" customHeight="1" s="52">
      <c r="A2170" s="92">
        <f>IF('4mC'!B20&lt;&gt;"","4mC","")</f>
        <v/>
      </c>
      <c r="B2170" s="82">
        <f>IF('4mC'!B20&lt;&gt;"",'4mC'!B20,"")</f>
        <v/>
      </c>
      <c r="C2170" s="82">
        <f>IF('4mC'!B20&lt;&gt;"",'4mC'!C20,"")</f>
        <v/>
      </c>
      <c r="D2170" s="82">
        <f>IF('4mC'!B20&lt;&gt;"",'4mC'!D20,"")</f>
        <v/>
      </c>
      <c r="E2170" s="82">
        <f>IF('4mC'!B20&lt;&gt;"",'4mC'!E20,"")</f>
        <v/>
      </c>
      <c r="F2170" s="82">
        <f>IF('4mC'!B20&lt;&gt;"",'4mC'!F20,"")</f>
        <v/>
      </c>
      <c r="G2170" s="82">
        <f>IF('4mC'!B20&lt;&gt;"",'4mC'!G20,"")</f>
        <v/>
      </c>
      <c r="H2170" s="92">
        <f>IF('4mC'!B20&lt;&gt;"",'4mC'!H20,"")</f>
        <v/>
      </c>
      <c r="I2170" s="92">
        <f>IF('4mC'!B20&lt;&gt;"",'4mC'!I20,"")</f>
        <v/>
      </c>
      <c r="J2170" s="82">
        <f>IF('4mC'!B20&lt;&gt;"",'4mC'!J20,"")</f>
        <v/>
      </c>
    </row>
    <row r="2171" ht="15.75" customHeight="1" s="52">
      <c r="A2171" s="97">
        <f>IF('4mC'!B21&lt;&gt;"","4mC","")</f>
        <v/>
      </c>
      <c r="B2171" s="78">
        <f>IF('4mC'!B21&lt;&gt;"",'4mC'!B21,"")</f>
        <v/>
      </c>
      <c r="C2171" s="78">
        <f>IF('4mC'!B21&lt;&gt;"",'4mC'!C21,"")</f>
        <v/>
      </c>
      <c r="D2171" s="78">
        <f>IF('4mC'!B21&lt;&gt;"",'4mC'!D21,"")</f>
        <v/>
      </c>
      <c r="E2171" s="78">
        <f>IF('4mC'!B21&lt;&gt;"",'4mC'!E21,"")</f>
        <v/>
      </c>
      <c r="F2171" s="78">
        <f>IF('4mC'!B21&lt;&gt;"",'4mC'!F21,"")</f>
        <v/>
      </c>
      <c r="G2171" s="78">
        <f>IF('4mC'!B21&lt;&gt;"",'4mC'!G21,"")</f>
        <v/>
      </c>
      <c r="H2171" s="97">
        <f>IF('4mC'!B21&lt;&gt;"",'4mC'!H21,"")</f>
        <v/>
      </c>
      <c r="I2171" s="97">
        <f>IF('4mC'!B21&lt;&gt;"",'4mC'!I21,"")</f>
        <v/>
      </c>
      <c r="J2171" s="78">
        <f>IF('4mC'!B21&lt;&gt;"",'4mC'!J21,"")</f>
        <v/>
      </c>
    </row>
    <row r="2172" ht="15.75" customHeight="1" s="52">
      <c r="A2172" s="92">
        <f>IF('4mC'!B22&lt;&gt;"","4mC","")</f>
        <v/>
      </c>
      <c r="B2172" s="82">
        <f>IF('4mC'!B22&lt;&gt;"",'4mC'!B22,"")</f>
        <v/>
      </c>
      <c r="C2172" s="82">
        <f>IF('4mC'!B22&lt;&gt;"",'4mC'!C22,"")</f>
        <v/>
      </c>
      <c r="D2172" s="82">
        <f>IF('4mC'!B22&lt;&gt;"",'4mC'!D22,"")</f>
        <v/>
      </c>
      <c r="E2172" s="82">
        <f>IF('4mC'!B22&lt;&gt;"",'4mC'!E22,"")</f>
        <v/>
      </c>
      <c r="F2172" s="82">
        <f>IF('4mC'!B22&lt;&gt;"",'4mC'!F22,"")</f>
        <v/>
      </c>
      <c r="G2172" s="82">
        <f>IF('4mC'!B22&lt;&gt;"",'4mC'!G22,"")</f>
        <v/>
      </c>
      <c r="H2172" s="92">
        <f>IF('4mC'!B22&lt;&gt;"",'4mC'!H22,"")</f>
        <v/>
      </c>
      <c r="I2172" s="92">
        <f>IF('4mC'!B22&lt;&gt;"",'4mC'!I22,"")</f>
        <v/>
      </c>
      <c r="J2172" s="82">
        <f>IF('4mC'!B22&lt;&gt;"",'4mC'!J22,"")</f>
        <v/>
      </c>
    </row>
    <row r="2173" ht="15.75" customHeight="1" s="52">
      <c r="A2173" s="97">
        <f>IF('4mC'!B23&lt;&gt;"","4mC","")</f>
        <v/>
      </c>
      <c r="B2173" s="78">
        <f>IF('4mC'!B23&lt;&gt;"",'4mC'!B23,"")</f>
        <v/>
      </c>
      <c r="C2173" s="78">
        <f>IF('4mC'!B23&lt;&gt;"",'4mC'!C23,"")</f>
        <v/>
      </c>
      <c r="D2173" s="78">
        <f>IF('4mC'!B23&lt;&gt;"",'4mC'!D23,"")</f>
        <v/>
      </c>
      <c r="E2173" s="78">
        <f>IF('4mC'!B23&lt;&gt;"",'4mC'!E23,"")</f>
        <v/>
      </c>
      <c r="F2173" s="78">
        <f>IF('4mC'!B23&lt;&gt;"",'4mC'!F23,"")</f>
        <v/>
      </c>
      <c r="G2173" s="78">
        <f>IF('4mC'!B23&lt;&gt;"",'4mC'!G23,"")</f>
        <v/>
      </c>
      <c r="H2173" s="97">
        <f>IF('4mC'!B23&lt;&gt;"",'4mC'!H23,"")</f>
        <v/>
      </c>
      <c r="I2173" s="97">
        <f>IF('4mC'!B23&lt;&gt;"",'4mC'!I23,"")</f>
        <v/>
      </c>
      <c r="J2173" s="78">
        <f>IF('4mC'!B23&lt;&gt;"",'4mC'!J23,"")</f>
        <v/>
      </c>
    </row>
    <row r="2174" ht="15.75" customHeight="1" s="52">
      <c r="A2174" s="92">
        <f>IF('4mC'!B24&lt;&gt;"","4mC","")</f>
        <v/>
      </c>
      <c r="B2174" s="82">
        <f>IF('4mC'!B24&lt;&gt;"",'4mC'!B24,"")</f>
        <v/>
      </c>
      <c r="C2174" s="82">
        <f>IF('4mC'!B24&lt;&gt;"",'4mC'!C24,"")</f>
        <v/>
      </c>
      <c r="D2174" s="82">
        <f>IF('4mC'!B24&lt;&gt;"",'4mC'!D24,"")</f>
        <v/>
      </c>
      <c r="E2174" s="82">
        <f>IF('4mC'!B24&lt;&gt;"",'4mC'!E24,"")</f>
        <v/>
      </c>
      <c r="F2174" s="82">
        <f>IF('4mC'!B24&lt;&gt;"",'4mC'!F24,"")</f>
        <v/>
      </c>
      <c r="G2174" s="82">
        <f>IF('4mC'!B24&lt;&gt;"",'4mC'!G24,"")</f>
        <v/>
      </c>
      <c r="H2174" s="92">
        <f>IF('4mC'!B24&lt;&gt;"",'4mC'!H24,"")</f>
        <v/>
      </c>
      <c r="I2174" s="92">
        <f>IF('4mC'!B24&lt;&gt;"",'4mC'!I24,"")</f>
        <v/>
      </c>
      <c r="J2174" s="82">
        <f>IF('4mC'!B24&lt;&gt;"",'4mC'!J24,"")</f>
        <v/>
      </c>
    </row>
    <row r="2175" ht="15.75" customHeight="1" s="52">
      <c r="A2175" s="97">
        <f>IF('4mC'!B25&lt;&gt;"","4mC","")</f>
        <v/>
      </c>
      <c r="B2175" s="78">
        <f>IF('4mC'!B25&lt;&gt;"",'4mC'!B25,"")</f>
        <v/>
      </c>
      <c r="C2175" s="78">
        <f>IF('4mC'!B25&lt;&gt;"",'4mC'!C25,"")</f>
        <v/>
      </c>
      <c r="D2175" s="78">
        <f>IF('4mC'!B25&lt;&gt;"",'4mC'!D25,"")</f>
        <v/>
      </c>
      <c r="E2175" s="78">
        <f>IF('4mC'!B25&lt;&gt;"",'4mC'!E25,"")</f>
        <v/>
      </c>
      <c r="F2175" s="78">
        <f>IF('4mC'!B25&lt;&gt;"",'4mC'!F25,"")</f>
        <v/>
      </c>
      <c r="G2175" s="78">
        <f>IF('4mC'!B25&lt;&gt;"",'4mC'!G25,"")</f>
        <v/>
      </c>
      <c r="H2175" s="97">
        <f>IF('4mC'!B25&lt;&gt;"",'4mC'!H25,"")</f>
        <v/>
      </c>
      <c r="I2175" s="97">
        <f>IF('4mC'!B25&lt;&gt;"",'4mC'!I25,"")</f>
        <v/>
      </c>
      <c r="J2175" s="78">
        <f>IF('4mC'!B25&lt;&gt;"",'4mC'!J25,"")</f>
        <v/>
      </c>
    </row>
    <row r="2176" ht="15.75" customHeight="1" s="52">
      <c r="A2176" s="92">
        <f>IF('4mC'!B26&lt;&gt;"","4mC","")</f>
        <v/>
      </c>
      <c r="B2176" s="82">
        <f>IF('4mC'!B26&lt;&gt;"",'4mC'!B26,"")</f>
        <v/>
      </c>
      <c r="C2176" s="82">
        <f>IF('4mC'!B26&lt;&gt;"",'4mC'!C26,"")</f>
        <v/>
      </c>
      <c r="D2176" s="82">
        <f>IF('4mC'!B26&lt;&gt;"",'4mC'!D26,"")</f>
        <v/>
      </c>
      <c r="E2176" s="82">
        <f>IF('4mC'!B26&lt;&gt;"",'4mC'!E26,"")</f>
        <v/>
      </c>
      <c r="F2176" s="82">
        <f>IF('4mC'!B26&lt;&gt;"",'4mC'!F26,"")</f>
        <v/>
      </c>
      <c r="G2176" s="82">
        <f>IF('4mC'!B26&lt;&gt;"",'4mC'!G26,"")</f>
        <v/>
      </c>
      <c r="H2176" s="92">
        <f>IF('4mC'!B26&lt;&gt;"",'4mC'!H26,"")</f>
        <v/>
      </c>
      <c r="I2176" s="92">
        <f>IF('4mC'!B26&lt;&gt;"",'4mC'!I26,"")</f>
        <v/>
      </c>
      <c r="J2176" s="82">
        <f>IF('4mC'!B26&lt;&gt;"",'4mC'!J26,"")</f>
        <v/>
      </c>
    </row>
    <row r="2177" ht="15.75" customHeight="1" s="52">
      <c r="A2177" s="97">
        <f>IF('4mC'!B27&lt;&gt;"","4mC","")</f>
        <v/>
      </c>
      <c r="B2177" s="78">
        <f>IF('4mC'!B27&lt;&gt;"",'4mC'!B27,"")</f>
        <v/>
      </c>
      <c r="C2177" s="78">
        <f>IF('4mC'!B27&lt;&gt;"",'4mC'!C27,"")</f>
        <v/>
      </c>
      <c r="D2177" s="78">
        <f>IF('4mC'!B27&lt;&gt;"",'4mC'!D27,"")</f>
        <v/>
      </c>
      <c r="E2177" s="78">
        <f>IF('4mC'!B27&lt;&gt;"",'4mC'!E27,"")</f>
        <v/>
      </c>
      <c r="F2177" s="78">
        <f>IF('4mC'!B27&lt;&gt;"",'4mC'!F27,"")</f>
        <v/>
      </c>
      <c r="G2177" s="78">
        <f>IF('4mC'!B27&lt;&gt;"",'4mC'!G27,"")</f>
        <v/>
      </c>
      <c r="H2177" s="97">
        <f>IF('4mC'!B27&lt;&gt;"",'4mC'!H27,"")</f>
        <v/>
      </c>
      <c r="I2177" s="97">
        <f>IF('4mC'!B27&lt;&gt;"",'4mC'!I27,"")</f>
        <v/>
      </c>
      <c r="J2177" s="78">
        <f>IF('4mC'!B27&lt;&gt;"",'4mC'!J27,"")</f>
        <v/>
      </c>
    </row>
    <row r="2178" ht="15.75" customHeight="1" s="52">
      <c r="A2178" s="92">
        <f>IF('4mC'!B28&lt;&gt;"","4mC","")</f>
        <v/>
      </c>
      <c r="B2178" s="82">
        <f>IF('4mC'!B28&lt;&gt;"",'4mC'!B28,"")</f>
        <v/>
      </c>
      <c r="C2178" s="82">
        <f>IF('4mC'!B28&lt;&gt;"",'4mC'!C28,"")</f>
        <v/>
      </c>
      <c r="D2178" s="82">
        <f>IF('4mC'!B28&lt;&gt;"",'4mC'!D28,"")</f>
        <v/>
      </c>
      <c r="E2178" s="82">
        <f>IF('4mC'!B28&lt;&gt;"",'4mC'!E28,"")</f>
        <v/>
      </c>
      <c r="F2178" s="82">
        <f>IF('4mC'!B28&lt;&gt;"",'4mC'!F28,"")</f>
        <v/>
      </c>
      <c r="G2178" s="82">
        <f>IF('4mC'!B28&lt;&gt;"",'4mC'!G28,"")</f>
        <v/>
      </c>
      <c r="H2178" s="92">
        <f>IF('4mC'!B28&lt;&gt;"",'4mC'!H28,"")</f>
        <v/>
      </c>
      <c r="I2178" s="92">
        <f>IF('4mC'!B28&lt;&gt;"",'4mC'!I28,"")</f>
        <v/>
      </c>
      <c r="J2178" s="82">
        <f>IF('4mC'!B28&lt;&gt;"",'4mC'!J28,"")</f>
        <v/>
      </c>
    </row>
    <row r="2179" ht="15.75" customHeight="1" s="52">
      <c r="A2179" s="97">
        <f>IF('4mC'!B29&lt;&gt;"","4mC","")</f>
        <v/>
      </c>
      <c r="B2179" s="78">
        <f>IF('4mC'!B29&lt;&gt;"",'4mC'!B29,"")</f>
        <v/>
      </c>
      <c r="C2179" s="78">
        <f>IF('4mC'!B29&lt;&gt;"",'4mC'!C29,"")</f>
        <v/>
      </c>
      <c r="D2179" s="78">
        <f>IF('4mC'!B29&lt;&gt;"",'4mC'!D29,"")</f>
        <v/>
      </c>
      <c r="E2179" s="78">
        <f>IF('4mC'!B29&lt;&gt;"",'4mC'!E29,"")</f>
        <v/>
      </c>
      <c r="F2179" s="78">
        <f>IF('4mC'!B29&lt;&gt;"",'4mC'!F29,"")</f>
        <v/>
      </c>
      <c r="G2179" s="78">
        <f>IF('4mC'!B29&lt;&gt;"",'4mC'!G29,"")</f>
        <v/>
      </c>
      <c r="H2179" s="97">
        <f>IF('4mC'!B29&lt;&gt;"",'4mC'!H29,"")</f>
        <v/>
      </c>
      <c r="I2179" s="97">
        <f>IF('4mC'!B29&lt;&gt;"",'4mC'!I29,"")</f>
        <v/>
      </c>
      <c r="J2179" s="78">
        <f>IF('4mC'!B29&lt;&gt;"",'4mC'!J29,"")</f>
        <v/>
      </c>
    </row>
    <row r="2180" ht="15.75" customHeight="1" s="52">
      <c r="A2180" s="92">
        <f>IF('4mC'!B30&lt;&gt;"","4mC","")</f>
        <v/>
      </c>
      <c r="B2180" s="82">
        <f>IF('4mC'!B30&lt;&gt;"",'4mC'!B30,"")</f>
        <v/>
      </c>
      <c r="C2180" s="82">
        <f>IF('4mC'!B30&lt;&gt;"",'4mC'!C30,"")</f>
        <v/>
      </c>
      <c r="D2180" s="82">
        <f>IF('4mC'!B30&lt;&gt;"",'4mC'!D30,"")</f>
        <v/>
      </c>
      <c r="E2180" s="82">
        <f>IF('4mC'!B30&lt;&gt;"",'4mC'!E30,"")</f>
        <v/>
      </c>
      <c r="F2180" s="82">
        <f>IF('4mC'!B30&lt;&gt;"",'4mC'!F30,"")</f>
        <v/>
      </c>
      <c r="G2180" s="82">
        <f>IF('4mC'!B30&lt;&gt;"",'4mC'!G30,"")</f>
        <v/>
      </c>
      <c r="H2180" s="92">
        <f>IF('4mC'!B30&lt;&gt;"",'4mC'!H30,"")</f>
        <v/>
      </c>
      <c r="I2180" s="92">
        <f>IF('4mC'!B30&lt;&gt;"",'4mC'!I30,"")</f>
        <v/>
      </c>
      <c r="J2180" s="82">
        <f>IF('4mC'!B30&lt;&gt;"",'4mC'!J30,"")</f>
        <v/>
      </c>
    </row>
    <row r="2181" ht="15.75" customHeight="1" s="52">
      <c r="A2181" s="97">
        <f>IF('4mC'!B31&lt;&gt;"","4mC","")</f>
        <v/>
      </c>
      <c r="B2181" s="78">
        <f>IF('4mC'!B31&lt;&gt;"",'4mC'!B31,"")</f>
        <v/>
      </c>
      <c r="C2181" s="78">
        <f>IF('4mC'!B31&lt;&gt;"",'4mC'!C31,"")</f>
        <v/>
      </c>
      <c r="D2181" s="78">
        <f>IF('4mC'!B31&lt;&gt;"",'4mC'!D31,"")</f>
        <v/>
      </c>
      <c r="E2181" s="78">
        <f>IF('4mC'!B31&lt;&gt;"",'4mC'!E31,"")</f>
        <v/>
      </c>
      <c r="F2181" s="78">
        <f>IF('4mC'!B31&lt;&gt;"",'4mC'!F31,"")</f>
        <v/>
      </c>
      <c r="G2181" s="78">
        <f>IF('4mC'!B31&lt;&gt;"",'4mC'!G31,"")</f>
        <v/>
      </c>
      <c r="H2181" s="97">
        <f>IF('4mC'!B31&lt;&gt;"",'4mC'!H31,"")</f>
        <v/>
      </c>
      <c r="I2181" s="97">
        <f>IF('4mC'!B31&lt;&gt;"",'4mC'!I31,"")</f>
        <v/>
      </c>
      <c r="J2181" s="78">
        <f>IF('4mC'!B31&lt;&gt;"",'4mC'!J31,"")</f>
        <v/>
      </c>
    </row>
    <row r="2182" ht="15.75" customHeight="1" s="52">
      <c r="A2182" s="92">
        <f>IF('4mC'!B32&lt;&gt;"","4mC","")</f>
        <v/>
      </c>
      <c r="B2182" s="82">
        <f>IF('4mC'!B32&lt;&gt;"",'4mC'!B32,"")</f>
        <v/>
      </c>
      <c r="C2182" s="82">
        <f>IF('4mC'!B32&lt;&gt;"",'4mC'!C32,"")</f>
        <v/>
      </c>
      <c r="D2182" s="82">
        <f>IF('4mC'!B32&lt;&gt;"",'4mC'!D32,"")</f>
        <v/>
      </c>
      <c r="E2182" s="82">
        <f>IF('4mC'!B32&lt;&gt;"",'4mC'!E32,"")</f>
        <v/>
      </c>
      <c r="F2182" s="82">
        <f>IF('4mC'!B32&lt;&gt;"",'4mC'!F32,"")</f>
        <v/>
      </c>
      <c r="G2182" s="82">
        <f>IF('4mC'!B32&lt;&gt;"",'4mC'!G32,"")</f>
        <v/>
      </c>
      <c r="H2182" s="92">
        <f>IF('4mC'!B32&lt;&gt;"",'4mC'!H32,"")</f>
        <v/>
      </c>
      <c r="I2182" s="92">
        <f>IF('4mC'!B32&lt;&gt;"",'4mC'!I32,"")</f>
        <v/>
      </c>
      <c r="J2182" s="82">
        <f>IF('4mC'!B32&lt;&gt;"",'4mC'!J32,"")</f>
        <v/>
      </c>
    </row>
    <row r="2183" ht="15.75" customHeight="1" s="52">
      <c r="A2183" s="97">
        <f>IF('4mC'!B33&lt;&gt;"","4mC","")</f>
        <v/>
      </c>
      <c r="B2183" s="78">
        <f>IF('4mC'!B33&lt;&gt;"",'4mC'!B33,"")</f>
        <v/>
      </c>
      <c r="C2183" s="78">
        <f>IF('4mC'!B33&lt;&gt;"",'4mC'!C33,"")</f>
        <v/>
      </c>
      <c r="D2183" s="78">
        <f>IF('4mC'!B33&lt;&gt;"",'4mC'!D33,"")</f>
        <v/>
      </c>
      <c r="E2183" s="78">
        <f>IF('4mC'!B33&lt;&gt;"",'4mC'!E33,"")</f>
        <v/>
      </c>
      <c r="F2183" s="78">
        <f>IF('4mC'!B33&lt;&gt;"",'4mC'!F33,"")</f>
        <v/>
      </c>
      <c r="G2183" s="78">
        <f>IF('4mC'!B33&lt;&gt;"",'4mC'!G33,"")</f>
        <v/>
      </c>
      <c r="H2183" s="97">
        <f>IF('4mC'!B33&lt;&gt;"",'4mC'!H33,"")</f>
        <v/>
      </c>
      <c r="I2183" s="97">
        <f>IF('4mC'!B33&lt;&gt;"",'4mC'!I33,"")</f>
        <v/>
      </c>
      <c r="J2183" s="78">
        <f>IF('4mC'!B33&lt;&gt;"",'4mC'!J33,"")</f>
        <v/>
      </c>
    </row>
    <row r="2184" ht="15.75" customHeight="1" s="52">
      <c r="A2184" s="92">
        <f>IF('4mC'!B34&lt;&gt;"","4mC","")</f>
        <v/>
      </c>
      <c r="B2184" s="82">
        <f>IF('4mC'!B34&lt;&gt;"",'4mC'!B34,"")</f>
        <v/>
      </c>
      <c r="C2184" s="82">
        <f>IF('4mC'!B34&lt;&gt;"",'4mC'!C34,"")</f>
        <v/>
      </c>
      <c r="D2184" s="82">
        <f>IF('4mC'!B34&lt;&gt;"",'4mC'!D34,"")</f>
        <v/>
      </c>
      <c r="E2184" s="82">
        <f>IF('4mC'!B34&lt;&gt;"",'4mC'!E34,"")</f>
        <v/>
      </c>
      <c r="F2184" s="82">
        <f>IF('4mC'!B34&lt;&gt;"",'4mC'!F34,"")</f>
        <v/>
      </c>
      <c r="G2184" s="82">
        <f>IF('4mC'!B34&lt;&gt;"",'4mC'!G34,"")</f>
        <v/>
      </c>
      <c r="H2184" s="92">
        <f>IF('4mC'!B34&lt;&gt;"",'4mC'!H34,"")</f>
        <v/>
      </c>
      <c r="I2184" s="92">
        <f>IF('4mC'!B34&lt;&gt;"",'4mC'!I34,"")</f>
        <v/>
      </c>
      <c r="J2184" s="82">
        <f>IF('4mC'!B34&lt;&gt;"",'4mC'!J34,"")</f>
        <v/>
      </c>
    </row>
    <row r="2185" ht="15.75" customHeight="1" s="52">
      <c r="A2185" s="97">
        <f>IF('4mC'!B35&lt;&gt;"","4mC","")</f>
        <v/>
      </c>
      <c r="B2185" s="78">
        <f>IF('4mC'!B35&lt;&gt;"",'4mC'!B35,"")</f>
        <v/>
      </c>
      <c r="C2185" s="78">
        <f>IF('4mC'!B35&lt;&gt;"",'4mC'!C35,"")</f>
        <v/>
      </c>
      <c r="D2185" s="78">
        <f>IF('4mC'!B35&lt;&gt;"",'4mC'!D35,"")</f>
        <v/>
      </c>
      <c r="E2185" s="78">
        <f>IF('4mC'!B35&lt;&gt;"",'4mC'!E35,"")</f>
        <v/>
      </c>
      <c r="F2185" s="78">
        <f>IF('4mC'!B35&lt;&gt;"",'4mC'!F35,"")</f>
        <v/>
      </c>
      <c r="G2185" s="78">
        <f>IF('4mC'!B35&lt;&gt;"",'4mC'!G35,"")</f>
        <v/>
      </c>
      <c r="H2185" s="97">
        <f>IF('4mC'!B35&lt;&gt;"",'4mC'!H35,"")</f>
        <v/>
      </c>
      <c r="I2185" s="97">
        <f>IF('4mC'!B35&lt;&gt;"",'4mC'!I35,"")</f>
        <v/>
      </c>
      <c r="J2185" s="78">
        <f>IF('4mC'!B35&lt;&gt;"",'4mC'!J35,"")</f>
        <v/>
      </c>
    </row>
    <row r="2186" ht="15.75" customHeight="1" s="52">
      <c r="A2186" s="92">
        <f>IF('4mC'!B36&lt;&gt;"","4mC","")</f>
        <v/>
      </c>
      <c r="B2186" s="82">
        <f>IF('4mC'!B36&lt;&gt;"",'4mC'!B36,"")</f>
        <v/>
      </c>
      <c r="C2186" s="82">
        <f>IF('4mC'!B36&lt;&gt;"",'4mC'!C36,"")</f>
        <v/>
      </c>
      <c r="D2186" s="82">
        <f>IF('4mC'!B36&lt;&gt;"",'4mC'!D36,"")</f>
        <v/>
      </c>
      <c r="E2186" s="82">
        <f>IF('4mC'!B36&lt;&gt;"",'4mC'!E36,"")</f>
        <v/>
      </c>
      <c r="F2186" s="82">
        <f>IF('4mC'!B36&lt;&gt;"",'4mC'!F36,"")</f>
        <v/>
      </c>
      <c r="G2186" s="82">
        <f>IF('4mC'!B36&lt;&gt;"",'4mC'!G36,"")</f>
        <v/>
      </c>
      <c r="H2186" s="92">
        <f>IF('4mC'!B36&lt;&gt;"",'4mC'!H36,"")</f>
        <v/>
      </c>
      <c r="I2186" s="92">
        <f>IF('4mC'!B36&lt;&gt;"",'4mC'!I36,"")</f>
        <v/>
      </c>
      <c r="J2186" s="82">
        <f>IF('4mC'!B36&lt;&gt;"",'4mC'!J36,"")</f>
        <v/>
      </c>
    </row>
    <row r="2187" ht="15.75" customHeight="1" s="52">
      <c r="A2187" s="97">
        <f>IF('4mC'!B37&lt;&gt;"","4mC","")</f>
        <v/>
      </c>
      <c r="B2187" s="78">
        <f>IF('4mC'!B37&lt;&gt;"",'4mC'!B37,"")</f>
        <v/>
      </c>
      <c r="C2187" s="78">
        <f>IF('4mC'!B37&lt;&gt;"",'4mC'!C37,"")</f>
        <v/>
      </c>
      <c r="D2187" s="78">
        <f>IF('4mC'!B37&lt;&gt;"",'4mC'!D37,"")</f>
        <v/>
      </c>
      <c r="E2187" s="78">
        <f>IF('4mC'!B37&lt;&gt;"",'4mC'!E37,"")</f>
        <v/>
      </c>
      <c r="F2187" s="78">
        <f>IF('4mC'!B37&lt;&gt;"",'4mC'!F37,"")</f>
        <v/>
      </c>
      <c r="G2187" s="78">
        <f>IF('4mC'!B37&lt;&gt;"",'4mC'!G37,"")</f>
        <v/>
      </c>
      <c r="H2187" s="97">
        <f>IF('4mC'!B37&lt;&gt;"",'4mC'!H37,"")</f>
        <v/>
      </c>
      <c r="I2187" s="97">
        <f>IF('4mC'!B37&lt;&gt;"",'4mC'!I37,"")</f>
        <v/>
      </c>
      <c r="J2187" s="78">
        <f>IF('4mC'!B37&lt;&gt;"",'4mC'!J37,"")</f>
        <v/>
      </c>
    </row>
    <row r="2188" ht="15.75" customHeight="1" s="52">
      <c r="A2188" s="92">
        <f>IF('4mC'!B38&lt;&gt;"","4mC","")</f>
        <v/>
      </c>
      <c r="B2188" s="82">
        <f>IF('4mC'!B38&lt;&gt;"",'4mC'!B38,"")</f>
        <v/>
      </c>
      <c r="C2188" s="82">
        <f>IF('4mC'!B38&lt;&gt;"",'4mC'!C38,"")</f>
        <v/>
      </c>
      <c r="D2188" s="82">
        <f>IF('4mC'!B38&lt;&gt;"",'4mC'!D38,"")</f>
        <v/>
      </c>
      <c r="E2188" s="82">
        <f>IF('4mC'!B38&lt;&gt;"",'4mC'!E38,"")</f>
        <v/>
      </c>
      <c r="F2188" s="82">
        <f>IF('4mC'!B38&lt;&gt;"",'4mC'!F38,"")</f>
        <v/>
      </c>
      <c r="G2188" s="82">
        <f>IF('4mC'!B38&lt;&gt;"",'4mC'!G38,"")</f>
        <v/>
      </c>
      <c r="H2188" s="92">
        <f>IF('4mC'!B38&lt;&gt;"",'4mC'!H38,"")</f>
        <v/>
      </c>
      <c r="I2188" s="92">
        <f>IF('4mC'!B38&lt;&gt;"",'4mC'!I38,"")</f>
        <v/>
      </c>
      <c r="J2188" s="82">
        <f>IF('4mC'!B38&lt;&gt;"",'4mC'!J38,"")</f>
        <v/>
      </c>
    </row>
    <row r="2189" ht="15.75" customHeight="1" s="52">
      <c r="A2189" s="97">
        <f>IF('4mC'!B39&lt;&gt;"","4mC","")</f>
        <v/>
      </c>
      <c r="B2189" s="78">
        <f>IF('4mC'!B39&lt;&gt;"",'4mC'!B39,"")</f>
        <v/>
      </c>
      <c r="C2189" s="78">
        <f>IF('4mC'!B39&lt;&gt;"",'4mC'!C39,"")</f>
        <v/>
      </c>
      <c r="D2189" s="78">
        <f>IF('4mC'!B39&lt;&gt;"",'4mC'!D39,"")</f>
        <v/>
      </c>
      <c r="E2189" s="78">
        <f>IF('4mC'!B39&lt;&gt;"",'4mC'!E39,"")</f>
        <v/>
      </c>
      <c r="F2189" s="78">
        <f>IF('4mC'!B39&lt;&gt;"",'4mC'!F39,"")</f>
        <v/>
      </c>
      <c r="G2189" s="78">
        <f>IF('4mC'!B39&lt;&gt;"",'4mC'!G39,"")</f>
        <v/>
      </c>
      <c r="H2189" s="97">
        <f>IF('4mC'!B39&lt;&gt;"",'4mC'!H39,"")</f>
        <v/>
      </c>
      <c r="I2189" s="97">
        <f>IF('4mC'!B39&lt;&gt;"",'4mC'!I39,"")</f>
        <v/>
      </c>
      <c r="J2189" s="78">
        <f>IF('4mC'!B39&lt;&gt;"",'4mC'!J39,"")</f>
        <v/>
      </c>
    </row>
    <row r="2190" ht="15.75" customHeight="1" s="52">
      <c r="A2190" s="92">
        <f>IF('4mC'!B40&lt;&gt;"","4mC","")</f>
        <v/>
      </c>
      <c r="B2190" s="82">
        <f>IF('4mC'!B40&lt;&gt;"",'4mC'!B40,"")</f>
        <v/>
      </c>
      <c r="C2190" s="82">
        <f>IF('4mC'!B40&lt;&gt;"",'4mC'!C40,"")</f>
        <v/>
      </c>
      <c r="D2190" s="82">
        <f>IF('4mC'!B40&lt;&gt;"",'4mC'!D40,"")</f>
        <v/>
      </c>
      <c r="E2190" s="82">
        <f>IF('4mC'!B40&lt;&gt;"",'4mC'!E40,"")</f>
        <v/>
      </c>
      <c r="F2190" s="82">
        <f>IF('4mC'!B40&lt;&gt;"",'4mC'!F40,"")</f>
        <v/>
      </c>
      <c r="G2190" s="82">
        <f>IF('4mC'!B40&lt;&gt;"",'4mC'!G40,"")</f>
        <v/>
      </c>
      <c r="H2190" s="92">
        <f>IF('4mC'!B40&lt;&gt;"",'4mC'!H40,"")</f>
        <v/>
      </c>
      <c r="I2190" s="92">
        <f>IF('4mC'!B40&lt;&gt;"",'4mC'!I40,"")</f>
        <v/>
      </c>
      <c r="J2190" s="82">
        <f>IF('4mC'!B40&lt;&gt;"",'4mC'!J40,"")</f>
        <v/>
      </c>
    </row>
    <row r="2191" ht="15.75" customHeight="1" s="52">
      <c r="A2191" s="97">
        <f>IF('4mC'!B41&lt;&gt;"","4mC","")</f>
        <v/>
      </c>
      <c r="B2191" s="78">
        <f>IF('4mC'!B41&lt;&gt;"",'4mC'!B41,"")</f>
        <v/>
      </c>
      <c r="C2191" s="78">
        <f>IF('4mC'!B41&lt;&gt;"",'4mC'!C41,"")</f>
        <v/>
      </c>
      <c r="D2191" s="78">
        <f>IF('4mC'!B41&lt;&gt;"",'4mC'!D41,"")</f>
        <v/>
      </c>
      <c r="E2191" s="78">
        <f>IF('4mC'!B41&lt;&gt;"",'4mC'!E41,"")</f>
        <v/>
      </c>
      <c r="F2191" s="78">
        <f>IF('4mC'!B41&lt;&gt;"",'4mC'!F41,"")</f>
        <v/>
      </c>
      <c r="G2191" s="78">
        <f>IF('4mC'!B41&lt;&gt;"",'4mC'!G41,"")</f>
        <v/>
      </c>
      <c r="H2191" s="97">
        <f>IF('4mC'!B41&lt;&gt;"",'4mC'!H41,"")</f>
        <v/>
      </c>
      <c r="I2191" s="97">
        <f>IF('4mC'!B41&lt;&gt;"",'4mC'!I41,"")</f>
        <v/>
      </c>
      <c r="J2191" s="78">
        <f>IF('4mC'!B41&lt;&gt;"",'4mC'!J41,"")</f>
        <v/>
      </c>
    </row>
    <row r="2192" ht="15.75" customHeight="1" s="52">
      <c r="A2192" s="92">
        <f>IF('4mC'!B42&lt;&gt;"","4mC","")</f>
        <v/>
      </c>
      <c r="B2192" s="82">
        <f>IF('4mC'!B42&lt;&gt;"",'4mC'!B42,"")</f>
        <v/>
      </c>
      <c r="C2192" s="82">
        <f>IF('4mC'!B42&lt;&gt;"",'4mC'!C42,"")</f>
        <v/>
      </c>
      <c r="D2192" s="82">
        <f>IF('4mC'!B42&lt;&gt;"",'4mC'!D42,"")</f>
        <v/>
      </c>
      <c r="E2192" s="82">
        <f>IF('4mC'!B42&lt;&gt;"",'4mC'!E42,"")</f>
        <v/>
      </c>
      <c r="F2192" s="82">
        <f>IF('4mC'!B42&lt;&gt;"",'4mC'!F42,"")</f>
        <v/>
      </c>
      <c r="G2192" s="82">
        <f>IF('4mC'!B42&lt;&gt;"",'4mC'!G42,"")</f>
        <v/>
      </c>
      <c r="H2192" s="92">
        <f>IF('4mC'!B42&lt;&gt;"",'4mC'!H42,"")</f>
        <v/>
      </c>
      <c r="I2192" s="92">
        <f>IF('4mC'!B42&lt;&gt;"",'4mC'!I42,"")</f>
        <v/>
      </c>
      <c r="J2192" s="82">
        <f>IF('4mC'!B42&lt;&gt;"",'4mC'!J42,"")</f>
        <v/>
      </c>
    </row>
    <row r="2193" ht="15.75" customHeight="1" s="52">
      <c r="A2193" s="97">
        <f>IF('4mC'!B43&lt;&gt;"","4mC","")</f>
        <v/>
      </c>
      <c r="B2193" s="78">
        <f>IF('4mC'!B43&lt;&gt;"",'4mC'!B43,"")</f>
        <v/>
      </c>
      <c r="C2193" s="78">
        <f>IF('4mC'!B43&lt;&gt;"",'4mC'!C43,"")</f>
        <v/>
      </c>
      <c r="D2193" s="78">
        <f>IF('4mC'!B43&lt;&gt;"",'4mC'!D43,"")</f>
        <v/>
      </c>
      <c r="E2193" s="78">
        <f>IF('4mC'!B43&lt;&gt;"",'4mC'!E43,"")</f>
        <v/>
      </c>
      <c r="F2193" s="78">
        <f>IF('4mC'!B43&lt;&gt;"",'4mC'!F43,"")</f>
        <v/>
      </c>
      <c r="G2193" s="78">
        <f>IF('4mC'!B43&lt;&gt;"",'4mC'!G43,"")</f>
        <v/>
      </c>
      <c r="H2193" s="97">
        <f>IF('4mC'!B43&lt;&gt;"",'4mC'!H43,"")</f>
        <v/>
      </c>
      <c r="I2193" s="97">
        <f>IF('4mC'!B43&lt;&gt;"",'4mC'!I43,"")</f>
        <v/>
      </c>
      <c r="J2193" s="78">
        <f>IF('4mC'!B43&lt;&gt;"",'4mC'!J43,"")</f>
        <v/>
      </c>
    </row>
    <row r="2194" ht="15.75" customHeight="1" s="52">
      <c r="A2194" s="92">
        <f>IF('4mC'!B44&lt;&gt;"","4mC","")</f>
        <v/>
      </c>
      <c r="B2194" s="82">
        <f>IF('4mC'!B44&lt;&gt;"",'4mC'!B44,"")</f>
        <v/>
      </c>
      <c r="C2194" s="82">
        <f>IF('4mC'!B44&lt;&gt;"",'4mC'!C44,"")</f>
        <v/>
      </c>
      <c r="D2194" s="82">
        <f>IF('4mC'!B44&lt;&gt;"",'4mC'!D44,"")</f>
        <v/>
      </c>
      <c r="E2194" s="82">
        <f>IF('4mC'!B44&lt;&gt;"",'4mC'!E44,"")</f>
        <v/>
      </c>
      <c r="F2194" s="82">
        <f>IF('4mC'!B44&lt;&gt;"",'4mC'!F44,"")</f>
        <v/>
      </c>
      <c r="G2194" s="82">
        <f>IF('4mC'!B44&lt;&gt;"",'4mC'!G44,"")</f>
        <v/>
      </c>
      <c r="H2194" s="92">
        <f>IF('4mC'!B44&lt;&gt;"",'4mC'!H44,"")</f>
        <v/>
      </c>
      <c r="I2194" s="92">
        <f>IF('4mC'!B44&lt;&gt;"",'4mC'!I44,"")</f>
        <v/>
      </c>
      <c r="J2194" s="82">
        <f>IF('4mC'!B44&lt;&gt;"",'4mC'!J44,"")</f>
        <v/>
      </c>
    </row>
    <row r="2195" ht="15.75" customHeight="1" s="52">
      <c r="A2195" s="97">
        <f>IF('4mC'!B45&lt;&gt;"","4mC","")</f>
        <v/>
      </c>
      <c r="B2195" s="78">
        <f>IF('4mC'!B45&lt;&gt;"",'4mC'!B45,"")</f>
        <v/>
      </c>
      <c r="C2195" s="78">
        <f>IF('4mC'!B45&lt;&gt;"",'4mC'!C45,"")</f>
        <v/>
      </c>
      <c r="D2195" s="78">
        <f>IF('4mC'!B45&lt;&gt;"",'4mC'!D45,"")</f>
        <v/>
      </c>
      <c r="E2195" s="78">
        <f>IF('4mC'!B45&lt;&gt;"",'4mC'!E45,"")</f>
        <v/>
      </c>
      <c r="F2195" s="78">
        <f>IF('4mC'!B45&lt;&gt;"",'4mC'!F45,"")</f>
        <v/>
      </c>
      <c r="G2195" s="78">
        <f>IF('4mC'!B45&lt;&gt;"",'4mC'!G45,"")</f>
        <v/>
      </c>
      <c r="H2195" s="97">
        <f>IF('4mC'!B45&lt;&gt;"",'4mC'!H45,"")</f>
        <v/>
      </c>
      <c r="I2195" s="97">
        <f>IF('4mC'!B45&lt;&gt;"",'4mC'!I45,"")</f>
        <v/>
      </c>
      <c r="J2195" s="78">
        <f>IF('4mC'!B45&lt;&gt;"",'4mC'!J45,"")</f>
        <v/>
      </c>
    </row>
    <row r="2196" ht="15.75" customHeight="1" s="52">
      <c r="A2196" s="92">
        <f>IF('4mC'!B46&lt;&gt;"","4mC","")</f>
        <v/>
      </c>
      <c r="B2196" s="82">
        <f>IF('4mC'!B46&lt;&gt;"",'4mC'!B46,"")</f>
        <v/>
      </c>
      <c r="C2196" s="82">
        <f>IF('4mC'!B46&lt;&gt;"",'4mC'!C46,"")</f>
        <v/>
      </c>
      <c r="D2196" s="82">
        <f>IF('4mC'!B46&lt;&gt;"",'4mC'!D46,"")</f>
        <v/>
      </c>
      <c r="E2196" s="82">
        <f>IF('4mC'!B46&lt;&gt;"",'4mC'!E46,"")</f>
        <v/>
      </c>
      <c r="F2196" s="82">
        <f>IF('4mC'!B46&lt;&gt;"",'4mC'!F46,"")</f>
        <v/>
      </c>
      <c r="G2196" s="82">
        <f>IF('4mC'!B46&lt;&gt;"",'4mC'!G46,"")</f>
        <v/>
      </c>
      <c r="H2196" s="92">
        <f>IF('4mC'!B46&lt;&gt;"",'4mC'!H46,"")</f>
        <v/>
      </c>
      <c r="I2196" s="92">
        <f>IF('4mC'!B46&lt;&gt;"",'4mC'!I46,"")</f>
        <v/>
      </c>
      <c r="J2196" s="82">
        <f>IF('4mC'!B46&lt;&gt;"",'4mC'!J46,"")</f>
        <v/>
      </c>
    </row>
    <row r="2197" ht="15.75" customHeight="1" s="52">
      <c r="A2197" s="97">
        <f>IF('4mC'!B47&lt;&gt;"","4mC","")</f>
        <v/>
      </c>
      <c r="B2197" s="78">
        <f>IF('4mC'!B47&lt;&gt;"",'4mC'!B47,"")</f>
        <v/>
      </c>
      <c r="C2197" s="78">
        <f>IF('4mC'!B47&lt;&gt;"",'4mC'!C47,"")</f>
        <v/>
      </c>
      <c r="D2197" s="78">
        <f>IF('4mC'!B47&lt;&gt;"",'4mC'!D47,"")</f>
        <v/>
      </c>
      <c r="E2197" s="78">
        <f>IF('4mC'!B47&lt;&gt;"",'4mC'!E47,"")</f>
        <v/>
      </c>
      <c r="F2197" s="78">
        <f>IF('4mC'!B47&lt;&gt;"",'4mC'!F47,"")</f>
        <v/>
      </c>
      <c r="G2197" s="78">
        <f>IF('4mC'!B47&lt;&gt;"",'4mC'!G47,"")</f>
        <v/>
      </c>
      <c r="H2197" s="97">
        <f>IF('4mC'!B47&lt;&gt;"",'4mC'!H47,"")</f>
        <v/>
      </c>
      <c r="I2197" s="97">
        <f>IF('4mC'!B47&lt;&gt;"",'4mC'!I47,"")</f>
        <v/>
      </c>
      <c r="J2197" s="78">
        <f>IF('4mC'!B47&lt;&gt;"",'4mC'!J47,"")</f>
        <v/>
      </c>
    </row>
    <row r="2198" ht="15.75" customHeight="1" s="52">
      <c r="A2198" s="92">
        <f>IF('4mC'!B48&lt;&gt;"","4mC","")</f>
        <v/>
      </c>
      <c r="B2198" s="82">
        <f>IF('4mC'!B48&lt;&gt;"",'4mC'!B48,"")</f>
        <v/>
      </c>
      <c r="C2198" s="82">
        <f>IF('4mC'!B48&lt;&gt;"",'4mC'!C48,"")</f>
        <v/>
      </c>
      <c r="D2198" s="82">
        <f>IF('4mC'!B48&lt;&gt;"",'4mC'!D48,"")</f>
        <v/>
      </c>
      <c r="E2198" s="82">
        <f>IF('4mC'!B48&lt;&gt;"",'4mC'!E48,"")</f>
        <v/>
      </c>
      <c r="F2198" s="82">
        <f>IF('4mC'!B48&lt;&gt;"",'4mC'!F48,"")</f>
        <v/>
      </c>
      <c r="G2198" s="82">
        <f>IF('4mC'!B48&lt;&gt;"",'4mC'!G48,"")</f>
        <v/>
      </c>
      <c r="H2198" s="92">
        <f>IF('4mC'!B48&lt;&gt;"",'4mC'!H48,"")</f>
        <v/>
      </c>
      <c r="I2198" s="92">
        <f>IF('4mC'!B48&lt;&gt;"",'4mC'!I48,"")</f>
        <v/>
      </c>
      <c r="J2198" s="82">
        <f>IF('4mC'!B48&lt;&gt;"",'4mC'!J48,"")</f>
        <v/>
      </c>
    </row>
    <row r="2199" ht="15.75" customHeight="1" s="52">
      <c r="A2199" s="97">
        <f>IF('4mC'!B49&lt;&gt;"","4mC","")</f>
        <v/>
      </c>
      <c r="B2199" s="78">
        <f>IF('4mC'!B49&lt;&gt;"",'4mC'!B49,"")</f>
        <v/>
      </c>
      <c r="C2199" s="78">
        <f>IF('4mC'!B49&lt;&gt;"",'4mC'!C49,"")</f>
        <v/>
      </c>
      <c r="D2199" s="78">
        <f>IF('4mC'!B49&lt;&gt;"",'4mC'!D49,"")</f>
        <v/>
      </c>
      <c r="E2199" s="78">
        <f>IF('4mC'!B49&lt;&gt;"",'4mC'!E49,"")</f>
        <v/>
      </c>
      <c r="F2199" s="78">
        <f>IF('4mC'!B49&lt;&gt;"",'4mC'!F49,"")</f>
        <v/>
      </c>
      <c r="G2199" s="78">
        <f>IF('4mC'!B49&lt;&gt;"",'4mC'!G49,"")</f>
        <v/>
      </c>
      <c r="H2199" s="97">
        <f>IF('4mC'!B49&lt;&gt;"",'4mC'!H49,"")</f>
        <v/>
      </c>
      <c r="I2199" s="97">
        <f>IF('4mC'!B49&lt;&gt;"",'4mC'!I49,"")</f>
        <v/>
      </c>
      <c r="J2199" s="78">
        <f>IF('4mC'!B49&lt;&gt;"",'4mC'!J49,"")</f>
        <v/>
      </c>
    </row>
    <row r="2200" ht="15.75" customHeight="1" s="52">
      <c r="A2200" s="92">
        <f>IF('4mC'!B50&lt;&gt;"","4mC","")</f>
        <v/>
      </c>
      <c r="B2200" s="82">
        <f>IF('4mC'!B50&lt;&gt;"",'4mC'!B50,"")</f>
        <v/>
      </c>
      <c r="C2200" s="82">
        <f>IF('4mC'!B50&lt;&gt;"",'4mC'!C50,"")</f>
        <v/>
      </c>
      <c r="D2200" s="82">
        <f>IF('4mC'!B50&lt;&gt;"",'4mC'!D50,"")</f>
        <v/>
      </c>
      <c r="E2200" s="82">
        <f>IF('4mC'!B50&lt;&gt;"",'4mC'!E50,"")</f>
        <v/>
      </c>
      <c r="F2200" s="82">
        <f>IF('4mC'!B50&lt;&gt;"",'4mC'!F50,"")</f>
        <v/>
      </c>
      <c r="G2200" s="82">
        <f>IF('4mC'!B50&lt;&gt;"",'4mC'!G50,"")</f>
        <v/>
      </c>
      <c r="H2200" s="92">
        <f>IF('4mC'!B50&lt;&gt;"",'4mC'!H50,"")</f>
        <v/>
      </c>
      <c r="I2200" s="92">
        <f>IF('4mC'!B50&lt;&gt;"",'4mC'!I50,"")</f>
        <v/>
      </c>
      <c r="J2200" s="82">
        <f>IF('4mC'!B50&lt;&gt;"",'4mC'!J50,"")</f>
        <v/>
      </c>
    </row>
    <row r="2201" ht="15.75" customHeight="1" s="52">
      <c r="A2201" s="97">
        <f>IF('4mC'!B51&lt;&gt;"","4mC","")</f>
        <v/>
      </c>
      <c r="B2201" s="78">
        <f>IF('4mC'!B51&lt;&gt;"",'4mC'!B51,"")</f>
        <v/>
      </c>
      <c r="C2201" s="78">
        <f>IF('4mC'!B51&lt;&gt;"",'4mC'!C51,"")</f>
        <v/>
      </c>
      <c r="D2201" s="78">
        <f>IF('4mC'!B51&lt;&gt;"",'4mC'!D51,"")</f>
        <v/>
      </c>
      <c r="E2201" s="78">
        <f>IF('4mC'!B51&lt;&gt;"",'4mC'!E51,"")</f>
        <v/>
      </c>
      <c r="F2201" s="78">
        <f>IF('4mC'!B51&lt;&gt;"",'4mC'!F51,"")</f>
        <v/>
      </c>
      <c r="G2201" s="78">
        <f>IF('4mC'!B51&lt;&gt;"",'4mC'!G51,"")</f>
        <v/>
      </c>
      <c r="H2201" s="97">
        <f>IF('4mC'!B51&lt;&gt;"",'4mC'!H51,"")</f>
        <v/>
      </c>
      <c r="I2201" s="97">
        <f>IF('4mC'!B51&lt;&gt;"",'4mC'!I51,"")</f>
        <v/>
      </c>
      <c r="J2201" s="78">
        <f>IF('4mC'!B51&lt;&gt;"",'4mC'!J51,"")</f>
        <v/>
      </c>
    </row>
    <row r="2202" ht="15.75" customHeight="1" s="52">
      <c r="A2202" s="92">
        <f>IF('4mC'!B52&lt;&gt;"","4mC","")</f>
        <v/>
      </c>
      <c r="B2202" s="82">
        <f>IF('4mC'!B52&lt;&gt;"",'4mC'!B52,"")</f>
        <v/>
      </c>
      <c r="C2202" s="82">
        <f>IF('4mC'!B52&lt;&gt;"",'4mC'!C52,"")</f>
        <v/>
      </c>
      <c r="D2202" s="82">
        <f>IF('4mC'!B52&lt;&gt;"",'4mC'!D52,"")</f>
        <v/>
      </c>
      <c r="E2202" s="82">
        <f>IF('4mC'!B52&lt;&gt;"",'4mC'!E52,"")</f>
        <v/>
      </c>
      <c r="F2202" s="82">
        <f>IF('4mC'!B52&lt;&gt;"",'4mC'!F52,"")</f>
        <v/>
      </c>
      <c r="G2202" s="82">
        <f>IF('4mC'!B52&lt;&gt;"",'4mC'!G52,"")</f>
        <v/>
      </c>
      <c r="H2202" s="92">
        <f>IF('4mC'!B52&lt;&gt;"",'4mC'!H52,"")</f>
        <v/>
      </c>
      <c r="I2202" s="92">
        <f>IF('4mC'!B52&lt;&gt;"",'4mC'!I52,"")</f>
        <v/>
      </c>
      <c r="J2202" s="82">
        <f>IF('4mC'!B52&lt;&gt;"",'4mC'!J52,"")</f>
        <v/>
      </c>
    </row>
    <row r="2203" ht="15.75" customHeight="1" s="52">
      <c r="A2203" s="97">
        <f>IF('4mC'!B53&lt;&gt;"","4mC","")</f>
        <v/>
      </c>
      <c r="B2203" s="78">
        <f>IF('4mC'!B53&lt;&gt;"",'4mC'!B53,"")</f>
        <v/>
      </c>
      <c r="C2203" s="78">
        <f>IF('4mC'!B53&lt;&gt;"",'4mC'!C53,"")</f>
        <v/>
      </c>
      <c r="D2203" s="78">
        <f>IF('4mC'!B53&lt;&gt;"",'4mC'!D53,"")</f>
        <v/>
      </c>
      <c r="E2203" s="78">
        <f>IF('4mC'!B53&lt;&gt;"",'4mC'!E53,"")</f>
        <v/>
      </c>
      <c r="F2203" s="78">
        <f>IF('4mC'!B53&lt;&gt;"",'4mC'!F53,"")</f>
        <v/>
      </c>
      <c r="G2203" s="78">
        <f>IF('4mC'!B53&lt;&gt;"",'4mC'!G53,"")</f>
        <v/>
      </c>
      <c r="H2203" s="97">
        <f>IF('4mC'!B53&lt;&gt;"",'4mC'!H53,"")</f>
        <v/>
      </c>
      <c r="I2203" s="97">
        <f>IF('4mC'!B53&lt;&gt;"",'4mC'!I53,"")</f>
        <v/>
      </c>
      <c r="J2203" s="78">
        <f>IF('4mC'!B53&lt;&gt;"",'4mC'!J53,"")</f>
        <v/>
      </c>
    </row>
    <row r="2204" ht="15.75" customHeight="1" s="52">
      <c r="A2204" s="92">
        <f>IF('4mC'!B54&lt;&gt;"","4mC","")</f>
        <v/>
      </c>
      <c r="B2204" s="82">
        <f>IF('4mC'!B54&lt;&gt;"",'4mC'!B54,"")</f>
        <v/>
      </c>
      <c r="C2204" s="82">
        <f>IF('4mC'!B54&lt;&gt;"",'4mC'!C54,"")</f>
        <v/>
      </c>
      <c r="D2204" s="82">
        <f>IF('4mC'!B54&lt;&gt;"",'4mC'!D54,"")</f>
        <v/>
      </c>
      <c r="E2204" s="82">
        <f>IF('4mC'!B54&lt;&gt;"",'4mC'!E54,"")</f>
        <v/>
      </c>
      <c r="F2204" s="82">
        <f>IF('4mC'!B54&lt;&gt;"",'4mC'!F54,"")</f>
        <v/>
      </c>
      <c r="G2204" s="82">
        <f>IF('4mC'!B54&lt;&gt;"",'4mC'!G54,"")</f>
        <v/>
      </c>
      <c r="H2204" s="92">
        <f>IF('4mC'!B54&lt;&gt;"",'4mC'!H54,"")</f>
        <v/>
      </c>
      <c r="I2204" s="92">
        <f>IF('4mC'!B54&lt;&gt;"",'4mC'!I54,"")</f>
        <v/>
      </c>
      <c r="J2204" s="82">
        <f>IF('4mC'!B54&lt;&gt;"",'4mC'!J54,"")</f>
        <v/>
      </c>
    </row>
    <row r="2205" ht="15.75" customHeight="1" s="52">
      <c r="A2205" s="97">
        <f>IF('4mD'!B5&lt;&gt;"","4mD","")</f>
        <v/>
      </c>
      <c r="B2205" s="78">
        <f>IF('4mD'!B5&lt;&gt;"",'4mD'!B5,"")</f>
        <v/>
      </c>
      <c r="C2205" s="78">
        <f>IF('4mD'!B5&lt;&gt;"",'4mD'!C5,"")</f>
        <v/>
      </c>
      <c r="D2205" s="78">
        <f>IF('4mD'!B5&lt;&gt;"",'4mD'!D5,"")</f>
        <v/>
      </c>
      <c r="E2205" s="78">
        <f>IF('4mD'!B5&lt;&gt;"",'4mD'!E5,"")</f>
        <v/>
      </c>
      <c r="F2205" s="78">
        <f>IF('4mD'!B5&lt;&gt;"",'4mD'!F5,"")</f>
        <v/>
      </c>
      <c r="G2205" s="78">
        <f>IF('4mD'!B5&lt;&gt;"",'4mD'!G5,"")</f>
        <v/>
      </c>
      <c r="H2205" s="97">
        <f>IF('4mD'!B5&lt;&gt;"",'4mD'!H5,"")</f>
        <v/>
      </c>
      <c r="I2205" s="97">
        <f>IF('4mD'!B5&lt;&gt;"",'4mD'!I5,"")</f>
        <v/>
      </c>
      <c r="J2205" s="78">
        <f>IF('4mD'!B5&lt;&gt;"",'4mD'!J5,"")</f>
        <v/>
      </c>
    </row>
    <row r="2206" ht="15.75" customHeight="1" s="52">
      <c r="A2206" s="92">
        <f>IF('4mD'!B6&lt;&gt;"","4mD","")</f>
        <v/>
      </c>
      <c r="B2206" s="82">
        <f>IF('4mD'!B6&lt;&gt;"",'4mD'!B6,"")</f>
        <v/>
      </c>
      <c r="C2206" s="82">
        <f>IF('4mD'!B6&lt;&gt;"",'4mD'!C6,"")</f>
        <v/>
      </c>
      <c r="D2206" s="82">
        <f>IF('4mD'!B6&lt;&gt;"",'4mD'!D6,"")</f>
        <v/>
      </c>
      <c r="E2206" s="82">
        <f>IF('4mD'!B6&lt;&gt;"",'4mD'!E6,"")</f>
        <v/>
      </c>
      <c r="F2206" s="82">
        <f>IF('4mD'!B6&lt;&gt;"",'4mD'!F6,"")</f>
        <v/>
      </c>
      <c r="G2206" s="82">
        <f>IF('4mD'!B6&lt;&gt;"",'4mD'!G6,"")</f>
        <v/>
      </c>
      <c r="H2206" s="92">
        <f>IF('4mD'!B6&lt;&gt;"",'4mD'!H6,"")</f>
        <v/>
      </c>
      <c r="I2206" s="92">
        <f>IF('4mD'!B6&lt;&gt;"",'4mD'!I6,"")</f>
        <v/>
      </c>
      <c r="J2206" s="82">
        <f>IF('4mD'!B6&lt;&gt;"",'4mD'!J6,"")</f>
        <v/>
      </c>
    </row>
    <row r="2207" ht="15.75" customHeight="1" s="52">
      <c r="A2207" s="97">
        <f>IF('4mD'!B7&lt;&gt;"","4mD","")</f>
        <v/>
      </c>
      <c r="B2207" s="78">
        <f>IF('4mD'!B7&lt;&gt;"",'4mD'!B7,"")</f>
        <v/>
      </c>
      <c r="C2207" s="78">
        <f>IF('4mD'!B7&lt;&gt;"",'4mD'!C7,"")</f>
        <v/>
      </c>
      <c r="D2207" s="78">
        <f>IF('4mD'!B7&lt;&gt;"",'4mD'!D7,"")</f>
        <v/>
      </c>
      <c r="E2207" s="78">
        <f>IF('4mD'!B7&lt;&gt;"",'4mD'!E7,"")</f>
        <v/>
      </c>
      <c r="F2207" s="78">
        <f>IF('4mD'!B7&lt;&gt;"",'4mD'!F7,"")</f>
        <v/>
      </c>
      <c r="G2207" s="78">
        <f>IF('4mD'!B7&lt;&gt;"",'4mD'!G7,"")</f>
        <v/>
      </c>
      <c r="H2207" s="97">
        <f>IF('4mD'!B7&lt;&gt;"",'4mD'!H7,"")</f>
        <v/>
      </c>
      <c r="I2207" s="97">
        <f>IF('4mD'!B7&lt;&gt;"",'4mD'!I7,"")</f>
        <v/>
      </c>
      <c r="J2207" s="78">
        <f>IF('4mD'!B7&lt;&gt;"",'4mD'!J7,"")</f>
        <v/>
      </c>
    </row>
    <row r="2208" ht="15.75" customHeight="1" s="52">
      <c r="A2208" s="92">
        <f>IF('4mD'!B8&lt;&gt;"","4mD","")</f>
        <v/>
      </c>
      <c r="B2208" s="82">
        <f>IF('4mD'!B8&lt;&gt;"",'4mD'!B8,"")</f>
        <v/>
      </c>
      <c r="C2208" s="82">
        <f>IF('4mD'!B8&lt;&gt;"",'4mD'!C8,"")</f>
        <v/>
      </c>
      <c r="D2208" s="82">
        <f>IF('4mD'!B8&lt;&gt;"",'4mD'!D8,"")</f>
        <v/>
      </c>
      <c r="E2208" s="82">
        <f>IF('4mD'!B8&lt;&gt;"",'4mD'!E8,"")</f>
        <v/>
      </c>
      <c r="F2208" s="82">
        <f>IF('4mD'!B8&lt;&gt;"",'4mD'!F8,"")</f>
        <v/>
      </c>
      <c r="G2208" s="82">
        <f>IF('4mD'!B8&lt;&gt;"",'4mD'!G8,"")</f>
        <v/>
      </c>
      <c r="H2208" s="92">
        <f>IF('4mD'!B8&lt;&gt;"",'4mD'!H8,"")</f>
        <v/>
      </c>
      <c r="I2208" s="92">
        <f>IF('4mD'!B8&lt;&gt;"",'4mD'!I8,"")</f>
        <v/>
      </c>
      <c r="J2208" s="82">
        <f>IF('4mD'!B8&lt;&gt;"",'4mD'!J8,"")</f>
        <v/>
      </c>
    </row>
    <row r="2209" ht="15.75" customHeight="1" s="52">
      <c r="A2209" s="97">
        <f>IF('4mD'!B9&lt;&gt;"","4mD","")</f>
        <v/>
      </c>
      <c r="B2209" s="78">
        <f>IF('4mD'!B9&lt;&gt;"",'4mD'!B9,"")</f>
        <v/>
      </c>
      <c r="C2209" s="78">
        <f>IF('4mD'!B9&lt;&gt;"",'4mD'!C9,"")</f>
        <v/>
      </c>
      <c r="D2209" s="78">
        <f>IF('4mD'!B9&lt;&gt;"",'4mD'!D9,"")</f>
        <v/>
      </c>
      <c r="E2209" s="78">
        <f>IF('4mD'!B9&lt;&gt;"",'4mD'!E9,"")</f>
        <v/>
      </c>
      <c r="F2209" s="78">
        <f>IF('4mD'!B9&lt;&gt;"",'4mD'!F9,"")</f>
        <v/>
      </c>
      <c r="G2209" s="78">
        <f>IF('4mD'!B9&lt;&gt;"",'4mD'!G9,"")</f>
        <v/>
      </c>
      <c r="H2209" s="97">
        <f>IF('4mD'!B9&lt;&gt;"",'4mD'!H9,"")</f>
        <v/>
      </c>
      <c r="I2209" s="97">
        <f>IF('4mD'!B9&lt;&gt;"",'4mD'!I9,"")</f>
        <v/>
      </c>
      <c r="J2209" s="78">
        <f>IF('4mD'!B9&lt;&gt;"",'4mD'!J9,"")</f>
        <v/>
      </c>
    </row>
    <row r="2210" ht="15.75" customHeight="1" s="52">
      <c r="A2210" s="92">
        <f>IF('4mD'!B10&lt;&gt;"","4mD","")</f>
        <v/>
      </c>
      <c r="B2210" s="82">
        <f>IF('4mD'!B10&lt;&gt;"",'4mD'!B10,"")</f>
        <v/>
      </c>
      <c r="C2210" s="82">
        <f>IF('4mD'!B10&lt;&gt;"",'4mD'!C10,"")</f>
        <v/>
      </c>
      <c r="D2210" s="82">
        <f>IF('4mD'!B10&lt;&gt;"",'4mD'!D10,"")</f>
        <v/>
      </c>
      <c r="E2210" s="82">
        <f>IF('4mD'!B10&lt;&gt;"",'4mD'!E10,"")</f>
        <v/>
      </c>
      <c r="F2210" s="82">
        <f>IF('4mD'!B10&lt;&gt;"",'4mD'!F10,"")</f>
        <v/>
      </c>
      <c r="G2210" s="82">
        <f>IF('4mD'!B10&lt;&gt;"",'4mD'!G10,"")</f>
        <v/>
      </c>
      <c r="H2210" s="92">
        <f>IF('4mD'!B10&lt;&gt;"",'4mD'!H10,"")</f>
        <v/>
      </c>
      <c r="I2210" s="92">
        <f>IF('4mD'!B10&lt;&gt;"",'4mD'!I10,"")</f>
        <v/>
      </c>
      <c r="J2210" s="82">
        <f>IF('4mD'!B10&lt;&gt;"",'4mD'!J10,"")</f>
        <v/>
      </c>
    </row>
    <row r="2211" ht="15.75" customHeight="1" s="52">
      <c r="A2211" s="97">
        <f>IF('4mD'!B11&lt;&gt;"","4mD","")</f>
        <v/>
      </c>
      <c r="B2211" s="78">
        <f>IF('4mD'!B11&lt;&gt;"",'4mD'!B11,"")</f>
        <v/>
      </c>
      <c r="C2211" s="78">
        <f>IF('4mD'!B11&lt;&gt;"",'4mD'!C11,"")</f>
        <v/>
      </c>
      <c r="D2211" s="78">
        <f>IF('4mD'!B11&lt;&gt;"",'4mD'!D11,"")</f>
        <v/>
      </c>
      <c r="E2211" s="78">
        <f>IF('4mD'!B11&lt;&gt;"",'4mD'!E11,"")</f>
        <v/>
      </c>
      <c r="F2211" s="78">
        <f>IF('4mD'!B11&lt;&gt;"",'4mD'!F11,"")</f>
        <v/>
      </c>
      <c r="G2211" s="78">
        <f>IF('4mD'!B11&lt;&gt;"",'4mD'!G11,"")</f>
        <v/>
      </c>
      <c r="H2211" s="97">
        <f>IF('4mD'!B11&lt;&gt;"",'4mD'!H11,"")</f>
        <v/>
      </c>
      <c r="I2211" s="97">
        <f>IF('4mD'!B11&lt;&gt;"",'4mD'!I11,"")</f>
        <v/>
      </c>
      <c r="J2211" s="78">
        <f>IF('4mD'!B11&lt;&gt;"",'4mD'!J11,"")</f>
        <v/>
      </c>
    </row>
    <row r="2212" ht="15.75" customHeight="1" s="52">
      <c r="A2212" s="92">
        <f>IF('4mD'!B12&lt;&gt;"","4mD","")</f>
        <v/>
      </c>
      <c r="B2212" s="82">
        <f>IF('4mD'!B12&lt;&gt;"",'4mD'!B12,"")</f>
        <v/>
      </c>
      <c r="C2212" s="82">
        <f>IF('4mD'!B12&lt;&gt;"",'4mD'!C12,"")</f>
        <v/>
      </c>
      <c r="D2212" s="82">
        <f>IF('4mD'!B12&lt;&gt;"",'4mD'!D12,"")</f>
        <v/>
      </c>
      <c r="E2212" s="82">
        <f>IF('4mD'!B12&lt;&gt;"",'4mD'!E12,"")</f>
        <v/>
      </c>
      <c r="F2212" s="82">
        <f>IF('4mD'!B12&lt;&gt;"",'4mD'!F12,"")</f>
        <v/>
      </c>
      <c r="G2212" s="82">
        <f>IF('4mD'!B12&lt;&gt;"",'4mD'!G12,"")</f>
        <v/>
      </c>
      <c r="H2212" s="92">
        <f>IF('4mD'!B12&lt;&gt;"",'4mD'!H12,"")</f>
        <v/>
      </c>
      <c r="I2212" s="92">
        <f>IF('4mD'!B12&lt;&gt;"",'4mD'!I12,"")</f>
        <v/>
      </c>
      <c r="J2212" s="82">
        <f>IF('4mD'!B12&lt;&gt;"",'4mD'!J12,"")</f>
        <v/>
      </c>
    </row>
    <row r="2213" ht="15.75" customHeight="1" s="52">
      <c r="A2213" s="97">
        <f>IF('4mD'!B13&lt;&gt;"","4mD","")</f>
        <v/>
      </c>
      <c r="B2213" s="78">
        <f>IF('4mD'!B13&lt;&gt;"",'4mD'!B13,"")</f>
        <v/>
      </c>
      <c r="C2213" s="78">
        <f>IF('4mD'!B13&lt;&gt;"",'4mD'!C13,"")</f>
        <v/>
      </c>
      <c r="D2213" s="78">
        <f>IF('4mD'!B13&lt;&gt;"",'4mD'!D13,"")</f>
        <v/>
      </c>
      <c r="E2213" s="78">
        <f>IF('4mD'!B13&lt;&gt;"",'4mD'!E13,"")</f>
        <v/>
      </c>
      <c r="F2213" s="78">
        <f>IF('4mD'!B13&lt;&gt;"",'4mD'!F13,"")</f>
        <v/>
      </c>
      <c r="G2213" s="78">
        <f>IF('4mD'!B13&lt;&gt;"",'4mD'!G13,"")</f>
        <v/>
      </c>
      <c r="H2213" s="97">
        <f>IF('4mD'!B13&lt;&gt;"",'4mD'!H13,"")</f>
        <v/>
      </c>
      <c r="I2213" s="97">
        <f>IF('4mD'!B13&lt;&gt;"",'4mD'!I13,"")</f>
        <v/>
      </c>
      <c r="J2213" s="78">
        <f>IF('4mD'!B13&lt;&gt;"",'4mD'!J13,"")</f>
        <v/>
      </c>
    </row>
    <row r="2214" ht="15.75" customHeight="1" s="52">
      <c r="A2214" s="92">
        <f>IF('4mD'!B14&lt;&gt;"","4mD","")</f>
        <v/>
      </c>
      <c r="B2214" s="82">
        <f>IF('4mD'!B14&lt;&gt;"",'4mD'!B14,"")</f>
        <v/>
      </c>
      <c r="C2214" s="82">
        <f>IF('4mD'!B14&lt;&gt;"",'4mD'!C14,"")</f>
        <v/>
      </c>
      <c r="D2214" s="82">
        <f>IF('4mD'!B14&lt;&gt;"",'4mD'!D14,"")</f>
        <v/>
      </c>
      <c r="E2214" s="82">
        <f>IF('4mD'!B14&lt;&gt;"",'4mD'!E14,"")</f>
        <v/>
      </c>
      <c r="F2214" s="82">
        <f>IF('4mD'!B14&lt;&gt;"",'4mD'!F14,"")</f>
        <v/>
      </c>
      <c r="G2214" s="82">
        <f>IF('4mD'!B14&lt;&gt;"",'4mD'!G14,"")</f>
        <v/>
      </c>
      <c r="H2214" s="92">
        <f>IF('4mD'!B14&lt;&gt;"",'4mD'!H14,"")</f>
        <v/>
      </c>
      <c r="I2214" s="92">
        <f>IF('4mD'!B14&lt;&gt;"",'4mD'!I14,"")</f>
        <v/>
      </c>
      <c r="J2214" s="82">
        <f>IF('4mD'!B14&lt;&gt;"",'4mD'!J14,"")</f>
        <v/>
      </c>
    </row>
    <row r="2215" ht="15.75" customHeight="1" s="52">
      <c r="A2215" s="97">
        <f>IF('4mD'!B15&lt;&gt;"","4mD","")</f>
        <v/>
      </c>
      <c r="B2215" s="78">
        <f>IF('4mD'!B15&lt;&gt;"",'4mD'!B15,"")</f>
        <v/>
      </c>
      <c r="C2215" s="78">
        <f>IF('4mD'!B15&lt;&gt;"",'4mD'!C15,"")</f>
        <v/>
      </c>
      <c r="D2215" s="78">
        <f>IF('4mD'!B15&lt;&gt;"",'4mD'!D15,"")</f>
        <v/>
      </c>
      <c r="E2215" s="78">
        <f>IF('4mD'!B15&lt;&gt;"",'4mD'!E15,"")</f>
        <v/>
      </c>
      <c r="F2215" s="78">
        <f>IF('4mD'!B15&lt;&gt;"",'4mD'!F15,"")</f>
        <v/>
      </c>
      <c r="G2215" s="78">
        <f>IF('4mD'!B15&lt;&gt;"",'4mD'!G15,"")</f>
        <v/>
      </c>
      <c r="H2215" s="97">
        <f>IF('4mD'!B15&lt;&gt;"",'4mD'!H15,"")</f>
        <v/>
      </c>
      <c r="I2215" s="97">
        <f>IF('4mD'!B15&lt;&gt;"",'4mD'!I15,"")</f>
        <v/>
      </c>
      <c r="J2215" s="78">
        <f>IF('4mD'!B15&lt;&gt;"",'4mD'!J15,"")</f>
        <v/>
      </c>
    </row>
    <row r="2216" ht="15.75" customHeight="1" s="52">
      <c r="A2216" s="92">
        <f>IF('4mD'!B16&lt;&gt;"","4mD","")</f>
        <v/>
      </c>
      <c r="B2216" s="82">
        <f>IF('4mD'!B16&lt;&gt;"",'4mD'!B16,"")</f>
        <v/>
      </c>
      <c r="C2216" s="82">
        <f>IF('4mD'!B16&lt;&gt;"",'4mD'!C16,"")</f>
        <v/>
      </c>
      <c r="D2216" s="82">
        <f>IF('4mD'!B16&lt;&gt;"",'4mD'!D16,"")</f>
        <v/>
      </c>
      <c r="E2216" s="82">
        <f>IF('4mD'!B16&lt;&gt;"",'4mD'!E16,"")</f>
        <v/>
      </c>
      <c r="F2216" s="82">
        <f>IF('4mD'!B16&lt;&gt;"",'4mD'!F16,"")</f>
        <v/>
      </c>
      <c r="G2216" s="82">
        <f>IF('4mD'!B16&lt;&gt;"",'4mD'!G16,"")</f>
        <v/>
      </c>
      <c r="H2216" s="92">
        <f>IF('4mD'!B16&lt;&gt;"",'4mD'!H16,"")</f>
        <v/>
      </c>
      <c r="I2216" s="92">
        <f>IF('4mD'!B16&lt;&gt;"",'4mD'!I16,"")</f>
        <v/>
      </c>
      <c r="J2216" s="82">
        <f>IF('4mD'!B16&lt;&gt;"",'4mD'!J16,"")</f>
        <v/>
      </c>
    </row>
    <row r="2217" ht="15.75" customHeight="1" s="52">
      <c r="A2217" s="97">
        <f>IF('4mD'!B17&lt;&gt;"","4mD","")</f>
        <v/>
      </c>
      <c r="B2217" s="78">
        <f>IF('4mD'!B17&lt;&gt;"",'4mD'!B17,"")</f>
        <v/>
      </c>
      <c r="C2217" s="78">
        <f>IF('4mD'!B17&lt;&gt;"",'4mD'!C17,"")</f>
        <v/>
      </c>
      <c r="D2217" s="78">
        <f>IF('4mD'!B17&lt;&gt;"",'4mD'!D17,"")</f>
        <v/>
      </c>
      <c r="E2217" s="78">
        <f>IF('4mD'!B17&lt;&gt;"",'4mD'!E17,"")</f>
        <v/>
      </c>
      <c r="F2217" s="78">
        <f>IF('4mD'!B17&lt;&gt;"",'4mD'!F17,"")</f>
        <v/>
      </c>
      <c r="G2217" s="78">
        <f>IF('4mD'!B17&lt;&gt;"",'4mD'!G17,"")</f>
        <v/>
      </c>
      <c r="H2217" s="97">
        <f>IF('4mD'!B17&lt;&gt;"",'4mD'!H17,"")</f>
        <v/>
      </c>
      <c r="I2217" s="97">
        <f>IF('4mD'!B17&lt;&gt;"",'4mD'!I17,"")</f>
        <v/>
      </c>
      <c r="J2217" s="78">
        <f>IF('4mD'!B17&lt;&gt;"",'4mD'!J17,"")</f>
        <v/>
      </c>
    </row>
    <row r="2218" ht="15.75" customHeight="1" s="52">
      <c r="A2218" s="92">
        <f>IF('4mD'!B18&lt;&gt;"","4mD","")</f>
        <v/>
      </c>
      <c r="B2218" s="82">
        <f>IF('4mD'!B18&lt;&gt;"",'4mD'!B18,"")</f>
        <v/>
      </c>
      <c r="C2218" s="82">
        <f>IF('4mD'!B18&lt;&gt;"",'4mD'!C18,"")</f>
        <v/>
      </c>
      <c r="D2218" s="82">
        <f>IF('4mD'!B18&lt;&gt;"",'4mD'!D18,"")</f>
        <v/>
      </c>
      <c r="E2218" s="82">
        <f>IF('4mD'!B18&lt;&gt;"",'4mD'!E18,"")</f>
        <v/>
      </c>
      <c r="F2218" s="82">
        <f>IF('4mD'!B18&lt;&gt;"",'4mD'!F18,"")</f>
        <v/>
      </c>
      <c r="G2218" s="82">
        <f>IF('4mD'!B18&lt;&gt;"",'4mD'!G18,"")</f>
        <v/>
      </c>
      <c r="H2218" s="92">
        <f>IF('4mD'!B18&lt;&gt;"",'4mD'!H18,"")</f>
        <v/>
      </c>
      <c r="I2218" s="92">
        <f>IF('4mD'!B18&lt;&gt;"",'4mD'!I18,"")</f>
        <v/>
      </c>
      <c r="J2218" s="82">
        <f>IF('4mD'!B18&lt;&gt;"",'4mD'!J18,"")</f>
        <v/>
      </c>
    </row>
    <row r="2219" ht="15.75" customHeight="1" s="52">
      <c r="A2219" s="97">
        <f>IF('4mD'!B19&lt;&gt;"","4mD","")</f>
        <v/>
      </c>
      <c r="B2219" s="78">
        <f>IF('4mD'!B19&lt;&gt;"",'4mD'!B19,"")</f>
        <v/>
      </c>
      <c r="C2219" s="78">
        <f>IF('4mD'!B19&lt;&gt;"",'4mD'!C19,"")</f>
        <v/>
      </c>
      <c r="D2219" s="78">
        <f>IF('4mD'!B19&lt;&gt;"",'4mD'!D19,"")</f>
        <v/>
      </c>
      <c r="E2219" s="78">
        <f>IF('4mD'!B19&lt;&gt;"",'4mD'!E19,"")</f>
        <v/>
      </c>
      <c r="F2219" s="78">
        <f>IF('4mD'!B19&lt;&gt;"",'4mD'!F19,"")</f>
        <v/>
      </c>
      <c r="G2219" s="78">
        <f>IF('4mD'!B19&lt;&gt;"",'4mD'!G19,"")</f>
        <v/>
      </c>
      <c r="H2219" s="97">
        <f>IF('4mD'!B19&lt;&gt;"",'4mD'!H19,"")</f>
        <v/>
      </c>
      <c r="I2219" s="97">
        <f>IF('4mD'!B19&lt;&gt;"",'4mD'!I19,"")</f>
        <v/>
      </c>
      <c r="J2219" s="78">
        <f>IF('4mD'!B19&lt;&gt;"",'4mD'!J19,"")</f>
        <v/>
      </c>
    </row>
    <row r="2220" ht="15.75" customHeight="1" s="52">
      <c r="A2220" s="92">
        <f>IF('4mD'!B20&lt;&gt;"","4mD","")</f>
        <v/>
      </c>
      <c r="B2220" s="82">
        <f>IF('4mD'!B20&lt;&gt;"",'4mD'!B20,"")</f>
        <v/>
      </c>
      <c r="C2220" s="82">
        <f>IF('4mD'!B20&lt;&gt;"",'4mD'!C20,"")</f>
        <v/>
      </c>
      <c r="D2220" s="82">
        <f>IF('4mD'!B20&lt;&gt;"",'4mD'!D20,"")</f>
        <v/>
      </c>
      <c r="E2220" s="82">
        <f>IF('4mD'!B20&lt;&gt;"",'4mD'!E20,"")</f>
        <v/>
      </c>
      <c r="F2220" s="82">
        <f>IF('4mD'!B20&lt;&gt;"",'4mD'!F20,"")</f>
        <v/>
      </c>
      <c r="G2220" s="82">
        <f>IF('4mD'!B20&lt;&gt;"",'4mD'!G20,"")</f>
        <v/>
      </c>
      <c r="H2220" s="92">
        <f>IF('4mD'!B20&lt;&gt;"",'4mD'!H20,"")</f>
        <v/>
      </c>
      <c r="I2220" s="92">
        <f>IF('4mD'!B20&lt;&gt;"",'4mD'!I20,"")</f>
        <v/>
      </c>
      <c r="J2220" s="82">
        <f>IF('4mD'!B20&lt;&gt;"",'4mD'!J20,"")</f>
        <v/>
      </c>
    </row>
    <row r="2221" ht="15.75" customHeight="1" s="52">
      <c r="A2221" s="97">
        <f>IF('4mD'!B21&lt;&gt;"","4mD","")</f>
        <v/>
      </c>
      <c r="B2221" s="78">
        <f>IF('4mD'!B21&lt;&gt;"",'4mD'!B21,"")</f>
        <v/>
      </c>
      <c r="C2221" s="78">
        <f>IF('4mD'!B21&lt;&gt;"",'4mD'!C21,"")</f>
        <v/>
      </c>
      <c r="D2221" s="78">
        <f>IF('4mD'!B21&lt;&gt;"",'4mD'!D21,"")</f>
        <v/>
      </c>
      <c r="E2221" s="78">
        <f>IF('4mD'!B21&lt;&gt;"",'4mD'!E21,"")</f>
        <v/>
      </c>
      <c r="F2221" s="78">
        <f>IF('4mD'!B21&lt;&gt;"",'4mD'!F21,"")</f>
        <v/>
      </c>
      <c r="G2221" s="78">
        <f>IF('4mD'!B21&lt;&gt;"",'4mD'!G21,"")</f>
        <v/>
      </c>
      <c r="H2221" s="97">
        <f>IF('4mD'!B21&lt;&gt;"",'4mD'!H21,"")</f>
        <v/>
      </c>
      <c r="I2221" s="97">
        <f>IF('4mD'!B21&lt;&gt;"",'4mD'!I21,"")</f>
        <v/>
      </c>
      <c r="J2221" s="78">
        <f>IF('4mD'!B21&lt;&gt;"",'4mD'!J21,"")</f>
        <v/>
      </c>
    </row>
    <row r="2222" ht="15.75" customHeight="1" s="52">
      <c r="A2222" s="92">
        <f>IF('4mD'!B22&lt;&gt;"","4mD","")</f>
        <v/>
      </c>
      <c r="B2222" s="82">
        <f>IF('4mD'!B22&lt;&gt;"",'4mD'!B22,"")</f>
        <v/>
      </c>
      <c r="C2222" s="82">
        <f>IF('4mD'!B22&lt;&gt;"",'4mD'!C22,"")</f>
        <v/>
      </c>
      <c r="D2222" s="82">
        <f>IF('4mD'!B22&lt;&gt;"",'4mD'!D22,"")</f>
        <v/>
      </c>
      <c r="E2222" s="82">
        <f>IF('4mD'!B22&lt;&gt;"",'4mD'!E22,"")</f>
        <v/>
      </c>
      <c r="F2222" s="82">
        <f>IF('4mD'!B22&lt;&gt;"",'4mD'!F22,"")</f>
        <v/>
      </c>
      <c r="G2222" s="82">
        <f>IF('4mD'!B22&lt;&gt;"",'4mD'!G22,"")</f>
        <v/>
      </c>
      <c r="H2222" s="92">
        <f>IF('4mD'!B22&lt;&gt;"",'4mD'!H22,"")</f>
        <v/>
      </c>
      <c r="I2222" s="92">
        <f>IF('4mD'!B22&lt;&gt;"",'4mD'!I22,"")</f>
        <v/>
      </c>
      <c r="J2222" s="82">
        <f>IF('4mD'!B22&lt;&gt;"",'4mD'!J22,"")</f>
        <v/>
      </c>
    </row>
    <row r="2223" ht="15.75" customHeight="1" s="52">
      <c r="A2223" s="97">
        <f>IF('4mD'!B23&lt;&gt;"","4mD","")</f>
        <v/>
      </c>
      <c r="B2223" s="78">
        <f>IF('4mD'!B23&lt;&gt;"",'4mD'!B23,"")</f>
        <v/>
      </c>
      <c r="C2223" s="78">
        <f>IF('4mD'!B23&lt;&gt;"",'4mD'!C23,"")</f>
        <v/>
      </c>
      <c r="D2223" s="78">
        <f>IF('4mD'!B23&lt;&gt;"",'4mD'!D23,"")</f>
        <v/>
      </c>
      <c r="E2223" s="78">
        <f>IF('4mD'!B23&lt;&gt;"",'4mD'!E23,"")</f>
        <v/>
      </c>
      <c r="F2223" s="78">
        <f>IF('4mD'!B23&lt;&gt;"",'4mD'!F23,"")</f>
        <v/>
      </c>
      <c r="G2223" s="78">
        <f>IF('4mD'!B23&lt;&gt;"",'4mD'!G23,"")</f>
        <v/>
      </c>
      <c r="H2223" s="97">
        <f>IF('4mD'!B23&lt;&gt;"",'4mD'!H23,"")</f>
        <v/>
      </c>
      <c r="I2223" s="97">
        <f>IF('4mD'!B23&lt;&gt;"",'4mD'!I23,"")</f>
        <v/>
      </c>
      <c r="J2223" s="78">
        <f>IF('4mD'!B23&lt;&gt;"",'4mD'!J23,"")</f>
        <v/>
      </c>
    </row>
    <row r="2224" ht="15.75" customHeight="1" s="52">
      <c r="A2224" s="92">
        <f>IF('4mD'!B24&lt;&gt;"","4mD","")</f>
        <v/>
      </c>
      <c r="B2224" s="82">
        <f>IF('4mD'!B24&lt;&gt;"",'4mD'!B24,"")</f>
        <v/>
      </c>
      <c r="C2224" s="82">
        <f>IF('4mD'!B24&lt;&gt;"",'4mD'!C24,"")</f>
        <v/>
      </c>
      <c r="D2224" s="82">
        <f>IF('4mD'!B24&lt;&gt;"",'4mD'!D24,"")</f>
        <v/>
      </c>
      <c r="E2224" s="82">
        <f>IF('4mD'!B24&lt;&gt;"",'4mD'!E24,"")</f>
        <v/>
      </c>
      <c r="F2224" s="82">
        <f>IF('4mD'!B24&lt;&gt;"",'4mD'!F24,"")</f>
        <v/>
      </c>
      <c r="G2224" s="82">
        <f>IF('4mD'!B24&lt;&gt;"",'4mD'!G24,"")</f>
        <v/>
      </c>
      <c r="H2224" s="92">
        <f>IF('4mD'!B24&lt;&gt;"",'4mD'!H24,"")</f>
        <v/>
      </c>
      <c r="I2224" s="92">
        <f>IF('4mD'!B24&lt;&gt;"",'4mD'!I24,"")</f>
        <v/>
      </c>
      <c r="J2224" s="82">
        <f>IF('4mD'!B24&lt;&gt;"",'4mD'!J24,"")</f>
        <v/>
      </c>
    </row>
    <row r="2225" ht="15.75" customHeight="1" s="52">
      <c r="A2225" s="97">
        <f>IF('4mD'!B25&lt;&gt;"","4mD","")</f>
        <v/>
      </c>
      <c r="B2225" s="78">
        <f>IF('4mD'!B25&lt;&gt;"",'4mD'!B25,"")</f>
        <v/>
      </c>
      <c r="C2225" s="78">
        <f>IF('4mD'!B25&lt;&gt;"",'4mD'!C25,"")</f>
        <v/>
      </c>
      <c r="D2225" s="78">
        <f>IF('4mD'!B25&lt;&gt;"",'4mD'!D25,"")</f>
        <v/>
      </c>
      <c r="E2225" s="78">
        <f>IF('4mD'!B25&lt;&gt;"",'4mD'!E25,"")</f>
        <v/>
      </c>
      <c r="F2225" s="78">
        <f>IF('4mD'!B25&lt;&gt;"",'4mD'!F25,"")</f>
        <v/>
      </c>
      <c r="G2225" s="78">
        <f>IF('4mD'!B25&lt;&gt;"",'4mD'!G25,"")</f>
        <v/>
      </c>
      <c r="H2225" s="97">
        <f>IF('4mD'!B25&lt;&gt;"",'4mD'!H25,"")</f>
        <v/>
      </c>
      <c r="I2225" s="97">
        <f>IF('4mD'!B25&lt;&gt;"",'4mD'!I25,"")</f>
        <v/>
      </c>
      <c r="J2225" s="78">
        <f>IF('4mD'!B25&lt;&gt;"",'4mD'!J25,"")</f>
        <v/>
      </c>
    </row>
    <row r="2226" ht="15.75" customHeight="1" s="52">
      <c r="A2226" s="92">
        <f>IF('4mD'!B26&lt;&gt;"","4mD","")</f>
        <v/>
      </c>
      <c r="B2226" s="82">
        <f>IF('4mD'!B26&lt;&gt;"",'4mD'!B26,"")</f>
        <v/>
      </c>
      <c r="C2226" s="82">
        <f>IF('4mD'!B26&lt;&gt;"",'4mD'!C26,"")</f>
        <v/>
      </c>
      <c r="D2226" s="82">
        <f>IF('4mD'!B26&lt;&gt;"",'4mD'!D26,"")</f>
        <v/>
      </c>
      <c r="E2226" s="82">
        <f>IF('4mD'!B26&lt;&gt;"",'4mD'!E26,"")</f>
        <v/>
      </c>
      <c r="F2226" s="82">
        <f>IF('4mD'!B26&lt;&gt;"",'4mD'!F26,"")</f>
        <v/>
      </c>
      <c r="G2226" s="82">
        <f>IF('4mD'!B26&lt;&gt;"",'4mD'!G26,"")</f>
        <v/>
      </c>
      <c r="H2226" s="92">
        <f>IF('4mD'!B26&lt;&gt;"",'4mD'!H26,"")</f>
        <v/>
      </c>
      <c r="I2226" s="92">
        <f>IF('4mD'!B26&lt;&gt;"",'4mD'!I26,"")</f>
        <v/>
      </c>
      <c r="J2226" s="82">
        <f>IF('4mD'!B26&lt;&gt;"",'4mD'!J26,"")</f>
        <v/>
      </c>
    </row>
    <row r="2227" ht="15.75" customHeight="1" s="52">
      <c r="A2227" s="97">
        <f>IF('4mD'!B27&lt;&gt;"","4mD","")</f>
        <v/>
      </c>
      <c r="B2227" s="78">
        <f>IF('4mD'!B27&lt;&gt;"",'4mD'!B27,"")</f>
        <v/>
      </c>
      <c r="C2227" s="78">
        <f>IF('4mD'!B27&lt;&gt;"",'4mD'!C27,"")</f>
        <v/>
      </c>
      <c r="D2227" s="78">
        <f>IF('4mD'!B27&lt;&gt;"",'4mD'!D27,"")</f>
        <v/>
      </c>
      <c r="E2227" s="78">
        <f>IF('4mD'!B27&lt;&gt;"",'4mD'!E27,"")</f>
        <v/>
      </c>
      <c r="F2227" s="78">
        <f>IF('4mD'!B27&lt;&gt;"",'4mD'!F27,"")</f>
        <v/>
      </c>
      <c r="G2227" s="78">
        <f>IF('4mD'!B27&lt;&gt;"",'4mD'!G27,"")</f>
        <v/>
      </c>
      <c r="H2227" s="97">
        <f>IF('4mD'!B27&lt;&gt;"",'4mD'!H27,"")</f>
        <v/>
      </c>
      <c r="I2227" s="97">
        <f>IF('4mD'!B27&lt;&gt;"",'4mD'!I27,"")</f>
        <v/>
      </c>
      <c r="J2227" s="78">
        <f>IF('4mD'!B27&lt;&gt;"",'4mD'!J27,"")</f>
        <v/>
      </c>
    </row>
    <row r="2228" ht="15.75" customHeight="1" s="52">
      <c r="A2228" s="92">
        <f>IF('4mD'!B28&lt;&gt;"","4mD","")</f>
        <v/>
      </c>
      <c r="B2228" s="82">
        <f>IF('4mD'!B28&lt;&gt;"",'4mD'!B28,"")</f>
        <v/>
      </c>
      <c r="C2228" s="82">
        <f>IF('4mD'!B28&lt;&gt;"",'4mD'!C28,"")</f>
        <v/>
      </c>
      <c r="D2228" s="82">
        <f>IF('4mD'!B28&lt;&gt;"",'4mD'!D28,"")</f>
        <v/>
      </c>
      <c r="E2228" s="82">
        <f>IF('4mD'!B28&lt;&gt;"",'4mD'!E28,"")</f>
        <v/>
      </c>
      <c r="F2228" s="82">
        <f>IF('4mD'!B28&lt;&gt;"",'4mD'!F28,"")</f>
        <v/>
      </c>
      <c r="G2228" s="82">
        <f>IF('4mD'!B28&lt;&gt;"",'4mD'!G28,"")</f>
        <v/>
      </c>
      <c r="H2228" s="92">
        <f>IF('4mD'!B28&lt;&gt;"",'4mD'!H28,"")</f>
        <v/>
      </c>
      <c r="I2228" s="92">
        <f>IF('4mD'!B28&lt;&gt;"",'4mD'!I28,"")</f>
        <v/>
      </c>
      <c r="J2228" s="82">
        <f>IF('4mD'!B28&lt;&gt;"",'4mD'!J28,"")</f>
        <v/>
      </c>
    </row>
    <row r="2229" ht="15.75" customHeight="1" s="52">
      <c r="A2229" s="97">
        <f>IF('4mD'!B29&lt;&gt;"","4mD","")</f>
        <v/>
      </c>
      <c r="B2229" s="78">
        <f>IF('4mD'!B29&lt;&gt;"",'4mD'!B29,"")</f>
        <v/>
      </c>
      <c r="C2229" s="78">
        <f>IF('4mD'!B29&lt;&gt;"",'4mD'!C29,"")</f>
        <v/>
      </c>
      <c r="D2229" s="78">
        <f>IF('4mD'!B29&lt;&gt;"",'4mD'!D29,"")</f>
        <v/>
      </c>
      <c r="E2229" s="78">
        <f>IF('4mD'!B29&lt;&gt;"",'4mD'!E29,"")</f>
        <v/>
      </c>
      <c r="F2229" s="78">
        <f>IF('4mD'!B29&lt;&gt;"",'4mD'!F29,"")</f>
        <v/>
      </c>
      <c r="G2229" s="78">
        <f>IF('4mD'!B29&lt;&gt;"",'4mD'!G29,"")</f>
        <v/>
      </c>
      <c r="H2229" s="97">
        <f>IF('4mD'!B29&lt;&gt;"",'4mD'!H29,"")</f>
        <v/>
      </c>
      <c r="I2229" s="97">
        <f>IF('4mD'!B29&lt;&gt;"",'4mD'!I29,"")</f>
        <v/>
      </c>
      <c r="J2229" s="78">
        <f>IF('4mD'!B29&lt;&gt;"",'4mD'!J29,"")</f>
        <v/>
      </c>
    </row>
    <row r="2230" ht="15.75" customHeight="1" s="52">
      <c r="A2230" s="92">
        <f>IF('4mD'!B30&lt;&gt;"","4mD","")</f>
        <v/>
      </c>
      <c r="B2230" s="82">
        <f>IF('4mD'!B30&lt;&gt;"",'4mD'!B30,"")</f>
        <v/>
      </c>
      <c r="C2230" s="82">
        <f>IF('4mD'!B30&lt;&gt;"",'4mD'!C30,"")</f>
        <v/>
      </c>
      <c r="D2230" s="82">
        <f>IF('4mD'!B30&lt;&gt;"",'4mD'!D30,"")</f>
        <v/>
      </c>
      <c r="E2230" s="82">
        <f>IF('4mD'!B30&lt;&gt;"",'4mD'!E30,"")</f>
        <v/>
      </c>
      <c r="F2230" s="82">
        <f>IF('4mD'!B30&lt;&gt;"",'4mD'!F30,"")</f>
        <v/>
      </c>
      <c r="G2230" s="82">
        <f>IF('4mD'!B30&lt;&gt;"",'4mD'!G30,"")</f>
        <v/>
      </c>
      <c r="H2230" s="92">
        <f>IF('4mD'!B30&lt;&gt;"",'4mD'!H30,"")</f>
        <v/>
      </c>
      <c r="I2230" s="92">
        <f>IF('4mD'!B30&lt;&gt;"",'4mD'!I30,"")</f>
        <v/>
      </c>
      <c r="J2230" s="82">
        <f>IF('4mD'!B30&lt;&gt;"",'4mD'!J30,"")</f>
        <v/>
      </c>
    </row>
    <row r="2231" ht="15.75" customHeight="1" s="52">
      <c r="A2231" s="97">
        <f>IF('4mD'!B31&lt;&gt;"","4mD","")</f>
        <v/>
      </c>
      <c r="B2231" s="78">
        <f>IF('4mD'!B31&lt;&gt;"",'4mD'!B31,"")</f>
        <v/>
      </c>
      <c r="C2231" s="78">
        <f>IF('4mD'!B31&lt;&gt;"",'4mD'!C31,"")</f>
        <v/>
      </c>
      <c r="D2231" s="78">
        <f>IF('4mD'!B31&lt;&gt;"",'4mD'!D31,"")</f>
        <v/>
      </c>
      <c r="E2231" s="78">
        <f>IF('4mD'!B31&lt;&gt;"",'4mD'!E31,"")</f>
        <v/>
      </c>
      <c r="F2231" s="78">
        <f>IF('4mD'!B31&lt;&gt;"",'4mD'!F31,"")</f>
        <v/>
      </c>
      <c r="G2231" s="78">
        <f>IF('4mD'!B31&lt;&gt;"",'4mD'!G31,"")</f>
        <v/>
      </c>
      <c r="H2231" s="97">
        <f>IF('4mD'!B31&lt;&gt;"",'4mD'!H31,"")</f>
        <v/>
      </c>
      <c r="I2231" s="97">
        <f>IF('4mD'!B31&lt;&gt;"",'4mD'!I31,"")</f>
        <v/>
      </c>
      <c r="J2231" s="78">
        <f>IF('4mD'!B31&lt;&gt;"",'4mD'!J31,"")</f>
        <v/>
      </c>
    </row>
    <row r="2232" ht="15.75" customHeight="1" s="52">
      <c r="A2232" s="92">
        <f>IF('4mD'!B32&lt;&gt;"","4mD","")</f>
        <v/>
      </c>
      <c r="B2232" s="82">
        <f>IF('4mD'!B32&lt;&gt;"",'4mD'!B32,"")</f>
        <v/>
      </c>
      <c r="C2232" s="82">
        <f>IF('4mD'!B32&lt;&gt;"",'4mD'!C32,"")</f>
        <v/>
      </c>
      <c r="D2232" s="82">
        <f>IF('4mD'!B32&lt;&gt;"",'4mD'!D32,"")</f>
        <v/>
      </c>
      <c r="E2232" s="82">
        <f>IF('4mD'!B32&lt;&gt;"",'4mD'!E32,"")</f>
        <v/>
      </c>
      <c r="F2232" s="82">
        <f>IF('4mD'!B32&lt;&gt;"",'4mD'!F32,"")</f>
        <v/>
      </c>
      <c r="G2232" s="82">
        <f>IF('4mD'!B32&lt;&gt;"",'4mD'!G32,"")</f>
        <v/>
      </c>
      <c r="H2232" s="92">
        <f>IF('4mD'!B32&lt;&gt;"",'4mD'!H32,"")</f>
        <v/>
      </c>
      <c r="I2232" s="92">
        <f>IF('4mD'!B32&lt;&gt;"",'4mD'!I32,"")</f>
        <v/>
      </c>
      <c r="J2232" s="82">
        <f>IF('4mD'!B32&lt;&gt;"",'4mD'!J32,"")</f>
        <v/>
      </c>
    </row>
    <row r="2233" ht="15.75" customHeight="1" s="52">
      <c r="A2233" s="97">
        <f>IF('4mD'!B33&lt;&gt;"","4mD","")</f>
        <v/>
      </c>
      <c r="B2233" s="78">
        <f>IF('4mD'!B33&lt;&gt;"",'4mD'!B33,"")</f>
        <v/>
      </c>
      <c r="C2233" s="78">
        <f>IF('4mD'!B33&lt;&gt;"",'4mD'!C33,"")</f>
        <v/>
      </c>
      <c r="D2233" s="78">
        <f>IF('4mD'!B33&lt;&gt;"",'4mD'!D33,"")</f>
        <v/>
      </c>
      <c r="E2233" s="78">
        <f>IF('4mD'!B33&lt;&gt;"",'4mD'!E33,"")</f>
        <v/>
      </c>
      <c r="F2233" s="78">
        <f>IF('4mD'!B33&lt;&gt;"",'4mD'!F33,"")</f>
        <v/>
      </c>
      <c r="G2233" s="78">
        <f>IF('4mD'!B33&lt;&gt;"",'4mD'!G33,"")</f>
        <v/>
      </c>
      <c r="H2233" s="97">
        <f>IF('4mD'!B33&lt;&gt;"",'4mD'!H33,"")</f>
        <v/>
      </c>
      <c r="I2233" s="97">
        <f>IF('4mD'!B33&lt;&gt;"",'4mD'!I33,"")</f>
        <v/>
      </c>
      <c r="J2233" s="78">
        <f>IF('4mD'!B33&lt;&gt;"",'4mD'!J33,"")</f>
        <v/>
      </c>
    </row>
    <row r="2234" ht="15.75" customHeight="1" s="52">
      <c r="A2234" s="92">
        <f>IF('4mD'!B34&lt;&gt;"","4mD","")</f>
        <v/>
      </c>
      <c r="B2234" s="82">
        <f>IF('4mD'!B34&lt;&gt;"",'4mD'!B34,"")</f>
        <v/>
      </c>
      <c r="C2234" s="82">
        <f>IF('4mD'!B34&lt;&gt;"",'4mD'!C34,"")</f>
        <v/>
      </c>
      <c r="D2234" s="82">
        <f>IF('4mD'!B34&lt;&gt;"",'4mD'!D34,"")</f>
        <v/>
      </c>
      <c r="E2234" s="82">
        <f>IF('4mD'!B34&lt;&gt;"",'4mD'!E34,"")</f>
        <v/>
      </c>
      <c r="F2234" s="82">
        <f>IF('4mD'!B34&lt;&gt;"",'4mD'!F34,"")</f>
        <v/>
      </c>
      <c r="G2234" s="82">
        <f>IF('4mD'!B34&lt;&gt;"",'4mD'!G34,"")</f>
        <v/>
      </c>
      <c r="H2234" s="92">
        <f>IF('4mD'!B34&lt;&gt;"",'4mD'!H34,"")</f>
        <v/>
      </c>
      <c r="I2234" s="92">
        <f>IF('4mD'!B34&lt;&gt;"",'4mD'!I34,"")</f>
        <v/>
      </c>
      <c r="J2234" s="82">
        <f>IF('4mD'!B34&lt;&gt;"",'4mD'!J34,"")</f>
        <v/>
      </c>
    </row>
    <row r="2235" ht="15.75" customHeight="1" s="52">
      <c r="A2235" s="97">
        <f>IF('4mD'!B35&lt;&gt;"","4mD","")</f>
        <v/>
      </c>
      <c r="B2235" s="78">
        <f>IF('4mD'!B35&lt;&gt;"",'4mD'!B35,"")</f>
        <v/>
      </c>
      <c r="C2235" s="78">
        <f>IF('4mD'!B35&lt;&gt;"",'4mD'!C35,"")</f>
        <v/>
      </c>
      <c r="D2235" s="78">
        <f>IF('4mD'!B35&lt;&gt;"",'4mD'!D35,"")</f>
        <v/>
      </c>
      <c r="E2235" s="78">
        <f>IF('4mD'!B35&lt;&gt;"",'4mD'!E35,"")</f>
        <v/>
      </c>
      <c r="F2235" s="78">
        <f>IF('4mD'!B35&lt;&gt;"",'4mD'!F35,"")</f>
        <v/>
      </c>
      <c r="G2235" s="78">
        <f>IF('4mD'!B35&lt;&gt;"",'4mD'!G35,"")</f>
        <v/>
      </c>
      <c r="H2235" s="97">
        <f>IF('4mD'!B35&lt;&gt;"",'4mD'!H35,"")</f>
        <v/>
      </c>
      <c r="I2235" s="97">
        <f>IF('4mD'!B35&lt;&gt;"",'4mD'!I35,"")</f>
        <v/>
      </c>
      <c r="J2235" s="78">
        <f>IF('4mD'!B35&lt;&gt;"",'4mD'!J35,"")</f>
        <v/>
      </c>
    </row>
    <row r="2236" ht="15.75" customHeight="1" s="52">
      <c r="A2236" s="92">
        <f>IF('4mD'!B36&lt;&gt;"","4mD","")</f>
        <v/>
      </c>
      <c r="B2236" s="82">
        <f>IF('4mD'!B36&lt;&gt;"",'4mD'!B36,"")</f>
        <v/>
      </c>
      <c r="C2236" s="82">
        <f>IF('4mD'!B36&lt;&gt;"",'4mD'!C36,"")</f>
        <v/>
      </c>
      <c r="D2236" s="82">
        <f>IF('4mD'!B36&lt;&gt;"",'4mD'!D36,"")</f>
        <v/>
      </c>
      <c r="E2236" s="82">
        <f>IF('4mD'!B36&lt;&gt;"",'4mD'!E36,"")</f>
        <v/>
      </c>
      <c r="F2236" s="82">
        <f>IF('4mD'!B36&lt;&gt;"",'4mD'!F36,"")</f>
        <v/>
      </c>
      <c r="G2236" s="82">
        <f>IF('4mD'!B36&lt;&gt;"",'4mD'!G36,"")</f>
        <v/>
      </c>
      <c r="H2236" s="92">
        <f>IF('4mD'!B36&lt;&gt;"",'4mD'!H36,"")</f>
        <v/>
      </c>
      <c r="I2236" s="92">
        <f>IF('4mD'!B36&lt;&gt;"",'4mD'!I36,"")</f>
        <v/>
      </c>
      <c r="J2236" s="82">
        <f>IF('4mD'!B36&lt;&gt;"",'4mD'!J36,"")</f>
        <v/>
      </c>
    </row>
    <row r="2237" ht="15.75" customHeight="1" s="52">
      <c r="A2237" s="97">
        <f>IF('4mD'!B37&lt;&gt;"","4mD","")</f>
        <v/>
      </c>
      <c r="B2237" s="78">
        <f>IF('4mD'!B37&lt;&gt;"",'4mD'!B37,"")</f>
        <v/>
      </c>
      <c r="C2237" s="78">
        <f>IF('4mD'!B37&lt;&gt;"",'4mD'!C37,"")</f>
        <v/>
      </c>
      <c r="D2237" s="78">
        <f>IF('4mD'!B37&lt;&gt;"",'4mD'!D37,"")</f>
        <v/>
      </c>
      <c r="E2237" s="78">
        <f>IF('4mD'!B37&lt;&gt;"",'4mD'!E37,"")</f>
        <v/>
      </c>
      <c r="F2237" s="78">
        <f>IF('4mD'!B37&lt;&gt;"",'4mD'!F37,"")</f>
        <v/>
      </c>
      <c r="G2237" s="78">
        <f>IF('4mD'!B37&lt;&gt;"",'4mD'!G37,"")</f>
        <v/>
      </c>
      <c r="H2237" s="97">
        <f>IF('4mD'!B37&lt;&gt;"",'4mD'!H37,"")</f>
        <v/>
      </c>
      <c r="I2237" s="97">
        <f>IF('4mD'!B37&lt;&gt;"",'4mD'!I37,"")</f>
        <v/>
      </c>
      <c r="J2237" s="78">
        <f>IF('4mD'!B37&lt;&gt;"",'4mD'!J37,"")</f>
        <v/>
      </c>
    </row>
    <row r="2238" ht="15.75" customHeight="1" s="52">
      <c r="A2238" s="92">
        <f>IF('4mD'!B38&lt;&gt;"","4mD","")</f>
        <v/>
      </c>
      <c r="B2238" s="82">
        <f>IF('4mD'!B38&lt;&gt;"",'4mD'!B38,"")</f>
        <v/>
      </c>
      <c r="C2238" s="82">
        <f>IF('4mD'!B38&lt;&gt;"",'4mD'!C38,"")</f>
        <v/>
      </c>
      <c r="D2238" s="82">
        <f>IF('4mD'!B38&lt;&gt;"",'4mD'!D38,"")</f>
        <v/>
      </c>
      <c r="E2238" s="82">
        <f>IF('4mD'!B38&lt;&gt;"",'4mD'!E38,"")</f>
        <v/>
      </c>
      <c r="F2238" s="82">
        <f>IF('4mD'!B38&lt;&gt;"",'4mD'!F38,"")</f>
        <v/>
      </c>
      <c r="G2238" s="82">
        <f>IF('4mD'!B38&lt;&gt;"",'4mD'!G38,"")</f>
        <v/>
      </c>
      <c r="H2238" s="92">
        <f>IF('4mD'!B38&lt;&gt;"",'4mD'!H38,"")</f>
        <v/>
      </c>
      <c r="I2238" s="92">
        <f>IF('4mD'!B38&lt;&gt;"",'4mD'!I38,"")</f>
        <v/>
      </c>
      <c r="J2238" s="82">
        <f>IF('4mD'!B38&lt;&gt;"",'4mD'!J38,"")</f>
        <v/>
      </c>
    </row>
    <row r="2239" ht="15.75" customHeight="1" s="52">
      <c r="A2239" s="97">
        <f>IF('4mD'!B39&lt;&gt;"","4mD","")</f>
        <v/>
      </c>
      <c r="B2239" s="78">
        <f>IF('4mD'!B39&lt;&gt;"",'4mD'!B39,"")</f>
        <v/>
      </c>
      <c r="C2239" s="78">
        <f>IF('4mD'!B39&lt;&gt;"",'4mD'!C39,"")</f>
        <v/>
      </c>
      <c r="D2239" s="78">
        <f>IF('4mD'!B39&lt;&gt;"",'4mD'!D39,"")</f>
        <v/>
      </c>
      <c r="E2239" s="78">
        <f>IF('4mD'!B39&lt;&gt;"",'4mD'!E39,"")</f>
        <v/>
      </c>
      <c r="F2239" s="78">
        <f>IF('4mD'!B39&lt;&gt;"",'4mD'!F39,"")</f>
        <v/>
      </c>
      <c r="G2239" s="78">
        <f>IF('4mD'!B39&lt;&gt;"",'4mD'!G39,"")</f>
        <v/>
      </c>
      <c r="H2239" s="97">
        <f>IF('4mD'!B39&lt;&gt;"",'4mD'!H39,"")</f>
        <v/>
      </c>
      <c r="I2239" s="97">
        <f>IF('4mD'!B39&lt;&gt;"",'4mD'!I39,"")</f>
        <v/>
      </c>
      <c r="J2239" s="78">
        <f>IF('4mD'!B39&lt;&gt;"",'4mD'!J39,"")</f>
        <v/>
      </c>
    </row>
    <row r="2240" ht="15.75" customHeight="1" s="52">
      <c r="A2240" s="92">
        <f>IF('4mD'!B40&lt;&gt;"","4mD","")</f>
        <v/>
      </c>
      <c r="B2240" s="82">
        <f>IF('4mD'!B40&lt;&gt;"",'4mD'!B40,"")</f>
        <v/>
      </c>
      <c r="C2240" s="82">
        <f>IF('4mD'!B40&lt;&gt;"",'4mD'!C40,"")</f>
        <v/>
      </c>
      <c r="D2240" s="82">
        <f>IF('4mD'!B40&lt;&gt;"",'4mD'!D40,"")</f>
        <v/>
      </c>
      <c r="E2240" s="82">
        <f>IF('4mD'!B40&lt;&gt;"",'4mD'!E40,"")</f>
        <v/>
      </c>
      <c r="F2240" s="82">
        <f>IF('4mD'!B40&lt;&gt;"",'4mD'!F40,"")</f>
        <v/>
      </c>
      <c r="G2240" s="82">
        <f>IF('4mD'!B40&lt;&gt;"",'4mD'!G40,"")</f>
        <v/>
      </c>
      <c r="H2240" s="92">
        <f>IF('4mD'!B40&lt;&gt;"",'4mD'!H40,"")</f>
        <v/>
      </c>
      <c r="I2240" s="92">
        <f>IF('4mD'!B40&lt;&gt;"",'4mD'!I40,"")</f>
        <v/>
      </c>
      <c r="J2240" s="82">
        <f>IF('4mD'!B40&lt;&gt;"",'4mD'!J40,"")</f>
        <v/>
      </c>
    </row>
    <row r="2241" ht="15.75" customHeight="1" s="52">
      <c r="A2241" s="97">
        <f>IF('4mD'!B41&lt;&gt;"","4mD","")</f>
        <v/>
      </c>
      <c r="B2241" s="78">
        <f>IF('4mD'!B41&lt;&gt;"",'4mD'!B41,"")</f>
        <v/>
      </c>
      <c r="C2241" s="78">
        <f>IF('4mD'!B41&lt;&gt;"",'4mD'!C41,"")</f>
        <v/>
      </c>
      <c r="D2241" s="78">
        <f>IF('4mD'!B41&lt;&gt;"",'4mD'!D41,"")</f>
        <v/>
      </c>
      <c r="E2241" s="78">
        <f>IF('4mD'!B41&lt;&gt;"",'4mD'!E41,"")</f>
        <v/>
      </c>
      <c r="F2241" s="78">
        <f>IF('4mD'!B41&lt;&gt;"",'4mD'!F41,"")</f>
        <v/>
      </c>
      <c r="G2241" s="78">
        <f>IF('4mD'!B41&lt;&gt;"",'4mD'!G41,"")</f>
        <v/>
      </c>
      <c r="H2241" s="97">
        <f>IF('4mD'!B41&lt;&gt;"",'4mD'!H41,"")</f>
        <v/>
      </c>
      <c r="I2241" s="97">
        <f>IF('4mD'!B41&lt;&gt;"",'4mD'!I41,"")</f>
        <v/>
      </c>
      <c r="J2241" s="78">
        <f>IF('4mD'!B41&lt;&gt;"",'4mD'!J41,"")</f>
        <v/>
      </c>
    </row>
    <row r="2242" ht="15.75" customHeight="1" s="52">
      <c r="A2242" s="92">
        <f>IF('4mD'!B42&lt;&gt;"","4mD","")</f>
        <v/>
      </c>
      <c r="B2242" s="82">
        <f>IF('4mD'!B42&lt;&gt;"",'4mD'!B42,"")</f>
        <v/>
      </c>
      <c r="C2242" s="82">
        <f>IF('4mD'!B42&lt;&gt;"",'4mD'!C42,"")</f>
        <v/>
      </c>
      <c r="D2242" s="82">
        <f>IF('4mD'!B42&lt;&gt;"",'4mD'!D42,"")</f>
        <v/>
      </c>
      <c r="E2242" s="82">
        <f>IF('4mD'!B42&lt;&gt;"",'4mD'!E42,"")</f>
        <v/>
      </c>
      <c r="F2242" s="82">
        <f>IF('4mD'!B42&lt;&gt;"",'4mD'!F42,"")</f>
        <v/>
      </c>
      <c r="G2242" s="82">
        <f>IF('4mD'!B42&lt;&gt;"",'4mD'!G42,"")</f>
        <v/>
      </c>
      <c r="H2242" s="92">
        <f>IF('4mD'!B42&lt;&gt;"",'4mD'!H42,"")</f>
        <v/>
      </c>
      <c r="I2242" s="92">
        <f>IF('4mD'!B42&lt;&gt;"",'4mD'!I42,"")</f>
        <v/>
      </c>
      <c r="J2242" s="82">
        <f>IF('4mD'!B42&lt;&gt;"",'4mD'!J42,"")</f>
        <v/>
      </c>
    </row>
    <row r="2243" ht="15.75" customHeight="1" s="52">
      <c r="A2243" s="97">
        <f>IF('4mD'!B43&lt;&gt;"","4mD","")</f>
        <v/>
      </c>
      <c r="B2243" s="78">
        <f>IF('4mD'!B43&lt;&gt;"",'4mD'!B43,"")</f>
        <v/>
      </c>
      <c r="C2243" s="78">
        <f>IF('4mD'!B43&lt;&gt;"",'4mD'!C43,"")</f>
        <v/>
      </c>
      <c r="D2243" s="78">
        <f>IF('4mD'!B43&lt;&gt;"",'4mD'!D43,"")</f>
        <v/>
      </c>
      <c r="E2243" s="78">
        <f>IF('4mD'!B43&lt;&gt;"",'4mD'!E43,"")</f>
        <v/>
      </c>
      <c r="F2243" s="78">
        <f>IF('4mD'!B43&lt;&gt;"",'4mD'!F43,"")</f>
        <v/>
      </c>
      <c r="G2243" s="78">
        <f>IF('4mD'!B43&lt;&gt;"",'4mD'!G43,"")</f>
        <v/>
      </c>
      <c r="H2243" s="97">
        <f>IF('4mD'!B43&lt;&gt;"",'4mD'!H43,"")</f>
        <v/>
      </c>
      <c r="I2243" s="97">
        <f>IF('4mD'!B43&lt;&gt;"",'4mD'!I43,"")</f>
        <v/>
      </c>
      <c r="J2243" s="78">
        <f>IF('4mD'!B43&lt;&gt;"",'4mD'!J43,"")</f>
        <v/>
      </c>
    </row>
    <row r="2244" ht="15.75" customHeight="1" s="52">
      <c r="A2244" s="92">
        <f>IF('4mD'!B44&lt;&gt;"","4mD","")</f>
        <v/>
      </c>
      <c r="B2244" s="82">
        <f>IF('4mD'!B44&lt;&gt;"",'4mD'!B44,"")</f>
        <v/>
      </c>
      <c r="C2244" s="82">
        <f>IF('4mD'!B44&lt;&gt;"",'4mD'!C44,"")</f>
        <v/>
      </c>
      <c r="D2244" s="82">
        <f>IF('4mD'!B44&lt;&gt;"",'4mD'!D44,"")</f>
        <v/>
      </c>
      <c r="E2244" s="82">
        <f>IF('4mD'!B44&lt;&gt;"",'4mD'!E44,"")</f>
        <v/>
      </c>
      <c r="F2244" s="82">
        <f>IF('4mD'!B44&lt;&gt;"",'4mD'!F44,"")</f>
        <v/>
      </c>
      <c r="G2244" s="82">
        <f>IF('4mD'!B44&lt;&gt;"",'4mD'!G44,"")</f>
        <v/>
      </c>
      <c r="H2244" s="92">
        <f>IF('4mD'!B44&lt;&gt;"",'4mD'!H44,"")</f>
        <v/>
      </c>
      <c r="I2244" s="92">
        <f>IF('4mD'!B44&lt;&gt;"",'4mD'!I44,"")</f>
        <v/>
      </c>
      <c r="J2244" s="82">
        <f>IF('4mD'!B44&lt;&gt;"",'4mD'!J44,"")</f>
        <v/>
      </c>
    </row>
    <row r="2245" ht="15.75" customHeight="1" s="52">
      <c r="A2245" s="97">
        <f>IF('4mD'!B45&lt;&gt;"","4mD","")</f>
        <v/>
      </c>
      <c r="B2245" s="78">
        <f>IF('4mD'!B45&lt;&gt;"",'4mD'!B45,"")</f>
        <v/>
      </c>
      <c r="C2245" s="78">
        <f>IF('4mD'!B45&lt;&gt;"",'4mD'!C45,"")</f>
        <v/>
      </c>
      <c r="D2245" s="78">
        <f>IF('4mD'!B45&lt;&gt;"",'4mD'!D45,"")</f>
        <v/>
      </c>
      <c r="E2245" s="78">
        <f>IF('4mD'!B45&lt;&gt;"",'4mD'!E45,"")</f>
        <v/>
      </c>
      <c r="F2245" s="78">
        <f>IF('4mD'!B45&lt;&gt;"",'4mD'!F45,"")</f>
        <v/>
      </c>
      <c r="G2245" s="78">
        <f>IF('4mD'!B45&lt;&gt;"",'4mD'!G45,"")</f>
        <v/>
      </c>
      <c r="H2245" s="97">
        <f>IF('4mD'!B45&lt;&gt;"",'4mD'!H45,"")</f>
        <v/>
      </c>
      <c r="I2245" s="97">
        <f>IF('4mD'!B45&lt;&gt;"",'4mD'!I45,"")</f>
        <v/>
      </c>
      <c r="J2245" s="78">
        <f>IF('4mD'!B45&lt;&gt;"",'4mD'!J45,"")</f>
        <v/>
      </c>
    </row>
    <row r="2246" ht="15.75" customHeight="1" s="52">
      <c r="A2246" s="92">
        <f>IF('4mD'!B46&lt;&gt;"","4mD","")</f>
        <v/>
      </c>
      <c r="B2246" s="82">
        <f>IF('4mD'!B46&lt;&gt;"",'4mD'!B46,"")</f>
        <v/>
      </c>
      <c r="C2246" s="82">
        <f>IF('4mD'!B46&lt;&gt;"",'4mD'!C46,"")</f>
        <v/>
      </c>
      <c r="D2246" s="82">
        <f>IF('4mD'!B46&lt;&gt;"",'4mD'!D46,"")</f>
        <v/>
      </c>
      <c r="E2246" s="82">
        <f>IF('4mD'!B46&lt;&gt;"",'4mD'!E46,"")</f>
        <v/>
      </c>
      <c r="F2246" s="82">
        <f>IF('4mD'!B46&lt;&gt;"",'4mD'!F46,"")</f>
        <v/>
      </c>
      <c r="G2246" s="82">
        <f>IF('4mD'!B46&lt;&gt;"",'4mD'!G46,"")</f>
        <v/>
      </c>
      <c r="H2246" s="92">
        <f>IF('4mD'!B46&lt;&gt;"",'4mD'!H46,"")</f>
        <v/>
      </c>
      <c r="I2246" s="92">
        <f>IF('4mD'!B46&lt;&gt;"",'4mD'!I46,"")</f>
        <v/>
      </c>
      <c r="J2246" s="82">
        <f>IF('4mD'!B46&lt;&gt;"",'4mD'!J46,"")</f>
        <v/>
      </c>
    </row>
    <row r="2247" ht="15.75" customHeight="1" s="52">
      <c r="A2247" s="97">
        <f>IF('4mD'!B47&lt;&gt;"","4mD","")</f>
        <v/>
      </c>
      <c r="B2247" s="78">
        <f>IF('4mD'!B47&lt;&gt;"",'4mD'!B47,"")</f>
        <v/>
      </c>
      <c r="C2247" s="78">
        <f>IF('4mD'!B47&lt;&gt;"",'4mD'!C47,"")</f>
        <v/>
      </c>
      <c r="D2247" s="78">
        <f>IF('4mD'!B47&lt;&gt;"",'4mD'!D47,"")</f>
        <v/>
      </c>
      <c r="E2247" s="78">
        <f>IF('4mD'!B47&lt;&gt;"",'4mD'!E47,"")</f>
        <v/>
      </c>
      <c r="F2247" s="78">
        <f>IF('4mD'!B47&lt;&gt;"",'4mD'!F47,"")</f>
        <v/>
      </c>
      <c r="G2247" s="78">
        <f>IF('4mD'!B47&lt;&gt;"",'4mD'!G47,"")</f>
        <v/>
      </c>
      <c r="H2247" s="97">
        <f>IF('4mD'!B47&lt;&gt;"",'4mD'!H47,"")</f>
        <v/>
      </c>
      <c r="I2247" s="97">
        <f>IF('4mD'!B47&lt;&gt;"",'4mD'!I47,"")</f>
        <v/>
      </c>
      <c r="J2247" s="78">
        <f>IF('4mD'!B47&lt;&gt;"",'4mD'!J47,"")</f>
        <v/>
      </c>
    </row>
    <row r="2248" ht="15.75" customHeight="1" s="52">
      <c r="A2248" s="92">
        <f>IF('4mD'!B48&lt;&gt;"","4mD","")</f>
        <v/>
      </c>
      <c r="B2248" s="82">
        <f>IF('4mD'!B48&lt;&gt;"",'4mD'!B48,"")</f>
        <v/>
      </c>
      <c r="C2248" s="82">
        <f>IF('4mD'!B48&lt;&gt;"",'4mD'!C48,"")</f>
        <v/>
      </c>
      <c r="D2248" s="82">
        <f>IF('4mD'!B48&lt;&gt;"",'4mD'!D48,"")</f>
        <v/>
      </c>
      <c r="E2248" s="82">
        <f>IF('4mD'!B48&lt;&gt;"",'4mD'!E48,"")</f>
        <v/>
      </c>
      <c r="F2248" s="82">
        <f>IF('4mD'!B48&lt;&gt;"",'4mD'!F48,"")</f>
        <v/>
      </c>
      <c r="G2248" s="82">
        <f>IF('4mD'!B48&lt;&gt;"",'4mD'!G48,"")</f>
        <v/>
      </c>
      <c r="H2248" s="92">
        <f>IF('4mD'!B48&lt;&gt;"",'4mD'!H48,"")</f>
        <v/>
      </c>
      <c r="I2248" s="92">
        <f>IF('4mD'!B48&lt;&gt;"",'4mD'!I48,"")</f>
        <v/>
      </c>
      <c r="J2248" s="82">
        <f>IF('4mD'!B48&lt;&gt;"",'4mD'!J48,"")</f>
        <v/>
      </c>
    </row>
    <row r="2249" ht="15.75" customHeight="1" s="52">
      <c r="A2249" s="97">
        <f>IF('4mD'!B49&lt;&gt;"","4mD","")</f>
        <v/>
      </c>
      <c r="B2249" s="78">
        <f>IF('4mD'!B49&lt;&gt;"",'4mD'!B49,"")</f>
        <v/>
      </c>
      <c r="C2249" s="78">
        <f>IF('4mD'!B49&lt;&gt;"",'4mD'!C49,"")</f>
        <v/>
      </c>
      <c r="D2249" s="78">
        <f>IF('4mD'!B49&lt;&gt;"",'4mD'!D49,"")</f>
        <v/>
      </c>
      <c r="E2249" s="78">
        <f>IF('4mD'!B49&lt;&gt;"",'4mD'!E49,"")</f>
        <v/>
      </c>
      <c r="F2249" s="78">
        <f>IF('4mD'!B49&lt;&gt;"",'4mD'!F49,"")</f>
        <v/>
      </c>
      <c r="G2249" s="78">
        <f>IF('4mD'!B49&lt;&gt;"",'4mD'!G49,"")</f>
        <v/>
      </c>
      <c r="H2249" s="97">
        <f>IF('4mD'!B49&lt;&gt;"",'4mD'!H49,"")</f>
        <v/>
      </c>
      <c r="I2249" s="97">
        <f>IF('4mD'!B49&lt;&gt;"",'4mD'!I49,"")</f>
        <v/>
      </c>
      <c r="J2249" s="78">
        <f>IF('4mD'!B49&lt;&gt;"",'4mD'!J49,"")</f>
        <v/>
      </c>
    </row>
    <row r="2250" ht="15.75" customHeight="1" s="52">
      <c r="A2250" s="92">
        <f>IF('4mD'!B50&lt;&gt;"","4mD","")</f>
        <v/>
      </c>
      <c r="B2250" s="82">
        <f>IF('4mD'!B50&lt;&gt;"",'4mD'!B50,"")</f>
        <v/>
      </c>
      <c r="C2250" s="82">
        <f>IF('4mD'!B50&lt;&gt;"",'4mD'!C50,"")</f>
        <v/>
      </c>
      <c r="D2250" s="82">
        <f>IF('4mD'!B50&lt;&gt;"",'4mD'!D50,"")</f>
        <v/>
      </c>
      <c r="E2250" s="82">
        <f>IF('4mD'!B50&lt;&gt;"",'4mD'!E50,"")</f>
        <v/>
      </c>
      <c r="F2250" s="82">
        <f>IF('4mD'!B50&lt;&gt;"",'4mD'!F50,"")</f>
        <v/>
      </c>
      <c r="G2250" s="82">
        <f>IF('4mD'!B50&lt;&gt;"",'4mD'!G50,"")</f>
        <v/>
      </c>
      <c r="H2250" s="92">
        <f>IF('4mD'!B50&lt;&gt;"",'4mD'!H50,"")</f>
        <v/>
      </c>
      <c r="I2250" s="92">
        <f>IF('4mD'!B50&lt;&gt;"",'4mD'!I50,"")</f>
        <v/>
      </c>
      <c r="J2250" s="82">
        <f>IF('4mD'!B50&lt;&gt;"",'4mD'!J50,"")</f>
        <v/>
      </c>
    </row>
    <row r="2251" ht="15.75" customHeight="1" s="52">
      <c r="A2251" s="97">
        <f>IF('4mD'!B51&lt;&gt;"","4mD","")</f>
        <v/>
      </c>
      <c r="B2251" s="78">
        <f>IF('4mD'!B51&lt;&gt;"",'4mD'!B51,"")</f>
        <v/>
      </c>
      <c r="C2251" s="78">
        <f>IF('4mD'!B51&lt;&gt;"",'4mD'!C51,"")</f>
        <v/>
      </c>
      <c r="D2251" s="78">
        <f>IF('4mD'!B51&lt;&gt;"",'4mD'!D51,"")</f>
        <v/>
      </c>
      <c r="E2251" s="78">
        <f>IF('4mD'!B51&lt;&gt;"",'4mD'!E51,"")</f>
        <v/>
      </c>
      <c r="F2251" s="78">
        <f>IF('4mD'!B51&lt;&gt;"",'4mD'!F51,"")</f>
        <v/>
      </c>
      <c r="G2251" s="78">
        <f>IF('4mD'!B51&lt;&gt;"",'4mD'!G51,"")</f>
        <v/>
      </c>
      <c r="H2251" s="97">
        <f>IF('4mD'!B51&lt;&gt;"",'4mD'!H51,"")</f>
        <v/>
      </c>
      <c r="I2251" s="97">
        <f>IF('4mD'!B51&lt;&gt;"",'4mD'!I51,"")</f>
        <v/>
      </c>
      <c r="J2251" s="78">
        <f>IF('4mD'!B51&lt;&gt;"",'4mD'!J51,"")</f>
        <v/>
      </c>
    </row>
    <row r="2252" ht="15.75" customHeight="1" s="52">
      <c r="A2252" s="92">
        <f>IF('4mD'!B52&lt;&gt;"","4mD","")</f>
        <v/>
      </c>
      <c r="B2252" s="82">
        <f>IF('4mD'!B52&lt;&gt;"",'4mD'!B52,"")</f>
        <v/>
      </c>
      <c r="C2252" s="82">
        <f>IF('4mD'!B52&lt;&gt;"",'4mD'!C52,"")</f>
        <v/>
      </c>
      <c r="D2252" s="82">
        <f>IF('4mD'!B52&lt;&gt;"",'4mD'!D52,"")</f>
        <v/>
      </c>
      <c r="E2252" s="82">
        <f>IF('4mD'!B52&lt;&gt;"",'4mD'!E52,"")</f>
        <v/>
      </c>
      <c r="F2252" s="82">
        <f>IF('4mD'!B52&lt;&gt;"",'4mD'!F52,"")</f>
        <v/>
      </c>
      <c r="G2252" s="82">
        <f>IF('4mD'!B52&lt;&gt;"",'4mD'!G52,"")</f>
        <v/>
      </c>
      <c r="H2252" s="92">
        <f>IF('4mD'!B52&lt;&gt;"",'4mD'!H52,"")</f>
        <v/>
      </c>
      <c r="I2252" s="92">
        <f>IF('4mD'!B52&lt;&gt;"",'4mD'!I52,"")</f>
        <v/>
      </c>
      <c r="J2252" s="82">
        <f>IF('4mD'!B52&lt;&gt;"",'4mD'!J52,"")</f>
        <v/>
      </c>
    </row>
    <row r="2253" ht="15.75" customHeight="1" s="52">
      <c r="A2253" s="97">
        <f>IF('4mD'!B53&lt;&gt;"","4mD","")</f>
        <v/>
      </c>
      <c r="B2253" s="78">
        <f>IF('4mD'!B53&lt;&gt;"",'4mD'!B53,"")</f>
        <v/>
      </c>
      <c r="C2253" s="78">
        <f>IF('4mD'!B53&lt;&gt;"",'4mD'!C53,"")</f>
        <v/>
      </c>
      <c r="D2253" s="78">
        <f>IF('4mD'!B53&lt;&gt;"",'4mD'!D53,"")</f>
        <v/>
      </c>
      <c r="E2253" s="78">
        <f>IF('4mD'!B53&lt;&gt;"",'4mD'!E53,"")</f>
        <v/>
      </c>
      <c r="F2253" s="78">
        <f>IF('4mD'!B53&lt;&gt;"",'4mD'!F53,"")</f>
        <v/>
      </c>
      <c r="G2253" s="78">
        <f>IF('4mD'!B53&lt;&gt;"",'4mD'!G53,"")</f>
        <v/>
      </c>
      <c r="H2253" s="97">
        <f>IF('4mD'!B53&lt;&gt;"",'4mD'!H53,"")</f>
        <v/>
      </c>
      <c r="I2253" s="97">
        <f>IF('4mD'!B53&lt;&gt;"",'4mD'!I53,"")</f>
        <v/>
      </c>
      <c r="J2253" s="78">
        <f>IF('4mD'!B53&lt;&gt;"",'4mD'!J53,"")</f>
        <v/>
      </c>
    </row>
    <row r="2254" ht="15.75" customHeight="1" s="52">
      <c r="A2254" s="92">
        <f>IF('4mD'!B54&lt;&gt;"","4mD","")</f>
        <v/>
      </c>
      <c r="B2254" s="82">
        <f>IF('4mD'!B54&lt;&gt;"",'4mD'!B54,"")</f>
        <v/>
      </c>
      <c r="C2254" s="82">
        <f>IF('4mD'!B54&lt;&gt;"",'4mD'!C54,"")</f>
        <v/>
      </c>
      <c r="D2254" s="82">
        <f>IF('4mD'!B54&lt;&gt;"",'4mD'!D54,"")</f>
        <v/>
      </c>
      <c r="E2254" s="82">
        <f>IF('4mD'!B54&lt;&gt;"",'4mD'!E54,"")</f>
        <v/>
      </c>
      <c r="F2254" s="82">
        <f>IF('4mD'!B54&lt;&gt;"",'4mD'!F54,"")</f>
        <v/>
      </c>
      <c r="G2254" s="82">
        <f>IF('4mD'!B54&lt;&gt;"",'4mD'!G54,"")</f>
        <v/>
      </c>
      <c r="H2254" s="92">
        <f>IF('4mD'!B54&lt;&gt;"",'4mD'!H54,"")</f>
        <v/>
      </c>
      <c r="I2254" s="92">
        <f>IF('4mD'!B54&lt;&gt;"",'4mD'!I54,"")</f>
        <v/>
      </c>
      <c r="J2254" s="82">
        <f>IF('4mD'!B54&lt;&gt;"",'4mD'!J54,"")</f>
        <v/>
      </c>
    </row>
  </sheetData>
  <autoFilter ref="A4:J2254"/>
  <mergeCells count="2">
    <mergeCell ref="A2:K2"/>
    <mergeCell ref="A1:K1"/>
  </mergeCells>
  <conditionalFormatting sqref="I5:I2254">
    <cfRule type="expression" rank="0" priority="2" equalAverage="0" aboveAverage="0" dxfId="0" text="" percent="0" bottom="0">
      <formula>I5="🟢 VERDE"</formula>
    </cfRule>
    <cfRule type="expression" rank="0" priority="3" equalAverage="0" aboveAverage="0" dxfId="1" text="" percent="0" bottom="0">
      <formula>I5="🟡 AMARILLO"</formula>
    </cfRule>
    <cfRule type="expression" rank="0" priority="4" equalAverage="0" aboveAverage="0" dxfId="2" text="" percent="0" bottom="0">
      <formula>I5="🔴 ROJO"</formula>
    </cfRule>
  </conditionalFormatting>
  <conditionalFormatting sqref="A5:J2254">
    <cfRule type="expression" rank="0" priority="5" equalAverage="0" aboveAverage="0" dxfId="3" text="" percent="0" bottom="0">
      <formula>$I5="🟢 VERDE"</formula>
    </cfRule>
    <cfRule type="expression" rank="0" priority="6" equalAverage="0" aboveAverage="0" dxfId="4" text="" percent="0" bottom="0">
      <formula>$I5="🟡 AMARILLO"</formula>
    </cfRule>
    <cfRule type="expression" rank="0" priority="7" equalAverage="0" aboveAverage="0" dxfId="5" text="" percent="0" bottom="0">
      <formula>$I5="🔴 ROJO"</formula>
    </cfRule>
  </conditionalFormatting>
  <conditionalFormatting sqref="H5:H2254">
    <cfRule type="cellIs" rank="0" priority="8" equalAverage="0" operator="greaterThanOrEqual" aboveAverage="0" dxfId="2" text="" percent="0" bottom="0">
      <formula>6</formula>
    </cfRule>
    <cfRule type="cellIs" rank="0" priority="9" equalAverage="0" operator="between" aboveAverage="0" dxfId="1" text="" percent="0" bottom="0">
      <formula>3</formula>
      <formula>5</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tabColor rgb="FF808080"/>
    <outlinePr summaryBelow="1" summaryRight="1"/>
    <pageSetUpPr fitToPage="0"/>
  </sheetPr>
  <dimension ref="B1:E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3" customWidth="1" style="51" min="1" max="1"/>
    <col width="24" customWidth="1" style="51" min="2" max="5"/>
    <col width="3" customWidth="1" style="51" min="6" max="6"/>
  </cols>
  <sheetData>
    <row r="1" ht="24" customHeight="1" s="52">
      <c r="B1" s="73" t="inlineStr">
        <is>
          <t>REFERENCIA — INDICADORES Y HITOS DE ALERTA</t>
        </is>
      </c>
    </row>
    <row r="3" ht="18" customHeight="1" s="52">
      <c r="B3" s="66" t="inlineStr">
        <is>
          <t>TRAYECTORIA EDUCATIVA</t>
        </is>
      </c>
      <c r="C3" s="99" t="inlineStr">
        <is>
          <t>ÁMBITO ACADÉMICO</t>
        </is>
      </c>
      <c r="D3" s="100" t="inlineStr">
        <is>
          <t>ÁMBITO CONDUCTUAL</t>
        </is>
      </c>
      <c r="E3" s="101" t="inlineStr">
        <is>
          <t>ÁMBITO SOCIOEMOCIONAL</t>
        </is>
      </c>
    </row>
    <row r="4" ht="15" customHeight="1" s="52">
      <c r="B4" s="102" t="inlineStr">
        <is>
          <t>Datos observados:</t>
        </is>
      </c>
      <c r="C4" s="103" t="inlineStr">
        <is>
          <t>Datos observados:</t>
        </is>
      </c>
      <c r="D4" s="104" t="inlineStr">
        <is>
          <t>Datos observados:</t>
        </is>
      </c>
      <c r="E4" s="105" t="inlineStr">
        <is>
          <t>Datos observados:</t>
        </is>
      </c>
    </row>
    <row r="5" ht="15" customHeight="1" s="52">
      <c r="B5" s="67" t="inlineStr">
        <is>
          <t>• Asistencia</t>
        </is>
      </c>
      <c r="C5" s="68" t="inlineStr">
        <is>
          <t>• Autonomía</t>
        </is>
      </c>
      <c r="D5" s="69" t="inlineStr">
        <is>
          <t>• Anotaciones</t>
        </is>
      </c>
      <c r="E5" s="71" t="inlineStr">
        <is>
          <t>• Estado emocional</t>
        </is>
      </c>
    </row>
    <row r="6" ht="15" customHeight="1" s="52">
      <c r="B6" s="67" t="inlineStr">
        <is>
          <t>• Puntualidad</t>
        </is>
      </c>
      <c r="C6" s="68" t="inlineStr">
        <is>
          <t>• Análisis de información</t>
        </is>
      </c>
      <c r="D6" s="69" t="inlineStr">
        <is>
          <t>• Interrupciones</t>
        </is>
      </c>
      <c r="E6" s="71" t="inlineStr">
        <is>
          <t>• Relaciones con pares</t>
        </is>
      </c>
    </row>
    <row r="7" ht="15" customHeight="1" s="52">
      <c r="B7" s="67" t="inlineStr">
        <is>
          <t>• Desfase de edad</t>
        </is>
      </c>
      <c r="C7" s="68" t="inlineStr">
        <is>
          <t>• Pensamiento crítico</t>
        </is>
      </c>
      <c r="D7" s="69" t="inlineStr">
        <is>
          <t>• Conflictos</t>
        </is>
      </c>
      <c r="E7" s="71" t="inlineStr">
        <is>
          <t>• Motivación</t>
        </is>
      </c>
    </row>
    <row r="8" ht="15" customHeight="1" s="52">
      <c r="B8" s="67" t="inlineStr">
        <is>
          <t>• Cumplimiento de tareas</t>
        </is>
      </c>
      <c r="C8" s="68" t="inlineStr">
        <is>
          <t>• Habilidades comunicativas</t>
        </is>
      </c>
      <c r="D8" s="69" t="inlineStr">
        <is>
          <t>• Incumplimiento de normas</t>
        </is>
      </c>
      <c r="E8" s="71" t="inlineStr">
        <is>
          <t>• Sentido de pertenencia</t>
        </is>
      </c>
    </row>
    <row r="9" ht="15" customHeight="1" s="52">
      <c r="B9" s="67" t="n"/>
      <c r="C9" s="68" t="n"/>
      <c r="D9" s="69" t="n"/>
      <c r="E9" s="71" t="n"/>
    </row>
    <row r="10" ht="15" customHeight="1" s="52">
      <c r="B10" s="102" t="inlineStr">
        <is>
          <t>Hitos o Alertas:</t>
        </is>
      </c>
      <c r="C10" s="103" t="inlineStr">
        <is>
          <t>Hitos o Alertas:</t>
        </is>
      </c>
      <c r="D10" s="104" t="inlineStr">
        <is>
          <t>Hitos o Alertas:</t>
        </is>
      </c>
      <c r="E10" s="105" t="inlineStr">
        <is>
          <t>Hitos o Alertas:</t>
        </is>
      </c>
    </row>
    <row r="11" ht="15" customHeight="1" s="52">
      <c r="B11" s="67" t="inlineStr">
        <is>
          <t>• Inasistencias reiteradas</t>
        </is>
      </c>
      <c r="C11" s="68" t="inlineStr">
        <is>
          <t>• Necesidad constante de apoyo</t>
        </is>
      </c>
      <c r="D11" s="69" t="inlineStr">
        <is>
          <t>• Conductas reiteradas</t>
        </is>
      </c>
      <c r="E11" s="71" t="inlineStr">
        <is>
          <t>• Aislamiento</t>
        </is>
      </c>
    </row>
    <row r="12" ht="15" customHeight="1" s="52">
      <c r="B12" s="67" t="inlineStr">
        <is>
          <t>• Atrasos reiterados</t>
        </is>
      </c>
      <c r="C12" s="68" t="inlineStr">
        <is>
          <t>• Dificultad para resumir info</t>
        </is>
      </c>
      <c r="D12" s="69" t="inlineStr">
        <is>
          <t>• Escalada de conflictos</t>
        </is>
      </c>
      <c r="E12" s="71" t="inlineStr">
        <is>
          <t>• Desmotivación</t>
        </is>
      </c>
    </row>
    <row r="13" ht="15" customHeight="1" s="52">
      <c r="C13" s="68" t="inlineStr">
        <is>
          <t>• Aceptación pasiva</t>
        </is>
      </c>
      <c r="D13" s="69" t="inlineStr">
        <is>
          <t>• Desafío a la autoridad</t>
        </is>
      </c>
      <c r="E13" s="71" t="inlineStr">
        <is>
          <t>• Cambios emocionales notorios</t>
        </is>
      </c>
    </row>
    <row r="14" ht="15" customHeight="1" s="52">
      <c r="C14" s="68" t="inlineStr">
        <is>
          <t>• Callado/Dificultad comunicarse</t>
        </is>
      </c>
    </row>
  </sheetData>
  <mergeCells count="1">
    <mergeCell ref="B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sheetData>
    <row r="1" ht="15" customHeight="1" s="52">
      <c r="A1" s="51" t="inlineStr">
        <is>
          <t>0 - Trayectoria regular</t>
        </is>
      </c>
      <c r="B1" s="51" t="inlineStr">
        <is>
          <t>0 - Sin alertas académicas</t>
        </is>
      </c>
      <c r="C1" s="51" t="inlineStr">
        <is>
          <t>0 - Sin observaciones conductuales</t>
        </is>
      </c>
      <c r="D1" s="51" t="inlineStr">
        <is>
          <t>0 - Ajuste adecuado</t>
        </is>
      </c>
    </row>
    <row r="2" ht="15" customHeight="1" s="52">
      <c r="A2" s="51" t="inlineStr">
        <is>
          <t>1 - Alertas leves o puntuales</t>
        </is>
      </c>
      <c r="B2" s="51" t="inlineStr">
        <is>
          <t>1 - Descenso leve o puntual</t>
        </is>
      </c>
      <c r="C2" s="51" t="inlineStr">
        <is>
          <t>1 - Conductas ocasionales</t>
        </is>
      </c>
      <c r="D2" s="51" t="inlineStr">
        <is>
          <t>1 - Señales leves de preocupación</t>
        </is>
      </c>
    </row>
    <row r="3" ht="15" customHeight="1" s="52">
      <c r="A3" s="51" t="inlineStr">
        <is>
          <t>2 - Dificultades reiteradas</t>
        </is>
      </c>
      <c r="B3" s="51" t="inlineStr">
        <is>
          <t>2 - Descenso sostenido / varias asignaturas</t>
        </is>
      </c>
      <c r="C3" s="51" t="inlineStr">
        <is>
          <t>2 - Conductas reiteradas</t>
        </is>
      </c>
      <c r="D3" s="51" t="inlineStr">
        <is>
          <t>2 - Dificultades persistentes</t>
        </is>
      </c>
    </row>
    <row r="4" ht="15" customHeight="1" s="52">
      <c r="A4" s="51" t="inlineStr">
        <is>
          <t>3 - Riesgo alto de deserción</t>
        </is>
      </c>
      <c r="B4" s="51" t="inlineStr">
        <is>
          <t>3 - Riesgo académico significativo</t>
        </is>
      </c>
      <c r="C4" s="51" t="inlineStr">
        <is>
          <t>3 - Conductas frecuentes / afectan convivencia</t>
        </is>
      </c>
      <c r="D4" s="51" t="inlineStr">
        <is>
          <t>3 - Alta vulnerabilidad o riesgo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2026-09-08T12:51:49Z</dcterms:created>
  <dcterms:modified xmlns:dcterms="http://purl.org/dc/terms/" xmlns:xsi="http://www.w3.org/2001/XMLSchema-instance" xsi:type="dcterms:W3CDTF">2026-09-08T12:52:26Z</dcterms:modified>
  <cp:revision>0</cp:revision>
</cp:coreProperties>
</file>